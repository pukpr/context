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github\context\Mathematica\SOIM\"/>
    </mc:Choice>
  </mc:AlternateContent>
  <bookViews>
    <workbookView xWindow="0" yWindow="0" windowWidth="10725" windowHeight="9285" firstSheet="8" activeTab="8"/>
  </bookViews>
  <sheets>
    <sheet name="data" sheetId="1" r:id="rId1"/>
    <sheet name="cc" sheetId="4" r:id="rId2"/>
    <sheet name="hybrid" sheetId="5" r:id="rId3"/>
    <sheet name="cc (2)" sheetId="6" r:id="rId4"/>
    <sheet name="cc_best" sheetId="7" r:id="rId5"/>
    <sheet name="cc (4)" sheetId="8" r:id="rId6"/>
    <sheet name="cc_low_end" sheetId="9" r:id="rId7"/>
    <sheet name="cc_high_end" sheetId="11" r:id="rId8"/>
    <sheet name="cc_law" sheetId="12" r:id="rId9"/>
  </sheets>
  <definedNames>
    <definedName name="CF" localSheetId="5">'cc (4)'!$J$7</definedName>
    <definedName name="CF" localSheetId="7">cc_high_end!$J$7</definedName>
    <definedName name="CF" localSheetId="8">cc_law!$J$7</definedName>
    <definedName name="CF" localSheetId="6">cc_low_end!$J$7</definedName>
    <definedName name="CF">cc_best!$J$7</definedName>
    <definedName name="cw" localSheetId="5">'cc (4)'!$K$2</definedName>
    <definedName name="cw" localSheetId="7">cc_high_end!$K$2</definedName>
    <definedName name="cw" localSheetId="8">cc_law!$K$2</definedName>
    <definedName name="cw" localSheetId="6">cc_low_end!$K$2</definedName>
    <definedName name="cw">cc_best!$K$2</definedName>
    <definedName name="fCc" localSheetId="5">'cc (4)'!$K$6</definedName>
    <definedName name="fCc" localSheetId="7">cc_high_end!$K$6</definedName>
    <definedName name="fCc" localSheetId="8">cc_law!$K$6</definedName>
    <definedName name="fCc" localSheetId="6">cc_low_end!$K$6</definedName>
    <definedName name="fCc">cc_best!$K$6</definedName>
    <definedName name="fCs" localSheetId="5">'cc (4)'!$J$6</definedName>
    <definedName name="fCs" localSheetId="7">cc_high_end!$J$6</definedName>
    <definedName name="fCs" localSheetId="8">cc_law!$J$6</definedName>
    <definedName name="fCs" localSheetId="6">cc_low_end!$J$6</definedName>
    <definedName name="fCs">cc_best!$J$6</definedName>
    <definedName name="fQc" localSheetId="5">'cc (4)'!$K$5</definedName>
    <definedName name="fQc" localSheetId="7">cc_high_end!$K$5</definedName>
    <definedName name="fQc" localSheetId="8">cc_law!$K$5</definedName>
    <definedName name="fQc" localSheetId="6">cc_low_end!$K$5</definedName>
    <definedName name="fQc">cc_best!$K$5</definedName>
    <definedName name="fQs" localSheetId="5">'cc (4)'!$J$5</definedName>
    <definedName name="fQs" localSheetId="7">cc_high_end!$J$5</definedName>
    <definedName name="fQs" localSheetId="8">cc_law!$J$5</definedName>
    <definedName name="fQs" localSheetId="6">cc_low_end!$J$5</definedName>
    <definedName name="fQs">cc_best!$J$5</definedName>
    <definedName name="hCc" localSheetId="5">'cc (4)'!$K$4</definedName>
    <definedName name="hCc" localSheetId="7">cc_high_end!$K$4</definedName>
    <definedName name="hCc" localSheetId="8">cc_law!$K$4</definedName>
    <definedName name="hCc" localSheetId="6">cc_low_end!$K$4</definedName>
    <definedName name="hCc">cc_best!$K$4</definedName>
    <definedName name="hCs" localSheetId="5">'cc (4)'!$J$4</definedName>
    <definedName name="hCs" localSheetId="7">cc_high_end!$J$4</definedName>
    <definedName name="hCs" localSheetId="8">cc_law!$J$4</definedName>
    <definedName name="hCs" localSheetId="6">cc_low_end!$J$4</definedName>
    <definedName name="hCs">cc_best!$J$4</definedName>
    <definedName name="hQc" localSheetId="5">'cc (4)'!$K$3</definedName>
    <definedName name="hQc" localSheetId="7">cc_high_end!$K$3</definedName>
    <definedName name="hQc" localSheetId="8">cc_law!$K$3</definedName>
    <definedName name="hQc" localSheetId="6">cc_low_end!$K$3</definedName>
    <definedName name="hQc">cc_best!$K$3</definedName>
    <definedName name="hQs" localSheetId="5">'cc (4)'!$J$3</definedName>
    <definedName name="hQs" localSheetId="7">cc_high_end!$J$3</definedName>
    <definedName name="hQs" localSheetId="8">cc_law!$J$3</definedName>
    <definedName name="hQs" localSheetId="6">cc_low_end!$J$3</definedName>
    <definedName name="hQs">cc_best!$J$3</definedName>
    <definedName name="mix" localSheetId="5">'cc (4)'!$J$9</definedName>
    <definedName name="mix" localSheetId="7">cc_high_end!$J$9</definedName>
    <definedName name="mix" localSheetId="8">cc_law!$J$9</definedName>
    <definedName name="mix" localSheetId="6">cc_low_end!$J$9</definedName>
    <definedName name="mix">cc_best!$J$9</definedName>
    <definedName name="qbo" localSheetId="5">'cc (4)'!$J$2</definedName>
    <definedName name="qbo" localSheetId="7">cc_high_end!$J$2</definedName>
    <definedName name="qbo" localSheetId="8">cc_law!$J$2</definedName>
    <definedName name="qbo" localSheetId="6">cc_low_end!$J$2</definedName>
    <definedName name="qbo">cc_best!$J$2</definedName>
    <definedName name="QM" localSheetId="5">'cc (4)'!$K$7</definedName>
    <definedName name="QM" localSheetId="7">cc_high_end!$K$7</definedName>
    <definedName name="QM" localSheetId="8">cc_law!$K$7</definedName>
    <definedName name="QM" localSheetId="6">cc_low_end!$K$7</definedName>
    <definedName name="QM">cc_best!$K$7</definedName>
    <definedName name="QMA" localSheetId="5">'cc (4)'!$J$8</definedName>
    <definedName name="QMA" localSheetId="7">cc_high_end!$J$8</definedName>
    <definedName name="QMA" localSheetId="8">cc_law!$J$8</definedName>
    <definedName name="QMA" localSheetId="6">cc_low_end!$J$8</definedName>
    <definedName name="QMA">cc_best!$J$8</definedName>
    <definedName name="QMP" localSheetId="5">'cc (4)'!$K$8</definedName>
    <definedName name="QMP" localSheetId="7">cc_high_end!$K$8</definedName>
    <definedName name="QMP" localSheetId="8">cc_law!$K$8</definedName>
    <definedName name="QMP" localSheetId="6">cc_low_end!$K$8</definedName>
    <definedName name="QMP">cc_best!$K$8</definedName>
    <definedName name="slope" localSheetId="5">'cc (4)'!$K$9</definedName>
    <definedName name="slope" localSheetId="7">cc_high_end!$K$9</definedName>
    <definedName name="slope" localSheetId="8">cc_law!$K$9</definedName>
    <definedName name="slope" localSheetId="6">cc_low_end!$K$9</definedName>
    <definedName name="slope">cc_best!$K$9</definedName>
    <definedName name="solver_adj" localSheetId="1" hidden="1">cc!$J$3:$K$9</definedName>
    <definedName name="solver_adj" localSheetId="3" hidden="1">'cc (2)'!$J$3:$K$9</definedName>
    <definedName name="solver_adj" localSheetId="5" hidden="1">'cc (4)'!$J$2,'cc (4)'!$J$3,'cc (4)'!$K$3,'cc (4)'!$J$4,'cc (4)'!$K$4,'cc (4)'!$J$5,'cc (4)'!$K$5,'cc (4)'!$K$6,'cc (4)'!$J$6,'cc (4)'!$J$7,'cc (4)'!$K$7,'cc (4)'!$J$8,'cc (4)'!$K$8,'cc (4)'!$J$9,'cc (4)'!$K$9,'cc (4)'!$K$2</definedName>
    <definedName name="solver_adj" localSheetId="4" hidden="1">cc_best!$J$2,cc_best!$J$3,cc_best!$K$3,cc_best!$J$4,cc_best!$K$4,cc_best!$J$5,cc_best!$K$5,cc_best!$K$6,cc_best!$J$6,cc_best!$J$7,cc_best!$K$7,cc_best!$J$8,cc_best!$K$8,cc_best!$J$9,cc_best!$K$9,cc_best!$K$2</definedName>
    <definedName name="solver_adj" localSheetId="7" hidden="1">cc_high_end!$J$2,cc_high_end!$J$3,cc_high_end!$K$3,cc_high_end!$J$4,cc_high_end!$K$4,cc_high_end!$J$5,cc_high_end!$K$5,cc_high_end!$K$6,cc_high_end!$J$6,cc_high_end!$J$7,cc_high_end!$K$7,cc_high_end!$J$8,cc_high_end!$K$8,cc_high_end!$J$9,cc_high_end!$K$9,cc_high_end!$K$2</definedName>
    <definedName name="solver_adj" localSheetId="8" hidden="1">cc_law!$J$3,cc_law!$K$3,cc_law!$J$4,cc_law!$K$4,cc_law!$J$5,cc_law!$K$5,cc_law!$K$6,cc_law!$J$6,cc_law!$J$7,cc_law!$K$7,cc_law!$J$8,cc_law!$K$8,cc_law!$J$9,cc_law!$K$9,cc_law!$J$2</definedName>
    <definedName name="solver_adj" localSheetId="6" hidden="1">cc_low_end!$J$2,cc_low_end!$J$3,cc_low_end!$K$3,cc_low_end!$J$4,cc_low_end!$K$4,cc_low_end!$J$5,cc_low_end!$K$5,cc_low_end!$K$6,cc_low_end!$J$6,cc_low_end!$J$7,cc_low_end!$K$7,cc_low_end!$J$8,cc_low_end!$K$8,cc_low_end!$J$9,cc_low_end!$K$9,cc_low_end!$K$2</definedName>
    <definedName name="solver_adj" localSheetId="2" hidden="1">hybrid!$J$3:$K$9</definedName>
    <definedName name="solver_cvg" localSheetId="1" hidden="1">0.0001</definedName>
    <definedName name="solver_cvg" localSheetId="3" hidden="1">0.000001</definedName>
    <definedName name="solver_cvg" localSheetId="5" hidden="1">0.000001</definedName>
    <definedName name="solver_cvg" localSheetId="4" hidden="1">0.00000001</definedName>
    <definedName name="solver_cvg" localSheetId="7" hidden="1">0.00000001</definedName>
    <definedName name="solver_cvg" localSheetId="8" hidden="1">0.000001</definedName>
    <definedName name="solver_cvg" localSheetId="6" hidden="1">0.00000001</definedName>
    <definedName name="solver_cvg" localSheetId="2" hidden="1">0.0001</definedName>
    <definedName name="solver_drv" localSheetId="1" hidden="1">2</definedName>
    <definedName name="solver_drv" localSheetId="3" hidden="1">2</definedName>
    <definedName name="solver_drv" localSheetId="5" hidden="1">2</definedName>
    <definedName name="solver_drv" localSheetId="4" hidden="1">2</definedName>
    <definedName name="solver_drv" localSheetId="7" hidden="1">2</definedName>
    <definedName name="solver_drv" localSheetId="8" hidden="1">2</definedName>
    <definedName name="solver_drv" localSheetId="6" hidden="1">2</definedName>
    <definedName name="solver_drv" localSheetId="2" hidden="1">2</definedName>
    <definedName name="solver_eng" localSheetId="1" hidden="1">3</definedName>
    <definedName name="solver_eng" localSheetId="3" hidden="1">3</definedName>
    <definedName name="solver_eng" localSheetId="5" hidden="1">3</definedName>
    <definedName name="solver_eng" localSheetId="4" hidden="1">3</definedName>
    <definedName name="solver_eng" localSheetId="7" hidden="1">3</definedName>
    <definedName name="solver_eng" localSheetId="8" hidden="1">3</definedName>
    <definedName name="solver_eng" localSheetId="6" hidden="1">3</definedName>
    <definedName name="solver_eng" localSheetId="2" hidden="1">3</definedName>
    <definedName name="solver_est" localSheetId="1" hidden="1">1</definedName>
    <definedName name="solver_est" localSheetId="3" hidden="1">1</definedName>
    <definedName name="solver_est" localSheetId="5" hidden="1">1</definedName>
    <definedName name="solver_est" localSheetId="4" hidden="1">1</definedName>
    <definedName name="solver_est" localSheetId="7" hidden="1">1</definedName>
    <definedName name="solver_est" localSheetId="8" hidden="1">1</definedName>
    <definedName name="solver_est" localSheetId="6" hidden="1">1</definedName>
    <definedName name="solver_est" localSheetId="2" hidden="1">1</definedName>
    <definedName name="solver_itr" localSheetId="1" hidden="1">2147483647</definedName>
    <definedName name="solver_itr" localSheetId="3" hidden="1">2147483647</definedName>
    <definedName name="solver_itr" localSheetId="5" hidden="1">2147483647</definedName>
    <definedName name="solver_itr" localSheetId="4" hidden="1">2147483647</definedName>
    <definedName name="solver_itr" localSheetId="7" hidden="1">2147483647</definedName>
    <definedName name="solver_itr" localSheetId="8" hidden="1">2147483647</definedName>
    <definedName name="solver_itr" localSheetId="6" hidden="1">2147483647</definedName>
    <definedName name="solver_itr" localSheetId="2" hidden="1">2147483647</definedName>
    <definedName name="solver_lhs1" localSheetId="1" hidden="1">cc!$J$3</definedName>
    <definedName name="solver_lhs1" localSheetId="3" hidden="1">'cc (2)'!$J$3</definedName>
    <definedName name="solver_lhs1" localSheetId="5" hidden="1">'cc (4)'!$J$7</definedName>
    <definedName name="solver_lhs1" localSheetId="4" hidden="1">cc_best!$K$9</definedName>
    <definedName name="solver_lhs1" localSheetId="7" hidden="1">cc_high_end!$K$9</definedName>
    <definedName name="solver_lhs1" localSheetId="8" hidden="1">cc_law!$K$9</definedName>
    <definedName name="solver_lhs1" localSheetId="6" hidden="1">cc_low_end!$J$7</definedName>
    <definedName name="solver_lhs1" localSheetId="2" hidden="1">hybrid!$J$3</definedName>
    <definedName name="solver_lhs10" localSheetId="1" hidden="1">cc!$J$7</definedName>
    <definedName name="solver_lhs10" localSheetId="3" hidden="1">'cc (2)'!$J$7</definedName>
    <definedName name="solver_lhs10" localSheetId="5" hidden="1">'cc (4)'!$K$5</definedName>
    <definedName name="solver_lhs10" localSheetId="4" hidden="1">cc_best!$J$4</definedName>
    <definedName name="solver_lhs10" localSheetId="7" hidden="1">cc_high_end!$J$3</definedName>
    <definedName name="solver_lhs10" localSheetId="8" hidden="1">cc_law!$J$4</definedName>
    <definedName name="solver_lhs10" localSheetId="6" hidden="1">cc_low_end!$J$6</definedName>
    <definedName name="solver_lhs10" localSheetId="2" hidden="1">hybrid!$J$7</definedName>
    <definedName name="solver_lhs11" localSheetId="1" hidden="1">cc!$J$8</definedName>
    <definedName name="solver_lhs11" localSheetId="3" hidden="1">'cc (2)'!$J$8</definedName>
    <definedName name="solver_lhs11" localSheetId="5" hidden="1">'cc (4)'!$K$6</definedName>
    <definedName name="solver_lhs11" localSheetId="4" hidden="1">cc_best!$K$5</definedName>
    <definedName name="solver_lhs11" localSheetId="7" hidden="1">cc_high_end!$J$5</definedName>
    <definedName name="solver_lhs11" localSheetId="8" hidden="1">cc_law!$J$3</definedName>
    <definedName name="solver_lhs11" localSheetId="6" hidden="1">cc_low_end!$K$6</definedName>
    <definedName name="solver_lhs11" localSheetId="2" hidden="1">hybrid!$J$8</definedName>
    <definedName name="solver_lhs12" localSheetId="1" hidden="1">cc!$J$8</definedName>
    <definedName name="solver_lhs12" localSheetId="3" hidden="1">'cc (2)'!$J$8</definedName>
    <definedName name="solver_lhs12" localSheetId="5" hidden="1">'cc (4)'!$J$5</definedName>
    <definedName name="solver_lhs12" localSheetId="4" hidden="1">cc_best!$K$5</definedName>
    <definedName name="solver_lhs12" localSheetId="7" hidden="1">cc_high_end!$K$3</definedName>
    <definedName name="solver_lhs12" localSheetId="8" hidden="1">cc_law!$J$4</definedName>
    <definedName name="solver_lhs12" localSheetId="6" hidden="1">cc_low_end!$J$6</definedName>
    <definedName name="solver_lhs12" localSheetId="2" hidden="1">hybrid!$J$8</definedName>
    <definedName name="solver_lhs13" localSheetId="1" hidden="1">cc!$J$9</definedName>
    <definedName name="solver_lhs13" localSheetId="3" hidden="1">'cc (2)'!$J$9</definedName>
    <definedName name="solver_lhs13" localSheetId="5" hidden="1">'cc (4)'!$J$6</definedName>
    <definedName name="solver_lhs13" localSheetId="4" hidden="1">cc_best!$J$5</definedName>
    <definedName name="solver_lhs13" localSheetId="7" hidden="1">cc_high_end!$K$5</definedName>
    <definedName name="solver_lhs13" localSheetId="8" hidden="1">cc_law!$K$3</definedName>
    <definedName name="solver_lhs13" localSheetId="6" hidden="1">cc_low_end!$K$2</definedName>
    <definedName name="solver_lhs13" localSheetId="2" hidden="1">hybrid!$J$9</definedName>
    <definedName name="solver_lhs14" localSheetId="1" hidden="1">cc!$J$9</definedName>
    <definedName name="solver_lhs14" localSheetId="3" hidden="1">'cc (2)'!$J$9</definedName>
    <definedName name="solver_lhs14" localSheetId="5" hidden="1">'cc (4)'!$J$6</definedName>
    <definedName name="solver_lhs14" localSheetId="4" hidden="1">cc_best!$K$4</definedName>
    <definedName name="solver_lhs14" localSheetId="7" hidden="1">cc_high_end!$K$5</definedName>
    <definedName name="solver_lhs14" localSheetId="8" hidden="1">cc_law!$K$4</definedName>
    <definedName name="solver_lhs14" localSheetId="6" hidden="1">cc_low_end!$J$5</definedName>
    <definedName name="solver_lhs14" localSheetId="2" hidden="1">hybrid!$J$9</definedName>
    <definedName name="solver_lhs15" localSheetId="1" hidden="1">cc!$K$3</definedName>
    <definedName name="solver_lhs15" localSheetId="3" hidden="1">'cc (2)'!$K$3</definedName>
    <definedName name="solver_lhs15" localSheetId="5" hidden="1">'cc (4)'!$K$4</definedName>
    <definedName name="solver_lhs15" localSheetId="4" hidden="1">cc_best!$K$2</definedName>
    <definedName name="solver_lhs15" localSheetId="7" hidden="1">cc_high_end!$K$3</definedName>
    <definedName name="solver_lhs15" localSheetId="8" hidden="1">cc_law!$K$4</definedName>
    <definedName name="solver_lhs15" localSheetId="6" hidden="1">cc_low_end!$K$4</definedName>
    <definedName name="solver_lhs15" localSheetId="2" hidden="1">hybrid!$K$3</definedName>
    <definedName name="solver_lhs16" localSheetId="1" hidden="1">cc!$K$3</definedName>
    <definedName name="solver_lhs16" localSheetId="3" hidden="1">'cc (2)'!$K$3</definedName>
    <definedName name="solver_lhs16" localSheetId="5" hidden="1">'cc (4)'!$J$8</definedName>
    <definedName name="solver_lhs16" localSheetId="4" hidden="1">cc_best!$J$9</definedName>
    <definedName name="solver_lhs16" localSheetId="7" hidden="1">cc_high_end!$J$4</definedName>
    <definedName name="solver_lhs16" localSheetId="8" hidden="1">cc_law!$J$5</definedName>
    <definedName name="solver_lhs16" localSheetId="6" hidden="1">cc_low_end!$J$4</definedName>
    <definedName name="solver_lhs16" localSheetId="2" hidden="1">hybrid!$K$3</definedName>
    <definedName name="solver_lhs17" localSheetId="1" hidden="1">cc!$K$4</definedName>
    <definedName name="solver_lhs17" localSheetId="3" hidden="1">'cc (2)'!$K$4</definedName>
    <definedName name="solver_lhs17" localSheetId="5" hidden="1">'cc (4)'!$J$4</definedName>
    <definedName name="solver_lhs17" localSheetId="4" hidden="1">cc_best!$J$9</definedName>
    <definedName name="solver_lhs17" localSheetId="7" hidden="1">cc_high_end!$J$4</definedName>
    <definedName name="solver_lhs17" localSheetId="8" hidden="1">cc_law!$J$6</definedName>
    <definedName name="solver_lhs17" localSheetId="6" hidden="1">cc_low_end!$J$4</definedName>
    <definedName name="solver_lhs17" localSheetId="2" hidden="1">hybrid!$K$4</definedName>
    <definedName name="solver_lhs18" localSheetId="1" hidden="1">cc!$K$4</definedName>
    <definedName name="solver_lhs18" localSheetId="3" hidden="1">'cc (2)'!$K$4</definedName>
    <definedName name="solver_lhs18" localSheetId="5" hidden="1">'cc (4)'!$J$4</definedName>
    <definedName name="solver_lhs18" localSheetId="4" hidden="1">cc_best!$J$3</definedName>
    <definedName name="solver_lhs18" localSheetId="7" hidden="1">cc_high_end!$K$4</definedName>
    <definedName name="solver_lhs18" localSheetId="8" hidden="1">cc_law!$K$5</definedName>
    <definedName name="solver_lhs18" localSheetId="6" hidden="1">cc_low_end!$K$3</definedName>
    <definedName name="solver_lhs18" localSheetId="2" hidden="1">hybrid!$K$4</definedName>
    <definedName name="solver_lhs19" localSheetId="1" hidden="1">cc!$K$5</definedName>
    <definedName name="solver_lhs19" localSheetId="3" hidden="1">'cc (2)'!$K$5</definedName>
    <definedName name="solver_lhs19" localSheetId="5" hidden="1">'cc (4)'!$K$4</definedName>
    <definedName name="solver_lhs19" localSheetId="4" hidden="1">cc_best!$K$3</definedName>
    <definedName name="solver_lhs19" localSheetId="7" hidden="1">cc_high_end!$J$5</definedName>
    <definedName name="solver_lhs19" localSheetId="8" hidden="1">cc_law!$K$5</definedName>
    <definedName name="solver_lhs19" localSheetId="6" hidden="1">cc_low_end!$K$5</definedName>
    <definedName name="solver_lhs19" localSheetId="2" hidden="1">hybrid!$K$5</definedName>
    <definedName name="solver_lhs2" localSheetId="1" hidden="1">cc!$J$3</definedName>
    <definedName name="solver_lhs2" localSheetId="3" hidden="1">'cc (2)'!$J$3</definedName>
    <definedName name="solver_lhs2" localSheetId="5" hidden="1">'cc (4)'!$K$7</definedName>
    <definedName name="solver_lhs2" localSheetId="4" hidden="1">cc_best!$J$2</definedName>
    <definedName name="solver_lhs2" localSheetId="7" hidden="1">cc_high_end!$J$2</definedName>
    <definedName name="solver_lhs2" localSheetId="8" hidden="1">cc_law!$J$2</definedName>
    <definedName name="solver_lhs2" localSheetId="6" hidden="1">cc_low_end!$J$8</definedName>
    <definedName name="solver_lhs2" localSheetId="2" hidden="1">hybrid!$J$3</definedName>
    <definedName name="solver_lhs20" localSheetId="1" hidden="1">cc!$K$5</definedName>
    <definedName name="solver_lhs20" localSheetId="3" hidden="1">'cc (2)'!$K$5</definedName>
    <definedName name="solver_lhs20" localSheetId="5" hidden="1">'cc (4)'!$K$5</definedName>
    <definedName name="solver_lhs20" localSheetId="4" hidden="1">cc_best!$J$3</definedName>
    <definedName name="solver_lhs20" localSheetId="7" hidden="1">cc_high_end!$K$2</definedName>
    <definedName name="solver_lhs20" localSheetId="8" hidden="1">cc_law!$K$8</definedName>
    <definedName name="solver_lhs20" localSheetId="6" hidden="1">cc_low_end!$K$5</definedName>
    <definedName name="solver_lhs20" localSheetId="2" hidden="1">hybrid!$K$5</definedName>
    <definedName name="solver_lhs21" localSheetId="1" hidden="1">cc!$K$6</definedName>
    <definedName name="solver_lhs21" localSheetId="3" hidden="1">'cc (2)'!$K$6</definedName>
    <definedName name="solver_lhs21" localSheetId="5" hidden="1">'cc (4)'!$K$6</definedName>
    <definedName name="solver_lhs21" localSheetId="4" hidden="1">cc_best!$K$7</definedName>
    <definedName name="solver_lhs21" localSheetId="7" hidden="1">cc_high_end!$J$6</definedName>
    <definedName name="solver_lhs21" localSheetId="8" hidden="1">cc_law!$K$6</definedName>
    <definedName name="solver_lhs21" localSheetId="6" hidden="1">cc_low_end!$K$3</definedName>
    <definedName name="solver_lhs21" localSheetId="2" hidden="1">hybrid!$K$6</definedName>
    <definedName name="solver_lhs22" localSheetId="1" hidden="1">cc!$K$6</definedName>
    <definedName name="solver_lhs22" localSheetId="3" hidden="1">'cc (2)'!$K$6</definedName>
    <definedName name="solver_lhs22" localSheetId="5" hidden="1">'cc (4)'!$J$9</definedName>
    <definedName name="solver_lhs22" localSheetId="4" hidden="1">cc_best!$J$8</definedName>
    <definedName name="solver_lhs22" localSheetId="7" hidden="1">cc_high_end!$K$6</definedName>
    <definedName name="solver_lhs22" localSheetId="8" hidden="1">cc_law!$K$8</definedName>
    <definedName name="solver_lhs22" localSheetId="6" hidden="1">cc_low_end!$J$5</definedName>
    <definedName name="solver_lhs22" localSheetId="2" hidden="1">hybrid!$K$6</definedName>
    <definedName name="solver_lhs23" localSheetId="1" hidden="1">cc!$K$7</definedName>
    <definedName name="solver_lhs23" localSheetId="3" hidden="1">'cc (2)'!$K$7</definedName>
    <definedName name="solver_lhs23" localSheetId="5" hidden="1">'cc (4)'!$J$9</definedName>
    <definedName name="solver_lhs23" localSheetId="4" hidden="1">cc_best!$J$6</definedName>
    <definedName name="solver_lhs23" localSheetId="7" hidden="1">cc_high_end!$J$6</definedName>
    <definedName name="solver_lhs23" localSheetId="8" hidden="1">cc_law!$J$6</definedName>
    <definedName name="solver_lhs23" localSheetId="6" hidden="1">cc_low_end!$J$3</definedName>
    <definedName name="solver_lhs23" localSheetId="2" hidden="1">hybrid!$K$7</definedName>
    <definedName name="solver_lhs24" localSheetId="1" hidden="1">cc!$K$7</definedName>
    <definedName name="solver_lhs24" localSheetId="3" hidden="1">'cc (2)'!$K$7</definedName>
    <definedName name="solver_lhs24" localSheetId="5" hidden="1">'cc (4)'!$J$2</definedName>
    <definedName name="solver_lhs24" localSheetId="4" hidden="1">cc_best!$K$6</definedName>
    <definedName name="solver_lhs24" localSheetId="7" hidden="1">cc_high_end!$K$7</definedName>
    <definedName name="solver_lhs24" localSheetId="8" hidden="1">cc_law!$K$6</definedName>
    <definedName name="solver_lhs24" localSheetId="6" hidden="1">cc_low_end!$J$3</definedName>
    <definedName name="solver_lhs24" localSheetId="2" hidden="1">hybrid!$K$7</definedName>
    <definedName name="solver_lhs25" localSheetId="1" hidden="1">cc!$K$8</definedName>
    <definedName name="solver_lhs25" localSheetId="3" hidden="1">'cc (2)'!$K$8</definedName>
    <definedName name="solver_lhs25" localSheetId="5" hidden="1">'cc (4)'!$K$3</definedName>
    <definedName name="solver_lhs25" localSheetId="4" hidden="1">cc_best!$K$2</definedName>
    <definedName name="solver_lhs25" localSheetId="7" hidden="1">cc_high_end!$K$8</definedName>
    <definedName name="solver_lhs25" localSheetId="8" hidden="1">cc_law!$J$8</definedName>
    <definedName name="solver_lhs25" localSheetId="6" hidden="1">cc_low_end!$K$4</definedName>
    <definedName name="solver_lhs25" localSheetId="2" hidden="1">hybrid!$K$8</definedName>
    <definedName name="solver_lhs26" localSheetId="1" hidden="1">cc!$K$8</definedName>
    <definedName name="solver_lhs26" localSheetId="3" hidden="1">'cc (2)'!$K$8</definedName>
    <definedName name="solver_lhs26" localSheetId="5" hidden="1">'cc (4)'!$K$3</definedName>
    <definedName name="solver_lhs26" localSheetId="4" hidden="1">cc_best!$K$6</definedName>
    <definedName name="solver_lhs26" localSheetId="7" hidden="1">cc_high_end!$K$6</definedName>
    <definedName name="solver_lhs26" localSheetId="8" hidden="1">cc_law!$J$7</definedName>
    <definedName name="solver_lhs26" localSheetId="6" hidden="1">cc_low_end!$J$9</definedName>
    <definedName name="solver_lhs26" localSheetId="2" hidden="1">hybrid!$K$8</definedName>
    <definedName name="solver_lhs27" localSheetId="1" hidden="1">cc!$K$9</definedName>
    <definedName name="solver_lhs27" localSheetId="3" hidden="1">'cc (2)'!$K$9</definedName>
    <definedName name="solver_lhs27" localSheetId="5" hidden="1">'cc (4)'!$J$3</definedName>
    <definedName name="solver_lhs27" localSheetId="4" hidden="1">cc_best!$J$6</definedName>
    <definedName name="solver_lhs27" localSheetId="7" hidden="1">cc_high_end!$K$2</definedName>
    <definedName name="solver_lhs27" localSheetId="8" hidden="1">cc_law!$J$7</definedName>
    <definedName name="solver_lhs27" localSheetId="6" hidden="1">cc_low_end!$J$9</definedName>
    <definedName name="solver_lhs27" localSheetId="2" hidden="1">hybrid!$K$9</definedName>
    <definedName name="solver_lhs28" localSheetId="1" hidden="1">cc!$K$9</definedName>
    <definedName name="solver_lhs28" localSheetId="3" hidden="1">'cc (2)'!$K$9</definedName>
    <definedName name="solver_lhs28" localSheetId="5" hidden="1">'cc (4)'!$J$3</definedName>
    <definedName name="solver_lhs28" localSheetId="4" hidden="1">cc_best!$K$8</definedName>
    <definedName name="solver_lhs28" localSheetId="7" hidden="1">cc_high_end!$J$8</definedName>
    <definedName name="solver_lhs28" localSheetId="8" hidden="1">cc_law!$K$7</definedName>
    <definedName name="solver_lhs28" localSheetId="6" hidden="1">cc_low_end!$K$7</definedName>
    <definedName name="solver_lhs28" localSheetId="2" hidden="1">hybrid!$K$9</definedName>
    <definedName name="solver_lhs29" localSheetId="5" hidden="1">'cc (4)'!$J$7</definedName>
    <definedName name="solver_lhs29" localSheetId="4" hidden="1">cc_best!$K$8</definedName>
    <definedName name="solver_lhs29" localSheetId="7" hidden="1">cc_high_end!$K$8</definedName>
    <definedName name="solver_lhs29" localSheetId="8" hidden="1">cc_law!$K$7</definedName>
    <definedName name="solver_lhs29" localSheetId="6" hidden="1">cc_low_end!$K$9</definedName>
    <definedName name="solver_lhs3" localSheetId="1" hidden="1">cc!$J$4</definedName>
    <definedName name="solver_lhs3" localSheetId="3" hidden="1">'cc (2)'!$J$4</definedName>
    <definedName name="solver_lhs3" localSheetId="5" hidden="1">'cc (4)'!$J$8</definedName>
    <definedName name="solver_lhs3" localSheetId="4" hidden="1">cc_best!$J$2</definedName>
    <definedName name="solver_lhs3" localSheetId="7" hidden="1">cc_high_end!$J$2</definedName>
    <definedName name="solver_lhs3" localSheetId="8" hidden="1">cc_law!$K$3</definedName>
    <definedName name="solver_lhs3" localSheetId="6" hidden="1">cc_low_end!$J$7</definedName>
    <definedName name="solver_lhs3" localSheetId="2" hidden="1">hybrid!$J$4</definedName>
    <definedName name="solver_lhs30" localSheetId="5" hidden="1">'cc (4)'!$K$9</definedName>
    <definedName name="solver_lhs30" localSheetId="4" hidden="1">cc_best!$J$7</definedName>
    <definedName name="solver_lhs30" localSheetId="7" hidden="1">cc_high_end!$J$7</definedName>
    <definedName name="solver_lhs30" localSheetId="8" hidden="1">cc_law!$J$8</definedName>
    <definedName name="solver_lhs30" localSheetId="6" hidden="1">cc_low_end!$J$2</definedName>
    <definedName name="solver_lhs31" localSheetId="5" hidden="1">'cc (4)'!$J$2</definedName>
    <definedName name="solver_lhs31" localSheetId="4" hidden="1">cc_best!$J$7</definedName>
    <definedName name="solver_lhs31" localSheetId="7" hidden="1">cc_high_end!$J$7</definedName>
    <definedName name="solver_lhs31" localSheetId="8" hidden="1">cc_law!$K$9</definedName>
    <definedName name="solver_lhs31" localSheetId="6" hidden="1">cc_low_end!$J$2</definedName>
    <definedName name="solver_lhs32" localSheetId="5" hidden="1">'cc (4)'!$K$9</definedName>
    <definedName name="solver_lhs32" localSheetId="4" hidden="1">cc_best!$J$8</definedName>
    <definedName name="solver_lhs32" localSheetId="7" hidden="1">cc_high_end!$J$8</definedName>
    <definedName name="solver_lhs32" localSheetId="8" hidden="1">cc_law!$K$9</definedName>
    <definedName name="solver_lhs32" localSheetId="6" hidden="1">cc_low_end!$K$9</definedName>
    <definedName name="solver_lhs4" localSheetId="1" hidden="1">cc!$J$4</definedName>
    <definedName name="solver_lhs4" localSheetId="3" hidden="1">'cc (2)'!$J$4</definedName>
    <definedName name="solver_lhs4" localSheetId="5" hidden="1">'cc (4)'!$K$8</definedName>
    <definedName name="solver_lhs4" localSheetId="4" hidden="1">cc_best!$K$9</definedName>
    <definedName name="solver_lhs4" localSheetId="7" hidden="1">cc_high_end!$K$9</definedName>
    <definedName name="solver_lhs4" localSheetId="8" hidden="1">cc_law!$J$9</definedName>
    <definedName name="solver_lhs4" localSheetId="6" hidden="1">cc_low_end!$K$8</definedName>
    <definedName name="solver_lhs4" localSheetId="2" hidden="1">hybrid!$J$4</definedName>
    <definedName name="solver_lhs5" localSheetId="1" hidden="1">cc!$J$5</definedName>
    <definedName name="solver_lhs5" localSheetId="3" hidden="1">'cc (2)'!$J$5</definedName>
    <definedName name="solver_lhs5" localSheetId="5" hidden="1">'cc (4)'!$K$8</definedName>
    <definedName name="solver_lhs5" localSheetId="4" hidden="1">cc_best!$K$7</definedName>
    <definedName name="solver_lhs5" localSheetId="7" hidden="1">cc_high_end!$K$7</definedName>
    <definedName name="solver_lhs5" localSheetId="8" hidden="1">cc_law!$J$3</definedName>
    <definedName name="solver_lhs5" localSheetId="6" hidden="1">cc_low_end!$J$8</definedName>
    <definedName name="solver_lhs5" localSheetId="2" hidden="1">hybrid!$J$5</definedName>
    <definedName name="solver_lhs6" localSheetId="1" hidden="1">cc!$J$5</definedName>
    <definedName name="solver_lhs6" localSheetId="3" hidden="1">'cc (2)'!$J$5</definedName>
    <definedName name="solver_lhs6" localSheetId="5" hidden="1">'cc (4)'!$K$2</definedName>
    <definedName name="solver_lhs6" localSheetId="4" hidden="1">cc_best!$K$4</definedName>
    <definedName name="solver_lhs6" localSheetId="7" hidden="1">cc_high_end!$J$9</definedName>
    <definedName name="solver_lhs6" localSheetId="8" hidden="1">cc_law!$J$9</definedName>
    <definedName name="solver_lhs6" localSheetId="6" hidden="1">cc_low_end!$K$2</definedName>
    <definedName name="solver_lhs6" localSheetId="2" hidden="1">hybrid!$J$5</definedName>
    <definedName name="solver_lhs7" localSheetId="1" hidden="1">cc!$J$6</definedName>
    <definedName name="solver_lhs7" localSheetId="3" hidden="1">'cc (2)'!$J$6</definedName>
    <definedName name="solver_lhs7" localSheetId="5" hidden="1">'cc (4)'!$K$2</definedName>
    <definedName name="solver_lhs7" localSheetId="4" hidden="1">cc_best!$J$4</definedName>
    <definedName name="solver_lhs7" localSheetId="7" hidden="1">cc_high_end!$J$9</definedName>
    <definedName name="solver_lhs7" localSheetId="8" hidden="1">cc_law!$K$9</definedName>
    <definedName name="solver_lhs7" localSheetId="6" hidden="1">cc_low_end!$K$6</definedName>
    <definedName name="solver_lhs7" localSheetId="2" hidden="1">hybrid!$J$6</definedName>
    <definedName name="solver_lhs8" localSheetId="1" hidden="1">cc!$J$6</definedName>
    <definedName name="solver_lhs8" localSheetId="3" hidden="1">'cc (2)'!$J$6</definedName>
    <definedName name="solver_lhs8" localSheetId="5" hidden="1">'cc (4)'!$K$7</definedName>
    <definedName name="solver_lhs8" localSheetId="4" hidden="1">cc_best!$K$3</definedName>
    <definedName name="solver_lhs8" localSheetId="7" hidden="1">cc_high_end!$K$4</definedName>
    <definedName name="solver_lhs8" localSheetId="8" hidden="1">cc_law!$J$2</definedName>
    <definedName name="solver_lhs8" localSheetId="6" hidden="1">cc_low_end!$K$8</definedName>
    <definedName name="solver_lhs8" localSheetId="2" hidden="1">hybrid!$J$6</definedName>
    <definedName name="solver_lhs9" localSheetId="1" hidden="1">cc!$J$7</definedName>
    <definedName name="solver_lhs9" localSheetId="3" hidden="1">'cc (2)'!$J$7</definedName>
    <definedName name="solver_lhs9" localSheetId="5" hidden="1">'cc (4)'!$J$5</definedName>
    <definedName name="solver_lhs9" localSheetId="4" hidden="1">cc_best!$J$5</definedName>
    <definedName name="solver_lhs9" localSheetId="7" hidden="1">cc_high_end!$J$3</definedName>
    <definedName name="solver_lhs9" localSheetId="8" hidden="1">cc_law!$J$5</definedName>
    <definedName name="solver_lhs9" localSheetId="6" hidden="1">cc_low_end!$K$7</definedName>
    <definedName name="solver_lhs9" localSheetId="2" hidden="1">hybrid!$J$7</definedName>
    <definedName name="solver_mip" localSheetId="1" hidden="1">2147483647</definedName>
    <definedName name="solver_mip" localSheetId="3" hidden="1">2147483647</definedName>
    <definedName name="solver_mip" localSheetId="5" hidden="1">2147483647</definedName>
    <definedName name="solver_mip" localSheetId="4" hidden="1">2147483647</definedName>
    <definedName name="solver_mip" localSheetId="7" hidden="1">2147483647</definedName>
    <definedName name="solver_mip" localSheetId="8" hidden="1">2147483647</definedName>
    <definedName name="solver_mip" localSheetId="6" hidden="1">2147483647</definedName>
    <definedName name="solver_mip" localSheetId="2" hidden="1">2147483647</definedName>
    <definedName name="solver_mni" localSheetId="1" hidden="1">60</definedName>
    <definedName name="solver_mni" localSheetId="3" hidden="1">600</definedName>
    <definedName name="solver_mni" localSheetId="5" hidden="1">30</definedName>
    <definedName name="solver_mni" localSheetId="4" hidden="1">300</definedName>
    <definedName name="solver_mni" localSheetId="7" hidden="1">300</definedName>
    <definedName name="solver_mni" localSheetId="8" hidden="1">30</definedName>
    <definedName name="solver_mni" localSheetId="6" hidden="1">300</definedName>
    <definedName name="solver_mni" localSheetId="2" hidden="1">60</definedName>
    <definedName name="solver_mrt" localSheetId="1" hidden="1">0.075</definedName>
    <definedName name="solver_mrt" localSheetId="3" hidden="1">0.075</definedName>
    <definedName name="solver_mrt" localSheetId="5" hidden="1">0.075</definedName>
    <definedName name="solver_mrt" localSheetId="4" hidden="1">0.075</definedName>
    <definedName name="solver_mrt" localSheetId="7" hidden="1">0.075</definedName>
    <definedName name="solver_mrt" localSheetId="8" hidden="1">0.075</definedName>
    <definedName name="solver_mrt" localSheetId="6" hidden="1">0.075</definedName>
    <definedName name="solver_mrt" localSheetId="2" hidden="1">0.075</definedName>
    <definedName name="solver_msl" localSheetId="1" hidden="1">2</definedName>
    <definedName name="solver_msl" localSheetId="3" hidden="1">2</definedName>
    <definedName name="solver_msl" localSheetId="5" hidden="1">2</definedName>
    <definedName name="solver_msl" localSheetId="4" hidden="1">2</definedName>
    <definedName name="solver_msl" localSheetId="7" hidden="1">2</definedName>
    <definedName name="solver_msl" localSheetId="8" hidden="1">2</definedName>
    <definedName name="solver_msl" localSheetId="6" hidden="1">2</definedName>
    <definedName name="solver_msl" localSheetId="2" hidden="1">2</definedName>
    <definedName name="solver_neg" localSheetId="1" hidden="1">2</definedName>
    <definedName name="solver_neg" localSheetId="3" hidden="1">2</definedName>
    <definedName name="solver_neg" localSheetId="5" hidden="1">2</definedName>
    <definedName name="solver_neg" localSheetId="4" hidden="1">2</definedName>
    <definedName name="solver_neg" localSheetId="7" hidden="1">2</definedName>
    <definedName name="solver_neg" localSheetId="8" hidden="1">2</definedName>
    <definedName name="solver_neg" localSheetId="6" hidden="1">2</definedName>
    <definedName name="solver_neg" localSheetId="2" hidden="1">2</definedName>
    <definedName name="solver_nod" localSheetId="1" hidden="1">2147483647</definedName>
    <definedName name="solver_nod" localSheetId="3" hidden="1">2147483647</definedName>
    <definedName name="solver_nod" localSheetId="5" hidden="1">2147483647</definedName>
    <definedName name="solver_nod" localSheetId="4" hidden="1">2147483647</definedName>
    <definedName name="solver_nod" localSheetId="7" hidden="1">2147483647</definedName>
    <definedName name="solver_nod" localSheetId="8" hidden="1">2147483647</definedName>
    <definedName name="solver_nod" localSheetId="6" hidden="1">2147483647</definedName>
    <definedName name="solver_nod" localSheetId="2" hidden="1">2147483647</definedName>
    <definedName name="solver_num" localSheetId="1" hidden="1">28</definedName>
    <definedName name="solver_num" localSheetId="3" hidden="1">28</definedName>
    <definedName name="solver_num" localSheetId="5" hidden="1">32</definedName>
    <definedName name="solver_num" localSheetId="4" hidden="1">32</definedName>
    <definedName name="solver_num" localSheetId="7" hidden="1">32</definedName>
    <definedName name="solver_num" localSheetId="8" hidden="1">30</definedName>
    <definedName name="solver_num" localSheetId="6" hidden="1">32</definedName>
    <definedName name="solver_num" localSheetId="2" hidden="1">28</definedName>
    <definedName name="solver_nwt" localSheetId="1" hidden="1">1</definedName>
    <definedName name="solver_nwt" localSheetId="3" hidden="1">1</definedName>
    <definedName name="solver_nwt" localSheetId="5" hidden="1">1</definedName>
    <definedName name="solver_nwt" localSheetId="4" hidden="1">1</definedName>
    <definedName name="solver_nwt" localSheetId="7" hidden="1">1</definedName>
    <definedName name="solver_nwt" localSheetId="8" hidden="1">1</definedName>
    <definedName name="solver_nwt" localSheetId="6" hidden="1">1</definedName>
    <definedName name="solver_nwt" localSheetId="2" hidden="1">1</definedName>
    <definedName name="solver_opt" localSheetId="1" hidden="1">cc!$P$11</definedName>
    <definedName name="solver_opt" localSheetId="3" hidden="1">'cc (2)'!$P$11</definedName>
    <definedName name="solver_opt" localSheetId="5" hidden="1">'cc (4)'!$K$12</definedName>
    <definedName name="solver_opt" localSheetId="4" hidden="1">cc_best!$L$11</definedName>
    <definedName name="solver_opt" localSheetId="7" hidden="1">cc_high_end!$K$11</definedName>
    <definedName name="solver_opt" localSheetId="8" hidden="1">cc_law!$K$10</definedName>
    <definedName name="solver_opt" localSheetId="6" hidden="1">cc_low_end!$L$10</definedName>
    <definedName name="solver_opt" localSheetId="2" hidden="1">hybrid!$K$11</definedName>
    <definedName name="solver_pre" localSheetId="1" hidden="1">0.000001</definedName>
    <definedName name="solver_pre" localSheetId="3" hidden="1">0.00000001</definedName>
    <definedName name="solver_pre" localSheetId="5" hidden="1">0.00000001</definedName>
    <definedName name="solver_pre" localSheetId="4" hidden="1">0.0000000001</definedName>
    <definedName name="solver_pre" localSheetId="7" hidden="1">0.0000000001</definedName>
    <definedName name="solver_pre" localSheetId="8" hidden="1">0.00000001</definedName>
    <definedName name="solver_pre" localSheetId="6" hidden="1">0.0000000001</definedName>
    <definedName name="solver_pre" localSheetId="2" hidden="1">0.000001</definedName>
    <definedName name="solver_rbv" localSheetId="1" hidden="1">2</definedName>
    <definedName name="solver_rbv" localSheetId="3" hidden="1">2</definedName>
    <definedName name="solver_rbv" localSheetId="5" hidden="1">2</definedName>
    <definedName name="solver_rbv" localSheetId="4" hidden="1">1</definedName>
    <definedName name="solver_rbv" localSheetId="7" hidden="1">1</definedName>
    <definedName name="solver_rbv" localSheetId="8" hidden="1">1</definedName>
    <definedName name="solver_rbv" localSheetId="6" hidden="1">1</definedName>
    <definedName name="solver_rbv" localSheetId="2" hidden="1">2</definedName>
    <definedName name="solver_rel1" localSheetId="1" hidden="1">1</definedName>
    <definedName name="solver_rel1" localSheetId="3" hidden="1">1</definedName>
    <definedName name="solver_rel1" localSheetId="5" hidden="1">3</definedName>
    <definedName name="solver_rel1" localSheetId="4" hidden="1">1</definedName>
    <definedName name="solver_rel1" localSheetId="7" hidden="1">3</definedName>
    <definedName name="solver_rel1" localSheetId="8" hidden="1">1</definedName>
    <definedName name="solver_rel1" localSheetId="6" hidden="1">1</definedName>
    <definedName name="solver_rel1" localSheetId="2" hidden="1">1</definedName>
    <definedName name="solver_rel10" localSheetId="1" hidden="1">3</definedName>
    <definedName name="solver_rel10" localSheetId="3" hidden="1">3</definedName>
    <definedName name="solver_rel10" localSheetId="5" hidden="1">1</definedName>
    <definedName name="solver_rel10" localSheetId="4" hidden="1">3</definedName>
    <definedName name="solver_rel10" localSheetId="7" hidden="1">1</definedName>
    <definedName name="solver_rel10" localSheetId="8" hidden="1">3</definedName>
    <definedName name="solver_rel10" localSheetId="6" hidden="1">1</definedName>
    <definedName name="solver_rel10" localSheetId="2" hidden="1">3</definedName>
    <definedName name="solver_rel11" localSheetId="1" hidden="1">1</definedName>
    <definedName name="solver_rel11" localSheetId="3" hidden="1">1</definedName>
    <definedName name="solver_rel11" localSheetId="5" hidden="1">3</definedName>
    <definedName name="solver_rel11" localSheetId="4" hidden="1">1</definedName>
    <definedName name="solver_rel11" localSheetId="7" hidden="1">1</definedName>
    <definedName name="solver_rel11" localSheetId="8" hidden="1">1</definedName>
    <definedName name="solver_rel11" localSheetId="6" hidden="1">3</definedName>
    <definedName name="solver_rel11" localSheetId="2" hidden="1">1</definedName>
    <definedName name="solver_rel12" localSheetId="1" hidden="1">3</definedName>
    <definedName name="solver_rel12" localSheetId="3" hidden="1">3</definedName>
    <definedName name="solver_rel12" localSheetId="5" hidden="1">3</definedName>
    <definedName name="solver_rel12" localSheetId="4" hidden="1">3</definedName>
    <definedName name="solver_rel12" localSheetId="7" hidden="1">1</definedName>
    <definedName name="solver_rel12" localSheetId="8" hidden="1">1</definedName>
    <definedName name="solver_rel12" localSheetId="6" hidden="1">3</definedName>
    <definedName name="solver_rel12" localSheetId="2" hidden="1">3</definedName>
    <definedName name="solver_rel13" localSheetId="1" hidden="1">1</definedName>
    <definedName name="solver_rel13" localSheetId="3" hidden="1">1</definedName>
    <definedName name="solver_rel13" localSheetId="5" hidden="1">1</definedName>
    <definedName name="solver_rel13" localSheetId="4" hidden="1">1</definedName>
    <definedName name="solver_rel13" localSheetId="7" hidden="1">3</definedName>
    <definedName name="solver_rel13" localSheetId="8" hidden="1">3</definedName>
    <definedName name="solver_rel13" localSheetId="6" hidden="1">3</definedName>
    <definedName name="solver_rel13" localSheetId="2" hidden="1">1</definedName>
    <definedName name="solver_rel14" localSheetId="1" hidden="1">3</definedName>
    <definedName name="solver_rel14" localSheetId="3" hidden="1">3</definedName>
    <definedName name="solver_rel14" localSheetId="5" hidden="1">3</definedName>
    <definedName name="solver_rel14" localSheetId="4" hidden="1">3</definedName>
    <definedName name="solver_rel14" localSheetId="7" hidden="1">1</definedName>
    <definedName name="solver_rel14" localSheetId="8" hidden="1">1</definedName>
    <definedName name="solver_rel14" localSheetId="6" hidden="1">3</definedName>
    <definedName name="solver_rel14" localSheetId="2" hidden="1">3</definedName>
    <definedName name="solver_rel15" localSheetId="1" hidden="1">1</definedName>
    <definedName name="solver_rel15" localSheetId="3" hidden="1">1</definedName>
    <definedName name="solver_rel15" localSheetId="5" hidden="1">1</definedName>
    <definedName name="solver_rel15" localSheetId="4" hidden="1">3</definedName>
    <definedName name="solver_rel15" localSheetId="7" hidden="1">3</definedName>
    <definedName name="solver_rel15" localSheetId="8" hidden="1">3</definedName>
    <definedName name="solver_rel15" localSheetId="6" hidden="1">1</definedName>
    <definedName name="solver_rel15" localSheetId="2" hidden="1">1</definedName>
    <definedName name="solver_rel16" localSheetId="1" hidden="1">3</definedName>
    <definedName name="solver_rel16" localSheetId="3" hidden="1">3</definedName>
    <definedName name="solver_rel16" localSheetId="5" hidden="1">1</definedName>
    <definedName name="solver_rel16" localSheetId="4" hidden="1">1</definedName>
    <definedName name="solver_rel16" localSheetId="7" hidden="1">1</definedName>
    <definedName name="solver_rel16" localSheetId="8" hidden="1">3</definedName>
    <definedName name="solver_rel16" localSheetId="6" hidden="1">3</definedName>
    <definedName name="solver_rel16" localSheetId="2" hidden="1">3</definedName>
    <definedName name="solver_rel17" localSheetId="1" hidden="1">1</definedName>
    <definedName name="solver_rel17" localSheetId="3" hidden="1">1</definedName>
    <definedName name="solver_rel17" localSheetId="5" hidden="1">3</definedName>
    <definedName name="solver_rel17" localSheetId="4" hidden="1">3</definedName>
    <definedName name="solver_rel17" localSheetId="7" hidden="1">3</definedName>
    <definedName name="solver_rel17" localSheetId="8" hidden="1">3</definedName>
    <definedName name="solver_rel17" localSheetId="6" hidden="1">1</definedName>
    <definedName name="solver_rel17" localSheetId="2" hidden="1">1</definedName>
    <definedName name="solver_rel18" localSheetId="1" hidden="1">3</definedName>
    <definedName name="solver_rel18" localSheetId="3" hidden="1">3</definedName>
    <definedName name="solver_rel18" localSheetId="5" hidden="1">1</definedName>
    <definedName name="solver_rel18" localSheetId="4" hidden="1">1</definedName>
    <definedName name="solver_rel18" localSheetId="7" hidden="1">1</definedName>
    <definedName name="solver_rel18" localSheetId="8" hidden="1">3</definedName>
    <definedName name="solver_rel18" localSheetId="6" hidden="1">3</definedName>
    <definedName name="solver_rel18" localSheetId="2" hidden="1">3</definedName>
    <definedName name="solver_rel19" localSheetId="1" hidden="1">1</definedName>
    <definedName name="solver_rel19" localSheetId="3" hidden="1">1</definedName>
    <definedName name="solver_rel19" localSheetId="5" hidden="1">3</definedName>
    <definedName name="solver_rel19" localSheetId="4" hidden="1">1</definedName>
    <definedName name="solver_rel19" localSheetId="7" hidden="1">3</definedName>
    <definedName name="solver_rel19" localSheetId="8" hidden="1">1</definedName>
    <definedName name="solver_rel19" localSheetId="6" hidden="1">1</definedName>
    <definedName name="solver_rel19" localSheetId="2" hidden="1">1</definedName>
    <definedName name="solver_rel2" localSheetId="1" hidden="1">3</definedName>
    <definedName name="solver_rel2" localSheetId="3" hidden="1">3</definedName>
    <definedName name="solver_rel2" localSheetId="5" hidden="1">3</definedName>
    <definedName name="solver_rel2" localSheetId="4" hidden="1">1</definedName>
    <definedName name="solver_rel2" localSheetId="7" hidden="1">3</definedName>
    <definedName name="solver_rel2" localSheetId="8" hidden="1">3</definedName>
    <definedName name="solver_rel2" localSheetId="6" hidden="1">1</definedName>
    <definedName name="solver_rel2" localSheetId="2" hidden="1">3</definedName>
    <definedName name="solver_rel20" localSheetId="1" hidden="1">3</definedName>
    <definedName name="solver_rel20" localSheetId="3" hidden="1">3</definedName>
    <definedName name="solver_rel20" localSheetId="5" hidden="1">3</definedName>
    <definedName name="solver_rel20" localSheetId="4" hidden="1">3</definedName>
    <definedName name="solver_rel20" localSheetId="7" hidden="1">3</definedName>
    <definedName name="solver_rel20" localSheetId="8" hidden="1">1</definedName>
    <definedName name="solver_rel20" localSheetId="6" hidden="1">3</definedName>
    <definedName name="solver_rel20" localSheetId="2" hidden="1">3</definedName>
    <definedName name="solver_rel21" localSheetId="1" hidden="1">1</definedName>
    <definedName name="solver_rel21" localSheetId="3" hidden="1">1</definedName>
    <definedName name="solver_rel21" localSheetId="5" hidden="1">1</definedName>
    <definedName name="solver_rel21" localSheetId="4" hidden="1">1</definedName>
    <definedName name="solver_rel21" localSheetId="7" hidden="1">3</definedName>
    <definedName name="solver_rel21" localSheetId="8" hidden="1">1</definedName>
    <definedName name="solver_rel21" localSheetId="6" hidden="1">1</definedName>
    <definedName name="solver_rel21" localSheetId="2" hidden="1">1</definedName>
    <definedName name="solver_rel22" localSheetId="1" hidden="1">3</definedName>
    <definedName name="solver_rel22" localSheetId="3" hidden="1">3</definedName>
    <definedName name="solver_rel22" localSheetId="5" hidden="1">1</definedName>
    <definedName name="solver_rel22" localSheetId="4" hidden="1">3</definedName>
    <definedName name="solver_rel22" localSheetId="7" hidden="1">3</definedName>
    <definedName name="solver_rel22" localSheetId="8" hidden="1">3</definedName>
    <definedName name="solver_rel22" localSheetId="6" hidden="1">1</definedName>
    <definedName name="solver_rel22" localSheetId="2" hidden="1">3</definedName>
    <definedName name="solver_rel23" localSheetId="1" hidden="1">1</definedName>
    <definedName name="solver_rel23" localSheetId="3" hidden="1">1</definedName>
    <definedName name="solver_rel23" localSheetId="5" hidden="1">3</definedName>
    <definedName name="solver_rel23" localSheetId="4" hidden="1">1</definedName>
    <definedName name="solver_rel23" localSheetId="7" hidden="1">1</definedName>
    <definedName name="solver_rel23" localSheetId="8" hidden="1">1</definedName>
    <definedName name="solver_rel23" localSheetId="6" hidden="1">1</definedName>
    <definedName name="solver_rel23" localSheetId="2" hidden="1">1</definedName>
    <definedName name="solver_rel24" localSheetId="1" hidden="1">3</definedName>
    <definedName name="solver_rel24" localSheetId="3" hidden="1">3</definedName>
    <definedName name="solver_rel24" localSheetId="5" hidden="1">1</definedName>
    <definedName name="solver_rel24" localSheetId="4" hidden="1">3</definedName>
    <definedName name="solver_rel24" localSheetId="7" hidden="1">1</definedName>
    <definedName name="solver_rel24" localSheetId="8" hidden="1">3</definedName>
    <definedName name="solver_rel24" localSheetId="6" hidden="1">3</definedName>
    <definedName name="solver_rel24" localSheetId="2" hidden="1">3</definedName>
    <definedName name="solver_rel25" localSheetId="1" hidden="1">1</definedName>
    <definedName name="solver_rel25" localSheetId="3" hidden="1">1</definedName>
    <definedName name="solver_rel25" localSheetId="5" hidden="1">3</definedName>
    <definedName name="solver_rel25" localSheetId="4" hidden="1">1</definedName>
    <definedName name="solver_rel25" localSheetId="7" hidden="1">3</definedName>
    <definedName name="solver_rel25" localSheetId="8" hidden="1">3</definedName>
    <definedName name="solver_rel25" localSheetId="6" hidden="1">3</definedName>
    <definedName name="solver_rel25" localSheetId="2" hidden="1">1</definedName>
    <definedName name="solver_rel26" localSheetId="1" hidden="1">3</definedName>
    <definedName name="solver_rel26" localSheetId="3" hidden="1">3</definedName>
    <definedName name="solver_rel26" localSheetId="5" hidden="1">1</definedName>
    <definedName name="solver_rel26" localSheetId="4" hidden="1">1</definedName>
    <definedName name="solver_rel26" localSheetId="7" hidden="1">1</definedName>
    <definedName name="solver_rel26" localSheetId="8" hidden="1">1</definedName>
    <definedName name="solver_rel26" localSheetId="6" hidden="1">1</definedName>
    <definedName name="solver_rel26" localSheetId="2" hidden="1">3</definedName>
    <definedName name="solver_rel27" localSheetId="1" hidden="1">1</definedName>
    <definedName name="solver_rel27" localSheetId="3" hidden="1">1</definedName>
    <definedName name="solver_rel27" localSheetId="5" hidden="1">1</definedName>
    <definedName name="solver_rel27" localSheetId="4" hidden="1">3</definedName>
    <definedName name="solver_rel27" localSheetId="7" hidden="1">1</definedName>
    <definedName name="solver_rel27" localSheetId="8" hidden="1">3</definedName>
    <definedName name="solver_rel27" localSheetId="6" hidden="1">3</definedName>
    <definedName name="solver_rel27" localSheetId="2" hidden="1">1</definedName>
    <definedName name="solver_rel28" localSheetId="1" hidden="1">3</definedName>
    <definedName name="solver_rel28" localSheetId="3" hidden="1">3</definedName>
    <definedName name="solver_rel28" localSheetId="5" hidden="1">3</definedName>
    <definedName name="solver_rel28" localSheetId="4" hidden="1">3</definedName>
    <definedName name="solver_rel28" localSheetId="7" hidden="1">3</definedName>
    <definedName name="solver_rel28" localSheetId="8" hidden="1">1</definedName>
    <definedName name="solver_rel28" localSheetId="6" hidden="1">3</definedName>
    <definedName name="solver_rel28" localSheetId="2" hidden="1">3</definedName>
    <definedName name="solver_rel29" localSheetId="5" hidden="1">1</definedName>
    <definedName name="solver_rel29" localSheetId="4" hidden="1">1</definedName>
    <definedName name="solver_rel29" localSheetId="7" hidden="1">1</definedName>
    <definedName name="solver_rel29" localSheetId="8" hidden="1">3</definedName>
    <definedName name="solver_rel29" localSheetId="6" hidden="1">1</definedName>
    <definedName name="solver_rel3" localSheetId="1" hidden="1">1</definedName>
    <definedName name="solver_rel3" localSheetId="3" hidden="1">1</definedName>
    <definedName name="solver_rel3" localSheetId="5" hidden="1">3</definedName>
    <definedName name="solver_rel3" localSheetId="4" hidden="1">3</definedName>
    <definedName name="solver_rel3" localSheetId="7" hidden="1">1</definedName>
    <definedName name="solver_rel3" localSheetId="8" hidden="1">1</definedName>
    <definedName name="solver_rel3" localSheetId="6" hidden="1">3</definedName>
    <definedName name="solver_rel3" localSheetId="2" hidden="1">1</definedName>
    <definedName name="solver_rel30" localSheetId="5" hidden="1">3</definedName>
    <definedName name="solver_rel30" localSheetId="4" hidden="1">3</definedName>
    <definedName name="solver_rel30" localSheetId="7" hidden="1">3</definedName>
    <definedName name="solver_rel30" localSheetId="8" hidden="1">1</definedName>
    <definedName name="solver_rel30" localSheetId="6" hidden="1">1</definedName>
    <definedName name="solver_rel31" localSheetId="5" hidden="1">3</definedName>
    <definedName name="solver_rel31" localSheetId="4" hidden="1">1</definedName>
    <definedName name="solver_rel31" localSheetId="7" hidden="1">1</definedName>
    <definedName name="solver_rel31" localSheetId="8" hidden="1">1</definedName>
    <definedName name="solver_rel31" localSheetId="6" hidden="1">3</definedName>
    <definedName name="solver_rel32" localSheetId="5" hidden="1">1</definedName>
    <definedName name="solver_rel32" localSheetId="4" hidden="1">1</definedName>
    <definedName name="solver_rel32" localSheetId="7" hidden="1">1</definedName>
    <definedName name="solver_rel32" localSheetId="8" hidden="1">1</definedName>
    <definedName name="solver_rel32" localSheetId="6" hidden="1">3</definedName>
    <definedName name="solver_rel4" localSheetId="1" hidden="1">3</definedName>
    <definedName name="solver_rel4" localSheetId="3" hidden="1">3</definedName>
    <definedName name="solver_rel4" localSheetId="5" hidden="1">1</definedName>
    <definedName name="solver_rel4" localSheetId="4" hidden="1">3</definedName>
    <definedName name="solver_rel4" localSheetId="7" hidden="1">1</definedName>
    <definedName name="solver_rel4" localSheetId="8" hidden="1">3</definedName>
    <definedName name="solver_rel4" localSheetId="6" hidden="1">1</definedName>
    <definedName name="solver_rel4" localSheetId="2" hidden="1">3</definedName>
    <definedName name="solver_rel5" localSheetId="1" hidden="1">1</definedName>
    <definedName name="solver_rel5" localSheetId="3" hidden="1">1</definedName>
    <definedName name="solver_rel5" localSheetId="5" hidden="1">3</definedName>
    <definedName name="solver_rel5" localSheetId="4" hidden="1">3</definedName>
    <definedName name="solver_rel5" localSheetId="7" hidden="1">3</definedName>
    <definedName name="solver_rel5" localSheetId="8" hidden="1">3</definedName>
    <definedName name="solver_rel5" localSheetId="6" hidden="1">3</definedName>
    <definedName name="solver_rel5" localSheetId="2" hidden="1">1</definedName>
    <definedName name="solver_rel6" localSheetId="1" hidden="1">3</definedName>
    <definedName name="solver_rel6" localSheetId="3" hidden="1">3</definedName>
    <definedName name="solver_rel6" localSheetId="5" hidden="1">1</definedName>
    <definedName name="solver_rel6" localSheetId="4" hidden="1">1</definedName>
    <definedName name="solver_rel6" localSheetId="7" hidden="1">3</definedName>
    <definedName name="solver_rel6" localSheetId="8" hidden="1">1</definedName>
    <definedName name="solver_rel6" localSheetId="6" hidden="1">1</definedName>
    <definedName name="solver_rel6" localSheetId="2" hidden="1">3</definedName>
    <definedName name="solver_rel7" localSheetId="1" hidden="1">1</definedName>
    <definedName name="solver_rel7" localSheetId="3" hidden="1">1</definedName>
    <definedName name="solver_rel7" localSheetId="5" hidden="1">3</definedName>
    <definedName name="solver_rel7" localSheetId="4" hidden="1">1</definedName>
    <definedName name="solver_rel7" localSheetId="7" hidden="1">1</definedName>
    <definedName name="solver_rel7" localSheetId="8" hidden="1">3</definedName>
    <definedName name="solver_rel7" localSheetId="6" hidden="1">1</definedName>
    <definedName name="solver_rel7" localSheetId="2" hidden="1">1</definedName>
    <definedName name="solver_rel8" localSheetId="1" hidden="1">3</definedName>
    <definedName name="solver_rel8" localSheetId="3" hidden="1">3</definedName>
    <definedName name="solver_rel8" localSheetId="5" hidden="1">1</definedName>
    <definedName name="solver_rel8" localSheetId="4" hidden="1">3</definedName>
    <definedName name="solver_rel8" localSheetId="7" hidden="1">3</definedName>
    <definedName name="solver_rel8" localSheetId="8" hidden="1">1</definedName>
    <definedName name="solver_rel8" localSheetId="6" hidden="1">3</definedName>
    <definedName name="solver_rel8" localSheetId="2" hidden="1">3</definedName>
    <definedName name="solver_rel9" localSheetId="1" hidden="1">1</definedName>
    <definedName name="solver_rel9" localSheetId="3" hidden="1">1</definedName>
    <definedName name="solver_rel9" localSheetId="5" hidden="1">1</definedName>
    <definedName name="solver_rel9" localSheetId="4" hidden="1">3</definedName>
    <definedName name="solver_rel9" localSheetId="7" hidden="1">3</definedName>
    <definedName name="solver_rel9" localSheetId="8" hidden="1">1</definedName>
    <definedName name="solver_rel9" localSheetId="6" hidden="1">1</definedName>
    <definedName name="solver_rel9" localSheetId="2" hidden="1">1</definedName>
    <definedName name="solver_rhs1" localSheetId="1" hidden="1">10</definedName>
    <definedName name="solver_rhs1" localSheetId="3" hidden="1">10</definedName>
    <definedName name="solver_rhs1" localSheetId="5" hidden="1">0.5</definedName>
    <definedName name="solver_rhs1" localSheetId="4" hidden="1">100</definedName>
    <definedName name="solver_rhs1" localSheetId="7" hidden="1">-100</definedName>
    <definedName name="solver_rhs1" localSheetId="8" hidden="1">100</definedName>
    <definedName name="solver_rhs1" localSheetId="6" hidden="1">4</definedName>
    <definedName name="solver_rhs1" localSheetId="2" hidden="1">10</definedName>
    <definedName name="solver_rhs10" localSheetId="1" hidden="1">-10</definedName>
    <definedName name="solver_rhs10" localSheetId="3" hidden="1">-10</definedName>
    <definedName name="solver_rhs10" localSheetId="5" hidden="1">3</definedName>
    <definedName name="solver_rhs10" localSheetId="4" hidden="1">-5</definedName>
    <definedName name="solver_rhs10" localSheetId="7" hidden="1">5</definedName>
    <definedName name="solver_rhs10" localSheetId="8" hidden="1">-5</definedName>
    <definedName name="solver_rhs10" localSheetId="6" hidden="1">5</definedName>
    <definedName name="solver_rhs10" localSheetId="2" hidden="1">-10</definedName>
    <definedName name="solver_rhs11" localSheetId="1" hidden="1">1</definedName>
    <definedName name="solver_rhs11" localSheetId="3" hidden="1">1</definedName>
    <definedName name="solver_rhs11" localSheetId="5" hidden="1">-1</definedName>
    <definedName name="solver_rhs11" localSheetId="4" hidden="1">5</definedName>
    <definedName name="solver_rhs11" localSheetId="7" hidden="1">5</definedName>
    <definedName name="solver_rhs11" localSheetId="8" hidden="1">5</definedName>
    <definedName name="solver_rhs11" localSheetId="6" hidden="1">-5</definedName>
    <definedName name="solver_rhs11" localSheetId="2" hidden="1">20</definedName>
    <definedName name="solver_rhs12" localSheetId="1" hidden="1">0.9</definedName>
    <definedName name="solver_rhs12" localSheetId="3" hidden="1">0.9</definedName>
    <definedName name="solver_rhs12" localSheetId="5" hidden="1">-3</definedName>
    <definedName name="solver_rhs12" localSheetId="4" hidden="1">-5</definedName>
    <definedName name="solver_rhs12" localSheetId="7" hidden="1">5</definedName>
    <definedName name="solver_rhs12" localSheetId="8" hidden="1">5</definedName>
    <definedName name="solver_rhs12" localSheetId="6" hidden="1">-5</definedName>
    <definedName name="solver_rhs12" localSheetId="2" hidden="1">-20</definedName>
    <definedName name="solver_rhs13" localSheetId="1" hidden="1">10</definedName>
    <definedName name="solver_rhs13" localSheetId="3" hidden="1">10</definedName>
    <definedName name="solver_rhs13" localSheetId="5" hidden="1">1</definedName>
    <definedName name="solver_rhs13" localSheetId="4" hidden="1">5</definedName>
    <definedName name="solver_rhs13" localSheetId="7" hidden="1">-5</definedName>
    <definedName name="solver_rhs13" localSheetId="8" hidden="1">-5</definedName>
    <definedName name="solver_rhs13" localSheetId="6" hidden="1">8.84</definedName>
    <definedName name="solver_rhs13" localSheetId="2" hidden="1">10</definedName>
    <definedName name="solver_rhs14" localSheetId="1" hidden="1">-10</definedName>
    <definedName name="solver_rhs14" localSheetId="3" hidden="1">-10</definedName>
    <definedName name="solver_rhs14" localSheetId="5" hidden="1">-1</definedName>
    <definedName name="solver_rhs14" localSheetId="4" hidden="1">-5</definedName>
    <definedName name="solver_rhs14" localSheetId="7" hidden="1">5</definedName>
    <definedName name="solver_rhs14" localSheetId="8" hidden="1">5</definedName>
    <definedName name="solver_rhs14" localSheetId="6" hidden="1">-5</definedName>
    <definedName name="solver_rhs14" localSheetId="2" hidden="1">-10</definedName>
    <definedName name="solver_rhs15" localSheetId="1" hidden="1">10</definedName>
    <definedName name="solver_rhs15" localSheetId="3" hidden="1">10</definedName>
    <definedName name="solver_rhs15" localSheetId="5" hidden="1">2</definedName>
    <definedName name="solver_rhs15" localSheetId="4" hidden="1">8.84</definedName>
    <definedName name="solver_rhs15" localSheetId="7" hidden="1">-5</definedName>
    <definedName name="solver_rhs15" localSheetId="8" hidden="1">-5</definedName>
    <definedName name="solver_rhs15" localSheetId="6" hidden="1">5</definedName>
    <definedName name="solver_rhs15" localSheetId="2" hidden="1">10</definedName>
    <definedName name="solver_rhs16" localSheetId="1" hidden="1">-10</definedName>
    <definedName name="solver_rhs16" localSheetId="3" hidden="1">-10</definedName>
    <definedName name="solver_rhs16" localSheetId="5" hidden="1">5</definedName>
    <definedName name="solver_rhs16" localSheetId="4" hidden="1">20</definedName>
    <definedName name="solver_rhs16" localSheetId="7" hidden="1">5</definedName>
    <definedName name="solver_rhs16" localSheetId="8" hidden="1">-5</definedName>
    <definedName name="solver_rhs16" localSheetId="6" hidden="1">-5</definedName>
    <definedName name="solver_rhs16" localSheetId="2" hidden="1">-10</definedName>
    <definedName name="solver_rhs17" localSheetId="1" hidden="1">3</definedName>
    <definedName name="solver_rhs17" localSheetId="3" hidden="1">3</definedName>
    <definedName name="solver_rhs17" localSheetId="5" hidden="1">-2</definedName>
    <definedName name="solver_rhs17" localSheetId="4" hidden="1">-20</definedName>
    <definedName name="solver_rhs17" localSheetId="7" hidden="1">-5</definedName>
    <definedName name="solver_rhs17" localSheetId="8" hidden="1">-5</definedName>
    <definedName name="solver_rhs17" localSheetId="6" hidden="1">5</definedName>
    <definedName name="solver_rhs17" localSheetId="2" hidden="1">3</definedName>
    <definedName name="solver_rhs18" localSheetId="1" hidden="1">-3</definedName>
    <definedName name="solver_rhs18" localSheetId="3" hidden="1">-3</definedName>
    <definedName name="solver_rhs18" localSheetId="5" hidden="1">2</definedName>
    <definedName name="solver_rhs18" localSheetId="4" hidden="1">5</definedName>
    <definedName name="solver_rhs18" localSheetId="7" hidden="1">5</definedName>
    <definedName name="solver_rhs18" localSheetId="8" hidden="1">-5</definedName>
    <definedName name="solver_rhs18" localSheetId="6" hidden="1">-5</definedName>
    <definedName name="solver_rhs18" localSheetId="2" hidden="1">-3</definedName>
    <definedName name="solver_rhs19" localSheetId="1" hidden="1">2</definedName>
    <definedName name="solver_rhs19" localSheetId="3" hidden="1">2</definedName>
    <definedName name="solver_rhs19" localSheetId="5" hidden="1">-2</definedName>
    <definedName name="solver_rhs19" localSheetId="4" hidden="1">5</definedName>
    <definedName name="solver_rhs19" localSheetId="7" hidden="1">-5</definedName>
    <definedName name="solver_rhs19" localSheetId="8" hidden="1">5</definedName>
    <definedName name="solver_rhs19" localSheetId="6" hidden="1">5</definedName>
    <definedName name="solver_rhs19" localSheetId="2" hidden="1">2</definedName>
    <definedName name="solver_rhs2" localSheetId="1" hidden="1">-10</definedName>
    <definedName name="solver_rhs2" localSheetId="3" hidden="1">-10</definedName>
    <definedName name="solver_rhs2" localSheetId="5" hidden="1">40</definedName>
    <definedName name="solver_rhs2" localSheetId="4" hidden="1">2.4</definedName>
    <definedName name="solver_rhs2" localSheetId="7" hidden="1">2.3</definedName>
    <definedName name="solver_rhs2" localSheetId="8" hidden="1">2</definedName>
    <definedName name="solver_rhs2" localSheetId="6" hidden="1">5</definedName>
    <definedName name="solver_rhs2" localSheetId="2" hidden="1">-10</definedName>
    <definedName name="solver_rhs20" localSheetId="1" hidden="1">-2</definedName>
    <definedName name="solver_rhs20" localSheetId="3" hidden="1">-2</definedName>
    <definedName name="solver_rhs20" localSheetId="5" hidden="1">-3</definedName>
    <definedName name="solver_rhs20" localSheetId="4" hidden="1">-5</definedName>
    <definedName name="solver_rhs20" localSheetId="7" hidden="1">8.84</definedName>
    <definedName name="solver_rhs20" localSheetId="8" hidden="1">6.3</definedName>
    <definedName name="solver_rhs20" localSheetId="6" hidden="1">-5</definedName>
    <definedName name="solver_rhs20" localSheetId="2" hidden="1">-2</definedName>
    <definedName name="solver_rhs21" localSheetId="1" hidden="1">2.4</definedName>
    <definedName name="solver_rhs21" localSheetId="3" hidden="1">2.4</definedName>
    <definedName name="solver_rhs21" localSheetId="5" hidden="1">1</definedName>
    <definedName name="solver_rhs21" localSheetId="4" hidden="1">50</definedName>
    <definedName name="solver_rhs21" localSheetId="7" hidden="1">-5</definedName>
    <definedName name="solver_rhs21" localSheetId="8" hidden="1">5</definedName>
    <definedName name="solver_rhs21" localSheetId="6" hidden="1">5</definedName>
    <definedName name="solver_rhs21" localSheetId="2" hidden="1">2.4</definedName>
    <definedName name="solver_rhs22" localSheetId="1" hidden="1">2.2</definedName>
    <definedName name="solver_rhs22" localSheetId="3" hidden="1">2.2</definedName>
    <definedName name="solver_rhs22" localSheetId="5" hidden="1">-3</definedName>
    <definedName name="solver_rhs22" localSheetId="4" hidden="1">-5</definedName>
    <definedName name="solver_rhs22" localSheetId="7" hidden="1">-5</definedName>
    <definedName name="solver_rhs22" localSheetId="8" hidden="1">-7</definedName>
    <definedName name="solver_rhs22" localSheetId="6" hidden="1">5</definedName>
    <definedName name="solver_rhs22" localSheetId="2" hidden="1">2.2</definedName>
    <definedName name="solver_rhs23" localSheetId="1" hidden="1">10</definedName>
    <definedName name="solver_rhs23" localSheetId="3" hidden="1">10</definedName>
    <definedName name="solver_rhs23" localSheetId="5" hidden="1">-4</definedName>
    <definedName name="solver_rhs23" localSheetId="4" hidden="1">5</definedName>
    <definedName name="solver_rhs23" localSheetId="7" hidden="1">5</definedName>
    <definedName name="solver_rhs23" localSheetId="8" hidden="1">5</definedName>
    <definedName name="solver_rhs23" localSheetId="6" hidden="1">5</definedName>
    <definedName name="solver_rhs23" localSheetId="2" hidden="1">10</definedName>
    <definedName name="solver_rhs24" localSheetId="1" hidden="1">-10</definedName>
    <definedName name="solver_rhs24" localSheetId="3" hidden="1">-10</definedName>
    <definedName name="solver_rhs24" localSheetId="5" hidden="1">2.4</definedName>
    <definedName name="solver_rhs24" localSheetId="4" hidden="1">-5</definedName>
    <definedName name="solver_rhs24" localSheetId="7" hidden="1">50</definedName>
    <definedName name="solver_rhs24" localSheetId="8" hidden="1">-5</definedName>
    <definedName name="solver_rhs24" localSheetId="6" hidden="1">-5</definedName>
    <definedName name="solver_rhs24" localSheetId="2" hidden="1">-10</definedName>
    <definedName name="solver_rhs25" localSheetId="1" hidden="1">10</definedName>
    <definedName name="solver_rhs25" localSheetId="3" hidden="1">10</definedName>
    <definedName name="solver_rhs25" localSheetId="5" hidden="1">-1</definedName>
    <definedName name="solver_rhs25" localSheetId="4" hidden="1">8.86</definedName>
    <definedName name="solver_rhs25" localSheetId="7" hidden="1">-7</definedName>
    <definedName name="solver_rhs25" localSheetId="8" hidden="1">-5</definedName>
    <definedName name="solver_rhs25" localSheetId="6" hidden="1">-5</definedName>
    <definedName name="solver_rhs25" localSheetId="2" hidden="1">10</definedName>
    <definedName name="solver_rhs26" localSheetId="1" hidden="1">-10</definedName>
    <definedName name="solver_rhs26" localSheetId="3" hidden="1">-10</definedName>
    <definedName name="solver_rhs26" localSheetId="5" hidden="1">1</definedName>
    <definedName name="solver_rhs26" localSheetId="4" hidden="1">5</definedName>
    <definedName name="solver_rhs26" localSheetId="7" hidden="1">5</definedName>
    <definedName name="solver_rhs26" localSheetId="8" hidden="1">4</definedName>
    <definedName name="solver_rhs26" localSheetId="6" hidden="1">20</definedName>
    <definedName name="solver_rhs26" localSheetId="2" hidden="1">-10</definedName>
    <definedName name="solver_rhs27" localSheetId="1" hidden="1">7</definedName>
    <definedName name="solver_rhs27" localSheetId="3" hidden="1">7</definedName>
    <definedName name="solver_rhs27" localSheetId="5" hidden="1">1</definedName>
    <definedName name="solver_rhs27" localSheetId="4" hidden="1">-5</definedName>
    <definedName name="solver_rhs27" localSheetId="7" hidden="1">8.86</definedName>
    <definedName name="solver_rhs27" localSheetId="8" hidden="1">0</definedName>
    <definedName name="solver_rhs27" localSheetId="6" hidden="1">-20</definedName>
    <definedName name="solver_rhs27" localSheetId="2" hidden="1">7</definedName>
    <definedName name="solver_rhs28" localSheetId="1" hidden="1">-7</definedName>
    <definedName name="solver_rhs28" localSheetId="3" hidden="1">-7</definedName>
    <definedName name="solver_rhs28" localSheetId="5" hidden="1">-1</definedName>
    <definedName name="solver_rhs28" localSheetId="4" hidden="1">-7</definedName>
    <definedName name="solver_rhs28" localSheetId="7" hidden="1">-5</definedName>
    <definedName name="solver_rhs28" localSheetId="8" hidden="1">50</definedName>
    <definedName name="solver_rhs28" localSheetId="6" hidden="1">40</definedName>
    <definedName name="solver_rhs28" localSheetId="2" hidden="1">-7</definedName>
    <definedName name="solver_rhs29" localSheetId="5" hidden="1">0.6</definedName>
    <definedName name="solver_rhs29" localSheetId="4" hidden="1">6.3</definedName>
    <definedName name="solver_rhs29" localSheetId="7" hidden="1">6.3</definedName>
    <definedName name="solver_rhs29" localSheetId="8" hidden="1">40</definedName>
    <definedName name="solver_rhs29" localSheetId="6" hidden="1">100</definedName>
    <definedName name="solver_rhs3" localSheetId="1" hidden="1">10</definedName>
    <definedName name="solver_rhs3" localSheetId="3" hidden="1">10</definedName>
    <definedName name="solver_rhs3" localSheetId="5" hidden="1">-5</definedName>
    <definedName name="solver_rhs3" localSheetId="4" hidden="1">2.3</definedName>
    <definedName name="solver_rhs3" localSheetId="7" hidden="1">2.4</definedName>
    <definedName name="solver_rhs3" localSheetId="8" hidden="1">5</definedName>
    <definedName name="solver_rhs3" localSheetId="6" hidden="1">0</definedName>
    <definedName name="solver_rhs3" localSheetId="2" hidden="1">10</definedName>
    <definedName name="solver_rhs30" localSheetId="5" hidden="1">-25</definedName>
    <definedName name="solver_rhs30" localSheetId="4" hidden="1">0</definedName>
    <definedName name="solver_rhs30" localSheetId="7" hidden="1">0</definedName>
    <definedName name="solver_rhs30" localSheetId="8" hidden="1">5</definedName>
    <definedName name="solver_rhs30" localSheetId="6" hidden="1">2.4</definedName>
    <definedName name="solver_rhs31" localSheetId="5" hidden="1">2.3</definedName>
    <definedName name="solver_rhs31" localSheetId="4" hidden="1">4</definedName>
    <definedName name="solver_rhs31" localSheetId="7" hidden="1">4</definedName>
    <definedName name="solver_rhs31" localSheetId="8" hidden="1">100</definedName>
    <definedName name="solver_rhs31" localSheetId="6" hidden="1">2.3</definedName>
    <definedName name="solver_rhs32" localSheetId="5" hidden="1">-15</definedName>
    <definedName name="solver_rhs32" localSheetId="4" hidden="1">5</definedName>
    <definedName name="solver_rhs32" localSheetId="7" hidden="1">5</definedName>
    <definedName name="solver_rhs32" localSheetId="8" hidden="1">100</definedName>
    <definedName name="solver_rhs32" localSheetId="6" hidden="1">-100</definedName>
    <definedName name="solver_rhs4" localSheetId="1" hidden="1">-10</definedName>
    <definedName name="solver_rhs4" localSheetId="3" hidden="1">-10</definedName>
    <definedName name="solver_rhs4" localSheetId="5" hidden="1">6.3</definedName>
    <definedName name="solver_rhs4" localSheetId="4" hidden="1">-100</definedName>
    <definedName name="solver_rhs4" localSheetId="7" hidden="1">100</definedName>
    <definedName name="solver_rhs4" localSheetId="8" hidden="1">-20</definedName>
    <definedName name="solver_rhs4" localSheetId="6" hidden="1">6.3</definedName>
    <definedName name="solver_rhs4" localSheetId="2" hidden="1">-10</definedName>
    <definedName name="solver_rhs5" localSheetId="1" hidden="1">5</definedName>
    <definedName name="solver_rhs5" localSheetId="3" hidden="1">5</definedName>
    <definedName name="solver_rhs5" localSheetId="5" hidden="1">-7</definedName>
    <definedName name="solver_rhs5" localSheetId="4" hidden="1">40</definedName>
    <definedName name="solver_rhs5" localSheetId="7" hidden="1">40</definedName>
    <definedName name="solver_rhs5" localSheetId="8" hidden="1">-5</definedName>
    <definedName name="solver_rhs5" localSheetId="6" hidden="1">-5</definedName>
    <definedName name="solver_rhs5" localSheetId="2" hidden="1">5</definedName>
    <definedName name="solver_rhs6" localSheetId="1" hidden="1">-5</definedName>
    <definedName name="solver_rhs6" localSheetId="3" hidden="1">-5</definedName>
    <definedName name="solver_rhs6" localSheetId="5" hidden="1">8.86</definedName>
    <definedName name="solver_rhs6" localSheetId="4" hidden="1">5</definedName>
    <definedName name="solver_rhs6" localSheetId="7" hidden="1">-20</definedName>
    <definedName name="solver_rhs6" localSheetId="8" hidden="1">20</definedName>
    <definedName name="solver_rhs6" localSheetId="6" hidden="1">8.86</definedName>
    <definedName name="solver_rhs6" localSheetId="2" hidden="1">-5</definedName>
    <definedName name="solver_rhs7" localSheetId="1" hidden="1">2</definedName>
    <definedName name="solver_rhs7" localSheetId="3" hidden="1">2</definedName>
    <definedName name="solver_rhs7" localSheetId="5" hidden="1">8.84</definedName>
    <definedName name="solver_rhs7" localSheetId="4" hidden="1">5</definedName>
    <definedName name="solver_rhs7" localSheetId="7" hidden="1">20</definedName>
    <definedName name="solver_rhs7" localSheetId="8" hidden="1">-100</definedName>
    <definedName name="solver_rhs7" localSheetId="6" hidden="1">5</definedName>
    <definedName name="solver_rhs7" localSheetId="2" hidden="1">2</definedName>
    <definedName name="solver_rhs8" localSheetId="1" hidden="1">0</definedName>
    <definedName name="solver_rhs8" localSheetId="3" hidden="1">0</definedName>
    <definedName name="solver_rhs8" localSheetId="5" hidden="1">50</definedName>
    <definedName name="solver_rhs8" localSheetId="4" hidden="1">-5</definedName>
    <definedName name="solver_rhs8" localSheetId="7" hidden="1">-5</definedName>
    <definedName name="solver_rhs8" localSheetId="8" hidden="1">3</definedName>
    <definedName name="solver_rhs8" localSheetId="6" hidden="1">-7</definedName>
    <definedName name="solver_rhs8" localSheetId="2" hidden="1">0</definedName>
    <definedName name="solver_rhs9" localSheetId="1" hidden="1">10</definedName>
    <definedName name="solver_rhs9" localSheetId="3" hidden="1">10</definedName>
    <definedName name="solver_rhs9" localSheetId="5" hidden="1">3</definedName>
    <definedName name="solver_rhs9" localSheetId="4" hidden="1">-5</definedName>
    <definedName name="solver_rhs9" localSheetId="7" hidden="1">-5</definedName>
    <definedName name="solver_rhs9" localSheetId="8" hidden="1">5</definedName>
    <definedName name="solver_rhs9" localSheetId="6" hidden="1">50</definedName>
    <definedName name="solver_rhs9" localSheetId="2" hidden="1">10</definedName>
    <definedName name="solver_rlx" localSheetId="1" hidden="1">2</definedName>
    <definedName name="solver_rlx" localSheetId="3" hidden="1">2</definedName>
    <definedName name="solver_rlx" localSheetId="5" hidden="1">2</definedName>
    <definedName name="solver_rlx" localSheetId="4" hidden="1">2</definedName>
    <definedName name="solver_rlx" localSheetId="7" hidden="1">2</definedName>
    <definedName name="solver_rlx" localSheetId="8" hidden="1">2</definedName>
    <definedName name="solver_rlx" localSheetId="6" hidden="1">2</definedName>
    <definedName name="solver_rlx" localSheetId="2" hidden="1">2</definedName>
    <definedName name="solver_rsd" localSheetId="1" hidden="1">0</definedName>
    <definedName name="solver_rsd" localSheetId="3" hidden="1">0</definedName>
    <definedName name="solver_rsd" localSheetId="5" hidden="1">0</definedName>
    <definedName name="solver_rsd" localSheetId="4" hidden="1">0</definedName>
    <definedName name="solver_rsd" localSheetId="7" hidden="1">0</definedName>
    <definedName name="solver_rsd" localSheetId="8" hidden="1">0</definedName>
    <definedName name="solver_rsd" localSheetId="6" hidden="1">0</definedName>
    <definedName name="solver_rsd" localSheetId="2" hidden="1">0</definedName>
    <definedName name="solver_scl" localSheetId="1" hidden="1">2</definedName>
    <definedName name="solver_scl" localSheetId="3" hidden="1">2</definedName>
    <definedName name="solver_scl" localSheetId="5" hidden="1">1</definedName>
    <definedName name="solver_scl" localSheetId="4" hidden="1">1</definedName>
    <definedName name="solver_scl" localSheetId="7" hidden="1">1</definedName>
    <definedName name="solver_scl" localSheetId="8" hidden="1">1</definedName>
    <definedName name="solver_scl" localSheetId="6" hidden="1">1</definedName>
    <definedName name="solver_scl" localSheetId="2" hidden="1">2</definedName>
    <definedName name="solver_sho" localSheetId="1" hidden="1">2</definedName>
    <definedName name="solver_sho" localSheetId="3" hidden="1">2</definedName>
    <definedName name="solver_sho" localSheetId="5" hidden="1">2</definedName>
    <definedName name="solver_sho" localSheetId="4" hidden="1">2</definedName>
    <definedName name="solver_sho" localSheetId="7" hidden="1">2</definedName>
    <definedName name="solver_sho" localSheetId="8" hidden="1">2</definedName>
    <definedName name="solver_sho" localSheetId="6" hidden="1">2</definedName>
    <definedName name="solver_sho" localSheetId="2" hidden="1">2</definedName>
    <definedName name="solver_ssz" localSheetId="1" hidden="1">100</definedName>
    <definedName name="solver_ssz" localSheetId="3" hidden="1">1000</definedName>
    <definedName name="solver_ssz" localSheetId="5" hidden="1">100</definedName>
    <definedName name="solver_ssz" localSheetId="4" hidden="1">1000</definedName>
    <definedName name="solver_ssz" localSheetId="7" hidden="1">1000</definedName>
    <definedName name="solver_ssz" localSheetId="8" hidden="1">100</definedName>
    <definedName name="solver_ssz" localSheetId="6" hidden="1">1000</definedName>
    <definedName name="solver_ssz" localSheetId="2" hidden="1">100</definedName>
    <definedName name="solver_tim" localSheetId="1" hidden="1">2147483647</definedName>
    <definedName name="solver_tim" localSheetId="3" hidden="1">2147483647</definedName>
    <definedName name="solver_tim" localSheetId="5" hidden="1">2147483647</definedName>
    <definedName name="solver_tim" localSheetId="4" hidden="1">2147483647</definedName>
    <definedName name="solver_tim" localSheetId="7" hidden="1">2147483647</definedName>
    <definedName name="solver_tim" localSheetId="8" hidden="1">2147483647</definedName>
    <definedName name="solver_tim" localSheetId="6" hidden="1">2147483647</definedName>
    <definedName name="solver_tim" localSheetId="2" hidden="1">2147483647</definedName>
    <definedName name="solver_tol" localSheetId="1" hidden="1">0.01</definedName>
    <definedName name="solver_tol" localSheetId="3" hidden="1">0.01</definedName>
    <definedName name="solver_tol" localSheetId="5" hidden="1">0.01</definedName>
    <definedName name="solver_tol" localSheetId="4" hidden="1">0.01</definedName>
    <definedName name="solver_tol" localSheetId="7" hidden="1">0.01</definedName>
    <definedName name="solver_tol" localSheetId="8" hidden="1">0.01</definedName>
    <definedName name="solver_tol" localSheetId="6" hidden="1">0.01</definedName>
    <definedName name="solver_tol" localSheetId="2" hidden="1">0.01</definedName>
    <definedName name="solver_typ" localSheetId="1" hidden="1">1</definedName>
    <definedName name="solver_typ" localSheetId="3" hidden="1">1</definedName>
    <definedName name="solver_typ" localSheetId="5" hidden="1">1</definedName>
    <definedName name="solver_typ" localSheetId="4" hidden="1">1</definedName>
    <definedName name="solver_typ" localSheetId="7" hidden="1">1</definedName>
    <definedName name="solver_typ" localSheetId="8" hidden="1">1</definedName>
    <definedName name="solver_typ" localSheetId="6" hidden="1">1</definedName>
    <definedName name="solver_typ" localSheetId="2" hidden="1">2</definedName>
    <definedName name="solver_val" localSheetId="1" hidden="1">0</definedName>
    <definedName name="solver_val" localSheetId="3" hidden="1">0</definedName>
    <definedName name="solver_val" localSheetId="5" hidden="1">0</definedName>
    <definedName name="solver_val" localSheetId="4" hidden="1">0</definedName>
    <definedName name="solver_val" localSheetId="7" hidden="1">0</definedName>
    <definedName name="solver_val" localSheetId="8" hidden="1">0</definedName>
    <definedName name="solver_val" localSheetId="6" hidden="1">0</definedName>
    <definedName name="solver_val" localSheetId="2" hidden="1">0</definedName>
    <definedName name="solver_ver" localSheetId="1" hidden="1">3</definedName>
    <definedName name="solver_ver" localSheetId="3" hidden="1">3</definedName>
    <definedName name="solver_ver" localSheetId="5" hidden="1">3</definedName>
    <definedName name="solver_ver" localSheetId="4" hidden="1">3</definedName>
    <definedName name="solver_ver" localSheetId="7" hidden="1">3</definedName>
    <definedName name="solver_ver" localSheetId="8" hidden="1">3</definedName>
    <definedName name="solver_ver" localSheetId="6" hidden="1">3</definedName>
    <definedName name="solver_ver" localSheetId="2" hidden="1">3</definedName>
  </definedNames>
  <calcPr calcId="152511"/>
</workbook>
</file>

<file path=xl/calcChain.xml><?xml version="1.0" encoding="utf-8"?>
<calcChain xmlns="http://schemas.openxmlformats.org/spreadsheetml/2006/main">
  <c r="K10" i="12" l="1"/>
  <c r="K2" i="12"/>
  <c r="G337" i="12"/>
  <c r="H337" i="12" s="1"/>
  <c r="H336" i="12"/>
  <c r="G336" i="12"/>
  <c r="H335" i="12"/>
  <c r="G335" i="12"/>
  <c r="H334" i="12"/>
  <c r="G334" i="12"/>
  <c r="H333" i="12"/>
  <c r="G333" i="12"/>
  <c r="H332" i="12"/>
  <c r="G332" i="12"/>
  <c r="H331" i="12"/>
  <c r="G331" i="12"/>
  <c r="H330" i="12"/>
  <c r="G330" i="12"/>
  <c r="H329" i="12"/>
  <c r="G329" i="12"/>
  <c r="H328" i="12"/>
  <c r="G328" i="12"/>
  <c r="H327" i="12"/>
  <c r="G327" i="12"/>
  <c r="H326" i="12"/>
  <c r="G326" i="12"/>
  <c r="H325" i="12"/>
  <c r="G325" i="12"/>
  <c r="H324" i="12"/>
  <c r="G324" i="12"/>
  <c r="H323" i="12"/>
  <c r="G323" i="12"/>
  <c r="H322" i="12"/>
  <c r="G322" i="12"/>
  <c r="H321" i="12"/>
  <c r="G321" i="12"/>
  <c r="H320" i="12"/>
  <c r="G320" i="12"/>
  <c r="H319" i="12"/>
  <c r="G319" i="12"/>
  <c r="H318" i="12"/>
  <c r="G318" i="12"/>
  <c r="H317" i="12"/>
  <c r="G317" i="12"/>
  <c r="H316" i="12"/>
  <c r="G316" i="12"/>
  <c r="H315" i="12"/>
  <c r="G315" i="12"/>
  <c r="H314" i="12"/>
  <c r="G314" i="12"/>
  <c r="H313" i="12"/>
  <c r="G313" i="12"/>
  <c r="H312" i="12"/>
  <c r="G312" i="12"/>
  <c r="H311" i="12"/>
  <c r="G311" i="12"/>
  <c r="H310" i="12"/>
  <c r="G310" i="12"/>
  <c r="H309" i="12"/>
  <c r="G309" i="12"/>
  <c r="H308" i="12"/>
  <c r="G308" i="12"/>
  <c r="H307" i="12"/>
  <c r="G307" i="12"/>
  <c r="H306" i="12"/>
  <c r="G306" i="12"/>
  <c r="H305" i="12"/>
  <c r="G305" i="12"/>
  <c r="H304" i="12"/>
  <c r="G304" i="12"/>
  <c r="H303" i="12"/>
  <c r="G303" i="12"/>
  <c r="H302" i="12"/>
  <c r="G302" i="12"/>
  <c r="H301" i="12"/>
  <c r="G301" i="12"/>
  <c r="H300" i="12"/>
  <c r="G300" i="12"/>
  <c r="H299" i="12"/>
  <c r="G299" i="12"/>
  <c r="H298" i="12"/>
  <c r="G298" i="12"/>
  <c r="H297" i="12"/>
  <c r="G297" i="12"/>
  <c r="H296" i="12"/>
  <c r="G296" i="12"/>
  <c r="H295" i="12"/>
  <c r="G295" i="12"/>
  <c r="H294" i="12"/>
  <c r="G294" i="12"/>
  <c r="H293" i="12"/>
  <c r="G293" i="12"/>
  <c r="H292" i="12"/>
  <c r="G292" i="12"/>
  <c r="H291" i="12"/>
  <c r="G291" i="12"/>
  <c r="H290" i="12"/>
  <c r="G290" i="12"/>
  <c r="H289" i="12"/>
  <c r="G289" i="12"/>
  <c r="H288" i="12"/>
  <c r="G288" i="12"/>
  <c r="H287" i="12"/>
  <c r="G287" i="12"/>
  <c r="H286" i="12"/>
  <c r="G286" i="12"/>
  <c r="H285" i="12"/>
  <c r="G285" i="12"/>
  <c r="H284" i="12"/>
  <c r="G284" i="12"/>
  <c r="H283" i="12"/>
  <c r="G283" i="12"/>
  <c r="H282" i="12"/>
  <c r="G282" i="12"/>
  <c r="H281" i="12"/>
  <c r="G281" i="12"/>
  <c r="H280" i="12"/>
  <c r="G280" i="12"/>
  <c r="H279" i="12"/>
  <c r="G279" i="12"/>
  <c r="H278" i="12"/>
  <c r="G278" i="12"/>
  <c r="H277" i="12"/>
  <c r="G277" i="12"/>
  <c r="H276" i="12"/>
  <c r="G276" i="12"/>
  <c r="H275" i="12"/>
  <c r="G275" i="12"/>
  <c r="H274" i="12"/>
  <c r="G274" i="12"/>
  <c r="H273" i="12"/>
  <c r="G273" i="12"/>
  <c r="H272" i="12"/>
  <c r="G272" i="12"/>
  <c r="H271" i="12"/>
  <c r="G271" i="12"/>
  <c r="H270" i="12"/>
  <c r="G270" i="12"/>
  <c r="H269" i="12"/>
  <c r="G269" i="12"/>
  <c r="H268" i="12"/>
  <c r="G268" i="12"/>
  <c r="H267" i="12"/>
  <c r="G267" i="12"/>
  <c r="H266" i="12"/>
  <c r="G266" i="12"/>
  <c r="H265" i="12"/>
  <c r="G265" i="12"/>
  <c r="H264" i="12"/>
  <c r="G264" i="12"/>
  <c r="H263" i="12"/>
  <c r="G263" i="12"/>
  <c r="H262" i="12"/>
  <c r="G262" i="12"/>
  <c r="H261" i="12"/>
  <c r="G261" i="12"/>
  <c r="H260" i="12"/>
  <c r="G260" i="12"/>
  <c r="H259" i="12"/>
  <c r="G259" i="12"/>
  <c r="H258" i="12"/>
  <c r="G258" i="12"/>
  <c r="H257" i="12"/>
  <c r="G257" i="12"/>
  <c r="H256" i="12"/>
  <c r="G256" i="12"/>
  <c r="H255" i="12"/>
  <c r="G255" i="12"/>
  <c r="H254" i="12"/>
  <c r="G254" i="12"/>
  <c r="H253" i="12"/>
  <c r="G253" i="12"/>
  <c r="G252" i="12"/>
  <c r="H252" i="12" s="1"/>
  <c r="G251" i="12"/>
  <c r="H251" i="12" s="1"/>
  <c r="G250" i="12"/>
  <c r="H250" i="12" s="1"/>
  <c r="G249" i="12"/>
  <c r="H249" i="12" s="1"/>
  <c r="G248" i="12"/>
  <c r="H248" i="12" s="1"/>
  <c r="G247" i="12"/>
  <c r="H247" i="12" s="1"/>
  <c r="G246" i="12"/>
  <c r="H246" i="12" s="1"/>
  <c r="G245" i="12"/>
  <c r="H245" i="12" s="1"/>
  <c r="G244" i="12"/>
  <c r="H244" i="12" s="1"/>
  <c r="G243" i="12"/>
  <c r="H243" i="12" s="1"/>
  <c r="G242" i="12"/>
  <c r="H242" i="12" s="1"/>
  <c r="G241" i="12"/>
  <c r="H241" i="12" s="1"/>
  <c r="G240" i="12"/>
  <c r="H240" i="12" s="1"/>
  <c r="G239" i="12"/>
  <c r="H239" i="12" s="1"/>
  <c r="G238" i="12"/>
  <c r="H238" i="12" s="1"/>
  <c r="G237" i="12"/>
  <c r="H237" i="12" s="1"/>
  <c r="G236" i="12"/>
  <c r="H236" i="12" s="1"/>
  <c r="G235" i="12"/>
  <c r="H235" i="12" s="1"/>
  <c r="G234" i="12"/>
  <c r="H234" i="12" s="1"/>
  <c r="G233" i="12"/>
  <c r="H233" i="12" s="1"/>
  <c r="G232" i="12"/>
  <c r="H232" i="12" s="1"/>
  <c r="G231" i="12"/>
  <c r="H231" i="12" s="1"/>
  <c r="G230" i="12"/>
  <c r="H230" i="12" s="1"/>
  <c r="G229" i="12"/>
  <c r="H229" i="12" s="1"/>
  <c r="G228" i="12"/>
  <c r="H228" i="12" s="1"/>
  <c r="G227" i="12"/>
  <c r="H227" i="12" s="1"/>
  <c r="G226" i="12"/>
  <c r="H226" i="12" s="1"/>
  <c r="G225" i="12"/>
  <c r="H225" i="12" s="1"/>
  <c r="G224" i="12"/>
  <c r="H224" i="12" s="1"/>
  <c r="G223" i="12"/>
  <c r="H223" i="12" s="1"/>
  <c r="G222" i="12"/>
  <c r="H222" i="12" s="1"/>
  <c r="G221" i="12"/>
  <c r="H221" i="12" s="1"/>
  <c r="G220" i="12"/>
  <c r="H220" i="12" s="1"/>
  <c r="G219" i="12"/>
  <c r="H219" i="12" s="1"/>
  <c r="G218" i="12"/>
  <c r="H218" i="12" s="1"/>
  <c r="G217" i="12"/>
  <c r="H217" i="12" s="1"/>
  <c r="G216" i="12"/>
  <c r="H216" i="12" s="1"/>
  <c r="G215" i="12"/>
  <c r="H215" i="12" s="1"/>
  <c r="G214" i="12"/>
  <c r="H214" i="12" s="1"/>
  <c r="G213" i="12"/>
  <c r="H213" i="12" s="1"/>
  <c r="G212" i="12"/>
  <c r="H212" i="12" s="1"/>
  <c r="H211" i="12"/>
  <c r="G211" i="12"/>
  <c r="H210" i="12"/>
  <c r="G210" i="12"/>
  <c r="H209" i="12"/>
  <c r="G209" i="12"/>
  <c r="H208" i="12"/>
  <c r="G208" i="12"/>
  <c r="H207" i="12"/>
  <c r="G207" i="12"/>
  <c r="H206" i="12"/>
  <c r="G206" i="12"/>
  <c r="H205" i="12"/>
  <c r="G205" i="12"/>
  <c r="H204" i="12"/>
  <c r="G204" i="12"/>
  <c r="H203" i="12"/>
  <c r="G203" i="12"/>
  <c r="H202" i="12"/>
  <c r="G202" i="12"/>
  <c r="H201" i="12"/>
  <c r="G201" i="12"/>
  <c r="G200" i="12"/>
  <c r="H200" i="12" s="1"/>
  <c r="G199" i="12"/>
  <c r="H199" i="12" s="1"/>
  <c r="G198" i="12"/>
  <c r="H198" i="12" s="1"/>
  <c r="G197" i="12"/>
  <c r="H197" i="12" s="1"/>
  <c r="G196" i="12"/>
  <c r="H196" i="12" s="1"/>
  <c r="G195" i="12"/>
  <c r="H195" i="12" s="1"/>
  <c r="G194" i="12"/>
  <c r="H194" i="12" s="1"/>
  <c r="G193" i="12"/>
  <c r="H193" i="12" s="1"/>
  <c r="G192" i="12"/>
  <c r="H192" i="12" s="1"/>
  <c r="G191" i="12"/>
  <c r="H191" i="12" s="1"/>
  <c r="G190" i="12"/>
  <c r="H190" i="12" s="1"/>
  <c r="G189" i="12"/>
  <c r="H189" i="12" s="1"/>
  <c r="G188" i="12"/>
  <c r="H188" i="12" s="1"/>
  <c r="G187" i="12"/>
  <c r="H187" i="12" s="1"/>
  <c r="G186" i="12"/>
  <c r="H186" i="12" s="1"/>
  <c r="G185" i="12"/>
  <c r="H185" i="12" s="1"/>
  <c r="G184" i="12"/>
  <c r="H184" i="12" s="1"/>
  <c r="G183" i="12"/>
  <c r="H183" i="12" s="1"/>
  <c r="G182" i="12"/>
  <c r="H182" i="12" s="1"/>
  <c r="G181" i="12"/>
  <c r="H181" i="12" s="1"/>
  <c r="G180" i="12"/>
  <c r="H180" i="12" s="1"/>
  <c r="G179" i="12"/>
  <c r="H179" i="12" s="1"/>
  <c r="G178" i="12"/>
  <c r="H178" i="12" s="1"/>
  <c r="G177" i="12"/>
  <c r="H177" i="12" s="1"/>
  <c r="G176" i="12"/>
  <c r="H176" i="12" s="1"/>
  <c r="G175" i="12"/>
  <c r="H175" i="12" s="1"/>
  <c r="G174" i="12"/>
  <c r="H174" i="12" s="1"/>
  <c r="G173" i="12"/>
  <c r="H173" i="12" s="1"/>
  <c r="G172" i="12"/>
  <c r="H172" i="12" s="1"/>
  <c r="G171" i="12"/>
  <c r="H171" i="12" s="1"/>
  <c r="G170" i="12"/>
  <c r="H170" i="12" s="1"/>
  <c r="G169" i="12"/>
  <c r="H169" i="12" s="1"/>
  <c r="G168" i="12"/>
  <c r="H168" i="12" s="1"/>
  <c r="G167" i="12"/>
  <c r="H167" i="12" s="1"/>
  <c r="G166" i="12"/>
  <c r="H166" i="12" s="1"/>
  <c r="G165" i="12"/>
  <c r="H165" i="12" s="1"/>
  <c r="G164" i="12"/>
  <c r="H164" i="12" s="1"/>
  <c r="G163" i="12"/>
  <c r="H163" i="12" s="1"/>
  <c r="G162" i="12"/>
  <c r="H162" i="12" s="1"/>
  <c r="G161" i="12"/>
  <c r="H161" i="12" s="1"/>
  <c r="G160" i="12"/>
  <c r="H160" i="12" s="1"/>
  <c r="G159" i="12"/>
  <c r="H159" i="12" s="1"/>
  <c r="G158" i="12"/>
  <c r="H158" i="12" s="1"/>
  <c r="G157" i="12"/>
  <c r="H157" i="12" s="1"/>
  <c r="G156" i="12"/>
  <c r="H156" i="12" s="1"/>
  <c r="G155" i="12"/>
  <c r="H155" i="12" s="1"/>
  <c r="G154" i="12"/>
  <c r="H154" i="12" s="1"/>
  <c r="G153" i="12"/>
  <c r="H153" i="12" s="1"/>
  <c r="G152" i="12"/>
  <c r="H152" i="12" s="1"/>
  <c r="G151" i="12"/>
  <c r="H151" i="12" s="1"/>
  <c r="G150" i="12"/>
  <c r="H150" i="12" s="1"/>
  <c r="G149" i="12"/>
  <c r="H149" i="12" s="1"/>
  <c r="G148" i="12"/>
  <c r="H148" i="12" s="1"/>
  <c r="G147" i="12"/>
  <c r="H147" i="12" s="1"/>
  <c r="G146" i="12"/>
  <c r="H146" i="12" s="1"/>
  <c r="G145" i="12"/>
  <c r="H145" i="12" s="1"/>
  <c r="G144" i="12"/>
  <c r="H144" i="12" s="1"/>
  <c r="G143" i="12"/>
  <c r="H143" i="12" s="1"/>
  <c r="G142" i="12"/>
  <c r="H142" i="12" s="1"/>
  <c r="G141" i="12"/>
  <c r="H141" i="12" s="1"/>
  <c r="G140" i="12"/>
  <c r="H140" i="12" s="1"/>
  <c r="G139" i="12"/>
  <c r="H139" i="12" s="1"/>
  <c r="G138" i="12"/>
  <c r="H138" i="12" s="1"/>
  <c r="G137" i="12"/>
  <c r="H137" i="12" s="1"/>
  <c r="G136" i="12"/>
  <c r="H136" i="12" s="1"/>
  <c r="G135" i="12"/>
  <c r="H135" i="12" s="1"/>
  <c r="G134" i="12"/>
  <c r="H134" i="12" s="1"/>
  <c r="G133" i="12"/>
  <c r="H133" i="12" s="1"/>
  <c r="G132" i="12"/>
  <c r="H132" i="12" s="1"/>
  <c r="G131" i="12"/>
  <c r="H131" i="12" s="1"/>
  <c r="G130" i="12"/>
  <c r="H130" i="12" s="1"/>
  <c r="G129" i="12"/>
  <c r="H129" i="12" s="1"/>
  <c r="G128" i="12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H122" i="12"/>
  <c r="G122" i="12"/>
  <c r="G121" i="12"/>
  <c r="H121" i="12" s="1"/>
  <c r="H120" i="12"/>
  <c r="G120" i="12"/>
  <c r="G119" i="12"/>
  <c r="H119" i="12" s="1"/>
  <c r="H118" i="12"/>
  <c r="G118" i="12"/>
  <c r="G117" i="12"/>
  <c r="H117" i="12" s="1"/>
  <c r="H116" i="12"/>
  <c r="G116" i="12"/>
  <c r="G115" i="12"/>
  <c r="H115" i="12" s="1"/>
  <c r="H114" i="12"/>
  <c r="G114" i="12"/>
  <c r="G113" i="12"/>
  <c r="H113" i="12" s="1"/>
  <c r="H112" i="12"/>
  <c r="G112" i="12"/>
  <c r="H111" i="12"/>
  <c r="G111" i="12"/>
  <c r="G110" i="12"/>
  <c r="H110" i="12" s="1"/>
  <c r="G109" i="12"/>
  <c r="H109" i="12" s="1"/>
  <c r="H108" i="12"/>
  <c r="G108" i="12"/>
  <c r="H107" i="12"/>
  <c r="G107" i="12"/>
  <c r="G106" i="12"/>
  <c r="H106" i="12" s="1"/>
  <c r="H105" i="12"/>
  <c r="G105" i="12"/>
  <c r="H104" i="12"/>
  <c r="G104" i="12"/>
  <c r="H103" i="12"/>
  <c r="G103" i="12"/>
  <c r="G102" i="12"/>
  <c r="H102" i="12" s="1"/>
  <c r="G101" i="12"/>
  <c r="H101" i="12" s="1"/>
  <c r="H100" i="12"/>
  <c r="G100" i="12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H13" i="12"/>
  <c r="G13" i="12"/>
  <c r="H12" i="12"/>
  <c r="G12" i="12"/>
  <c r="E12" i="12"/>
  <c r="E13" i="12" s="1"/>
  <c r="H9" i="12"/>
  <c r="H337" i="11"/>
  <c r="G337" i="11"/>
  <c r="H336" i="11"/>
  <c r="G336" i="11"/>
  <c r="H335" i="11"/>
  <c r="G335" i="11"/>
  <c r="H334" i="11"/>
  <c r="G334" i="11"/>
  <c r="H333" i="11"/>
  <c r="G333" i="11"/>
  <c r="H332" i="11"/>
  <c r="G332" i="11"/>
  <c r="H331" i="11"/>
  <c r="G331" i="11"/>
  <c r="H330" i="11"/>
  <c r="G330" i="11"/>
  <c r="H329" i="11"/>
  <c r="G329" i="11"/>
  <c r="H328" i="11"/>
  <c r="G328" i="11"/>
  <c r="H327" i="11"/>
  <c r="G327" i="11"/>
  <c r="H326" i="11"/>
  <c r="G326" i="11"/>
  <c r="H325" i="11"/>
  <c r="G325" i="11"/>
  <c r="H324" i="11"/>
  <c r="G324" i="11"/>
  <c r="H323" i="11"/>
  <c r="G323" i="11"/>
  <c r="H322" i="11"/>
  <c r="G322" i="11"/>
  <c r="H321" i="11"/>
  <c r="G321" i="11"/>
  <c r="H320" i="11"/>
  <c r="G320" i="11"/>
  <c r="H319" i="11"/>
  <c r="G319" i="11"/>
  <c r="H318" i="11"/>
  <c r="G318" i="11"/>
  <c r="H317" i="11"/>
  <c r="G317" i="11"/>
  <c r="H316" i="11"/>
  <c r="G316" i="11"/>
  <c r="H315" i="11"/>
  <c r="G315" i="11"/>
  <c r="H314" i="11"/>
  <c r="G314" i="11"/>
  <c r="H313" i="11"/>
  <c r="G313" i="11"/>
  <c r="H312" i="11"/>
  <c r="G312" i="11"/>
  <c r="H311" i="11"/>
  <c r="G311" i="11"/>
  <c r="H310" i="11"/>
  <c r="G310" i="11"/>
  <c r="H309" i="11"/>
  <c r="G309" i="11"/>
  <c r="H308" i="11"/>
  <c r="G308" i="11"/>
  <c r="H307" i="11"/>
  <c r="G307" i="11"/>
  <c r="H306" i="11"/>
  <c r="G306" i="11"/>
  <c r="H305" i="11"/>
  <c r="G305" i="11"/>
  <c r="H304" i="11"/>
  <c r="G304" i="11"/>
  <c r="H303" i="11"/>
  <c r="G303" i="11"/>
  <c r="H302" i="11"/>
  <c r="G302" i="11"/>
  <c r="H301" i="11"/>
  <c r="G301" i="11"/>
  <c r="H300" i="11"/>
  <c r="G300" i="11"/>
  <c r="H299" i="11"/>
  <c r="G299" i="11"/>
  <c r="H298" i="11"/>
  <c r="G298" i="11"/>
  <c r="H297" i="11"/>
  <c r="G297" i="11"/>
  <c r="H296" i="11"/>
  <c r="G296" i="11"/>
  <c r="H295" i="11"/>
  <c r="G295" i="11"/>
  <c r="H294" i="11"/>
  <c r="G294" i="11"/>
  <c r="H293" i="11"/>
  <c r="G293" i="11"/>
  <c r="H292" i="11"/>
  <c r="G292" i="11"/>
  <c r="H291" i="11"/>
  <c r="G291" i="11"/>
  <c r="H290" i="11"/>
  <c r="G290" i="11"/>
  <c r="H289" i="11"/>
  <c r="G289" i="11"/>
  <c r="G288" i="11"/>
  <c r="H288" i="11" s="1"/>
  <c r="G287" i="11"/>
  <c r="H287" i="11" s="1"/>
  <c r="G286" i="11"/>
  <c r="H286" i="11" s="1"/>
  <c r="G285" i="11"/>
  <c r="H285" i="11" s="1"/>
  <c r="G284" i="11"/>
  <c r="H284" i="11" s="1"/>
  <c r="G283" i="11"/>
  <c r="H283" i="11" s="1"/>
  <c r="G282" i="11"/>
  <c r="H282" i="11" s="1"/>
  <c r="G281" i="11"/>
  <c r="H281" i="11" s="1"/>
  <c r="G280" i="11"/>
  <c r="H280" i="11" s="1"/>
  <c r="G279" i="11"/>
  <c r="H279" i="11" s="1"/>
  <c r="G278" i="11"/>
  <c r="H278" i="11" s="1"/>
  <c r="G277" i="11"/>
  <c r="H277" i="11" s="1"/>
  <c r="G276" i="11"/>
  <c r="H276" i="11" s="1"/>
  <c r="G275" i="11"/>
  <c r="H275" i="11" s="1"/>
  <c r="G274" i="11"/>
  <c r="H274" i="11" s="1"/>
  <c r="G273" i="11"/>
  <c r="H273" i="11" s="1"/>
  <c r="G272" i="11"/>
  <c r="H272" i="11" s="1"/>
  <c r="G271" i="11"/>
  <c r="H271" i="11" s="1"/>
  <c r="G270" i="11"/>
  <c r="H270" i="11" s="1"/>
  <c r="G269" i="11"/>
  <c r="H269" i="11" s="1"/>
  <c r="G268" i="11"/>
  <c r="H268" i="11" s="1"/>
  <c r="G267" i="11"/>
  <c r="H267" i="11" s="1"/>
  <c r="G266" i="11"/>
  <c r="H266" i="11" s="1"/>
  <c r="G265" i="11"/>
  <c r="H265" i="11" s="1"/>
  <c r="G264" i="11"/>
  <c r="H264" i="11" s="1"/>
  <c r="G263" i="11"/>
  <c r="H263" i="11" s="1"/>
  <c r="G262" i="11"/>
  <c r="H262" i="11" s="1"/>
  <c r="G261" i="11"/>
  <c r="H261" i="11" s="1"/>
  <c r="G260" i="11"/>
  <c r="H260" i="11" s="1"/>
  <c r="H259" i="11"/>
  <c r="G259" i="11"/>
  <c r="G258" i="11"/>
  <c r="H258" i="11" s="1"/>
  <c r="H257" i="11"/>
  <c r="G257" i="11"/>
  <c r="H256" i="11"/>
  <c r="G256" i="11"/>
  <c r="H255" i="11"/>
  <c r="G255" i="11"/>
  <c r="G254" i="11"/>
  <c r="H254" i="11" s="1"/>
  <c r="H253" i="11"/>
  <c r="G253" i="11"/>
  <c r="G252" i="11"/>
  <c r="H252" i="11" s="1"/>
  <c r="G251" i="11"/>
  <c r="H251" i="11" s="1"/>
  <c r="G250" i="11"/>
  <c r="H250" i="11" s="1"/>
  <c r="G249" i="11"/>
  <c r="H249" i="11" s="1"/>
  <c r="G248" i="11"/>
  <c r="H248" i="11" s="1"/>
  <c r="G247" i="11"/>
  <c r="H247" i="11" s="1"/>
  <c r="G246" i="11"/>
  <c r="H246" i="11" s="1"/>
  <c r="G245" i="11"/>
  <c r="H245" i="11" s="1"/>
  <c r="G244" i="11"/>
  <c r="H244" i="11" s="1"/>
  <c r="G243" i="11"/>
  <c r="H243" i="11" s="1"/>
  <c r="G242" i="11"/>
  <c r="H242" i="11" s="1"/>
  <c r="G241" i="11"/>
  <c r="H241" i="11" s="1"/>
  <c r="G240" i="11"/>
  <c r="H240" i="11" s="1"/>
  <c r="G239" i="11"/>
  <c r="H239" i="11" s="1"/>
  <c r="G238" i="11"/>
  <c r="H238" i="11" s="1"/>
  <c r="G237" i="11"/>
  <c r="H237" i="11" s="1"/>
  <c r="G236" i="11"/>
  <c r="H236" i="11" s="1"/>
  <c r="G235" i="11"/>
  <c r="H235" i="11" s="1"/>
  <c r="G234" i="11"/>
  <c r="H234" i="11" s="1"/>
  <c r="G233" i="11"/>
  <c r="H233" i="11" s="1"/>
  <c r="G232" i="11"/>
  <c r="H232" i="11" s="1"/>
  <c r="G231" i="11"/>
  <c r="H231" i="11" s="1"/>
  <c r="G230" i="11"/>
  <c r="H230" i="11" s="1"/>
  <c r="G229" i="11"/>
  <c r="H229" i="11" s="1"/>
  <c r="G228" i="11"/>
  <c r="H228" i="11" s="1"/>
  <c r="G227" i="11"/>
  <c r="H227" i="11" s="1"/>
  <c r="G226" i="11"/>
  <c r="H226" i="11" s="1"/>
  <c r="G225" i="11"/>
  <c r="H225" i="11" s="1"/>
  <c r="G224" i="11"/>
  <c r="H224" i="11" s="1"/>
  <c r="G223" i="11"/>
  <c r="H223" i="11" s="1"/>
  <c r="G222" i="11"/>
  <c r="H222" i="11" s="1"/>
  <c r="G221" i="11"/>
  <c r="H221" i="11" s="1"/>
  <c r="G220" i="11"/>
  <c r="H220" i="11" s="1"/>
  <c r="G219" i="11"/>
  <c r="H219" i="11" s="1"/>
  <c r="G218" i="11"/>
  <c r="H218" i="11" s="1"/>
  <c r="G217" i="11"/>
  <c r="H217" i="11" s="1"/>
  <c r="G216" i="11"/>
  <c r="H216" i="11" s="1"/>
  <c r="G215" i="11"/>
  <c r="H215" i="11" s="1"/>
  <c r="G214" i="11"/>
  <c r="H214" i="11" s="1"/>
  <c r="G213" i="11"/>
  <c r="H213" i="11" s="1"/>
  <c r="G212" i="11"/>
  <c r="H212" i="11" s="1"/>
  <c r="G211" i="11"/>
  <c r="H211" i="11" s="1"/>
  <c r="H210" i="11"/>
  <c r="G210" i="11"/>
  <c r="H209" i="11"/>
  <c r="G209" i="11"/>
  <c r="H208" i="11"/>
  <c r="G208" i="11"/>
  <c r="G207" i="11"/>
  <c r="H207" i="11" s="1"/>
  <c r="G206" i="11"/>
  <c r="H206" i="11" s="1"/>
  <c r="H205" i="11"/>
  <c r="G205" i="11"/>
  <c r="H204" i="11"/>
  <c r="G204" i="11"/>
  <c r="H203" i="11"/>
  <c r="G203" i="11"/>
  <c r="G202" i="11"/>
  <c r="H202" i="11" s="1"/>
  <c r="H201" i="11"/>
  <c r="G201" i="11"/>
  <c r="H200" i="11"/>
  <c r="G200" i="11"/>
  <c r="G199" i="11"/>
  <c r="H199" i="11" s="1"/>
  <c r="H198" i="11"/>
  <c r="G198" i="11"/>
  <c r="H197" i="11"/>
  <c r="G197" i="11"/>
  <c r="G196" i="11"/>
  <c r="H196" i="11" s="1"/>
  <c r="G195" i="11"/>
  <c r="H195" i="11" s="1"/>
  <c r="H194" i="11"/>
  <c r="G194" i="11"/>
  <c r="H193" i="11"/>
  <c r="G193" i="11"/>
  <c r="H192" i="11"/>
  <c r="G192" i="11"/>
  <c r="G191" i="11"/>
  <c r="H191" i="11" s="1"/>
  <c r="H190" i="11"/>
  <c r="G190" i="11"/>
  <c r="H189" i="11"/>
  <c r="G189" i="11"/>
  <c r="G188" i="11"/>
  <c r="H188" i="11" s="1"/>
  <c r="G187" i="11"/>
  <c r="H187" i="11" s="1"/>
  <c r="G186" i="11"/>
  <c r="H186" i="11" s="1"/>
  <c r="G185" i="11"/>
  <c r="H185" i="11" s="1"/>
  <c r="G184" i="11"/>
  <c r="H184" i="11" s="1"/>
  <c r="G183" i="11"/>
  <c r="H183" i="11" s="1"/>
  <c r="G182" i="11"/>
  <c r="H182" i="11" s="1"/>
  <c r="G181" i="11"/>
  <c r="H181" i="11" s="1"/>
  <c r="G180" i="11"/>
  <c r="H180" i="11" s="1"/>
  <c r="G179" i="11"/>
  <c r="H179" i="11" s="1"/>
  <c r="G178" i="11"/>
  <c r="H178" i="11" s="1"/>
  <c r="G177" i="11"/>
  <c r="H177" i="11" s="1"/>
  <c r="G176" i="11"/>
  <c r="H176" i="11" s="1"/>
  <c r="G175" i="11"/>
  <c r="H175" i="11" s="1"/>
  <c r="G174" i="11"/>
  <c r="H174" i="11" s="1"/>
  <c r="G173" i="11"/>
  <c r="H173" i="11" s="1"/>
  <c r="G172" i="11"/>
  <c r="H172" i="11" s="1"/>
  <c r="G171" i="11"/>
  <c r="H171" i="11" s="1"/>
  <c r="G170" i="11"/>
  <c r="H170" i="11" s="1"/>
  <c r="G169" i="11"/>
  <c r="H169" i="11" s="1"/>
  <c r="G168" i="11"/>
  <c r="H168" i="11" s="1"/>
  <c r="G167" i="11"/>
  <c r="H167" i="11" s="1"/>
  <c r="G166" i="11"/>
  <c r="H166" i="11" s="1"/>
  <c r="G165" i="11"/>
  <c r="H165" i="11" s="1"/>
  <c r="G164" i="11"/>
  <c r="H164" i="11" s="1"/>
  <c r="G163" i="11"/>
  <c r="H163" i="11" s="1"/>
  <c r="G162" i="11"/>
  <c r="H162" i="11" s="1"/>
  <c r="G161" i="11"/>
  <c r="H161" i="11" s="1"/>
  <c r="G160" i="11"/>
  <c r="H160" i="11" s="1"/>
  <c r="G159" i="11"/>
  <c r="H159" i="11" s="1"/>
  <c r="G158" i="11"/>
  <c r="H158" i="11" s="1"/>
  <c r="G157" i="11"/>
  <c r="H157" i="11" s="1"/>
  <c r="G156" i="11"/>
  <c r="H156" i="11" s="1"/>
  <c r="G155" i="11"/>
  <c r="H155" i="11" s="1"/>
  <c r="G154" i="11"/>
  <c r="H154" i="11" s="1"/>
  <c r="G153" i="11"/>
  <c r="H153" i="11" s="1"/>
  <c r="G152" i="11"/>
  <c r="H152" i="11" s="1"/>
  <c r="G151" i="11"/>
  <c r="H151" i="11" s="1"/>
  <c r="G150" i="11"/>
  <c r="H150" i="11" s="1"/>
  <c r="G149" i="11"/>
  <c r="H149" i="11" s="1"/>
  <c r="G148" i="11"/>
  <c r="H148" i="11" s="1"/>
  <c r="G147" i="11"/>
  <c r="H147" i="11" s="1"/>
  <c r="G146" i="11"/>
  <c r="H146" i="11" s="1"/>
  <c r="G145" i="11"/>
  <c r="H145" i="11" s="1"/>
  <c r="G144" i="11"/>
  <c r="H144" i="11" s="1"/>
  <c r="G143" i="11"/>
  <c r="H143" i="11" s="1"/>
  <c r="G142" i="11"/>
  <c r="H142" i="11" s="1"/>
  <c r="G141" i="11"/>
  <c r="H141" i="11" s="1"/>
  <c r="G140" i="11"/>
  <c r="H140" i="11" s="1"/>
  <c r="G139" i="11"/>
  <c r="H139" i="11" s="1"/>
  <c r="G138" i="11"/>
  <c r="H138" i="11" s="1"/>
  <c r="G137" i="11"/>
  <c r="H137" i="11" s="1"/>
  <c r="G136" i="11"/>
  <c r="H136" i="11" s="1"/>
  <c r="G135" i="11"/>
  <c r="H135" i="11" s="1"/>
  <c r="G134" i="11"/>
  <c r="H134" i="11" s="1"/>
  <c r="G133" i="11"/>
  <c r="H133" i="11" s="1"/>
  <c r="G132" i="11"/>
  <c r="H132" i="11" s="1"/>
  <c r="G131" i="11"/>
  <c r="H131" i="11" s="1"/>
  <c r="G130" i="11"/>
  <c r="H130" i="11" s="1"/>
  <c r="G129" i="11"/>
  <c r="H129" i="11" s="1"/>
  <c r="G128" i="11"/>
  <c r="H128" i="11" s="1"/>
  <c r="G127" i="11"/>
  <c r="H127" i="11" s="1"/>
  <c r="G126" i="11"/>
  <c r="H126" i="11" s="1"/>
  <c r="G125" i="11"/>
  <c r="H125" i="11" s="1"/>
  <c r="G124" i="11"/>
  <c r="H124" i="11" s="1"/>
  <c r="G123" i="11"/>
  <c r="H123" i="11" s="1"/>
  <c r="G122" i="11"/>
  <c r="H122" i="11" s="1"/>
  <c r="G121" i="11"/>
  <c r="H121" i="11" s="1"/>
  <c r="G120" i="11"/>
  <c r="H120" i="11" s="1"/>
  <c r="G119" i="11"/>
  <c r="H119" i="11" s="1"/>
  <c r="G118" i="11"/>
  <c r="H118" i="11" s="1"/>
  <c r="G117" i="11"/>
  <c r="H117" i="11" s="1"/>
  <c r="G116" i="11"/>
  <c r="H116" i="11" s="1"/>
  <c r="G115" i="11"/>
  <c r="H115" i="11" s="1"/>
  <c r="G114" i="11"/>
  <c r="H114" i="11" s="1"/>
  <c r="G113" i="11"/>
  <c r="H113" i="11" s="1"/>
  <c r="G112" i="11"/>
  <c r="H112" i="11" s="1"/>
  <c r="G111" i="11"/>
  <c r="H111" i="11" s="1"/>
  <c r="G110" i="11"/>
  <c r="H110" i="11" s="1"/>
  <c r="G109" i="11"/>
  <c r="H109" i="11" s="1"/>
  <c r="G108" i="11"/>
  <c r="H108" i="11" s="1"/>
  <c r="G107" i="11"/>
  <c r="H107" i="11" s="1"/>
  <c r="G106" i="11"/>
  <c r="H106" i="11" s="1"/>
  <c r="G105" i="11"/>
  <c r="H105" i="11" s="1"/>
  <c r="G104" i="11"/>
  <c r="H104" i="11" s="1"/>
  <c r="G103" i="11"/>
  <c r="H103" i="11" s="1"/>
  <c r="G102" i="11"/>
  <c r="H102" i="11" s="1"/>
  <c r="G101" i="11"/>
  <c r="H101" i="11" s="1"/>
  <c r="G100" i="11"/>
  <c r="H100" i="11" s="1"/>
  <c r="G99" i="11"/>
  <c r="H99" i="11" s="1"/>
  <c r="G98" i="11"/>
  <c r="H98" i="11" s="1"/>
  <c r="G97" i="11"/>
  <c r="H97" i="11" s="1"/>
  <c r="G96" i="11"/>
  <c r="H96" i="11" s="1"/>
  <c r="G95" i="11"/>
  <c r="H95" i="11" s="1"/>
  <c r="G94" i="11"/>
  <c r="H94" i="11" s="1"/>
  <c r="G93" i="11"/>
  <c r="H93" i="11" s="1"/>
  <c r="G92" i="11"/>
  <c r="H92" i="11" s="1"/>
  <c r="G91" i="11"/>
  <c r="H91" i="11" s="1"/>
  <c r="G90" i="11"/>
  <c r="H90" i="11" s="1"/>
  <c r="G89" i="11"/>
  <c r="H89" i="11" s="1"/>
  <c r="G88" i="11"/>
  <c r="H88" i="11" s="1"/>
  <c r="G87" i="11"/>
  <c r="H87" i="11" s="1"/>
  <c r="G86" i="11"/>
  <c r="H86" i="11" s="1"/>
  <c r="G85" i="11"/>
  <c r="H85" i="11" s="1"/>
  <c r="G84" i="11"/>
  <c r="H84" i="11" s="1"/>
  <c r="G83" i="11"/>
  <c r="H83" i="11" s="1"/>
  <c r="G82" i="11"/>
  <c r="H82" i="11" s="1"/>
  <c r="G81" i="11"/>
  <c r="H81" i="11" s="1"/>
  <c r="G80" i="11"/>
  <c r="H80" i="11" s="1"/>
  <c r="G79" i="11"/>
  <c r="H79" i="11" s="1"/>
  <c r="G78" i="11"/>
  <c r="H78" i="11" s="1"/>
  <c r="G77" i="11"/>
  <c r="H77" i="11" s="1"/>
  <c r="G76" i="11"/>
  <c r="H76" i="11" s="1"/>
  <c r="G75" i="11"/>
  <c r="H75" i="11" s="1"/>
  <c r="H74" i="11"/>
  <c r="G74" i="11"/>
  <c r="H73" i="11"/>
  <c r="G73" i="11"/>
  <c r="H72" i="11"/>
  <c r="G72" i="11"/>
  <c r="H71" i="11"/>
  <c r="G71" i="11"/>
  <c r="H70" i="11"/>
  <c r="G70" i="11"/>
  <c r="H69" i="11"/>
  <c r="G69" i="11"/>
  <c r="H68" i="11"/>
  <c r="G68" i="11"/>
  <c r="H67" i="11"/>
  <c r="G67" i="11"/>
  <c r="H66" i="11"/>
  <c r="G66" i="11"/>
  <c r="H65" i="11"/>
  <c r="G65" i="11"/>
  <c r="G64" i="11"/>
  <c r="H64" i="11" s="1"/>
  <c r="G63" i="11"/>
  <c r="H63" i="11" s="1"/>
  <c r="G62" i="11"/>
  <c r="H62" i="11" s="1"/>
  <c r="G61" i="11"/>
  <c r="H61" i="11" s="1"/>
  <c r="G60" i="11"/>
  <c r="H60" i="11" s="1"/>
  <c r="G59" i="11"/>
  <c r="H59" i="11" s="1"/>
  <c r="G58" i="11"/>
  <c r="H58" i="11" s="1"/>
  <c r="G57" i="11"/>
  <c r="H57" i="11" s="1"/>
  <c r="G56" i="11"/>
  <c r="H56" i="11" s="1"/>
  <c r="G55" i="11"/>
  <c r="H55" i="11" s="1"/>
  <c r="G54" i="11"/>
  <c r="H54" i="11" s="1"/>
  <c r="G53" i="11"/>
  <c r="H53" i="11" s="1"/>
  <c r="G52" i="11"/>
  <c r="H52" i="11" s="1"/>
  <c r="G51" i="11"/>
  <c r="H51" i="11" s="1"/>
  <c r="G50" i="11"/>
  <c r="H50" i="11" s="1"/>
  <c r="G49" i="11"/>
  <c r="H49" i="11" s="1"/>
  <c r="G48" i="11"/>
  <c r="H48" i="11" s="1"/>
  <c r="G47" i="11"/>
  <c r="H47" i="11" s="1"/>
  <c r="G46" i="11"/>
  <c r="H46" i="11" s="1"/>
  <c r="G45" i="11"/>
  <c r="H45" i="11" s="1"/>
  <c r="G44" i="11"/>
  <c r="H44" i="11" s="1"/>
  <c r="G43" i="11"/>
  <c r="H43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6" i="11"/>
  <c r="H16" i="11" s="1"/>
  <c r="G15" i="11"/>
  <c r="H15" i="11" s="1"/>
  <c r="G14" i="11"/>
  <c r="H14" i="11" s="1"/>
  <c r="H13" i="11"/>
  <c r="G13" i="11"/>
  <c r="E13" i="11"/>
  <c r="H12" i="11"/>
  <c r="G12" i="11"/>
  <c r="E12" i="11"/>
  <c r="H9" i="11"/>
  <c r="H337" i="9"/>
  <c r="G337" i="9"/>
  <c r="H336" i="9"/>
  <c r="G336" i="9"/>
  <c r="H335" i="9"/>
  <c r="G335" i="9"/>
  <c r="H334" i="9"/>
  <c r="G334" i="9"/>
  <c r="H333" i="9"/>
  <c r="G333" i="9"/>
  <c r="H332" i="9"/>
  <c r="G332" i="9"/>
  <c r="H331" i="9"/>
  <c r="G331" i="9"/>
  <c r="H330" i="9"/>
  <c r="G330" i="9"/>
  <c r="H329" i="9"/>
  <c r="G329" i="9"/>
  <c r="H328" i="9"/>
  <c r="G328" i="9"/>
  <c r="H327" i="9"/>
  <c r="G327" i="9"/>
  <c r="H326" i="9"/>
  <c r="G326" i="9"/>
  <c r="H325" i="9"/>
  <c r="G325" i="9"/>
  <c r="H324" i="9"/>
  <c r="G324" i="9"/>
  <c r="H323" i="9"/>
  <c r="G323" i="9"/>
  <c r="H322" i="9"/>
  <c r="G322" i="9"/>
  <c r="H321" i="9"/>
  <c r="G321" i="9"/>
  <c r="H320" i="9"/>
  <c r="G320" i="9"/>
  <c r="G319" i="9"/>
  <c r="H319" i="9" s="1"/>
  <c r="G318" i="9"/>
  <c r="H318" i="9" s="1"/>
  <c r="G317" i="9"/>
  <c r="H317" i="9" s="1"/>
  <c r="G316" i="9"/>
  <c r="H316" i="9" s="1"/>
  <c r="G315" i="9"/>
  <c r="H315" i="9" s="1"/>
  <c r="G314" i="9"/>
  <c r="H314" i="9" s="1"/>
  <c r="G313" i="9"/>
  <c r="H313" i="9" s="1"/>
  <c r="G312" i="9"/>
  <c r="H312" i="9" s="1"/>
  <c r="G311" i="9"/>
  <c r="H311" i="9" s="1"/>
  <c r="G310" i="9"/>
  <c r="H310" i="9" s="1"/>
  <c r="G309" i="9"/>
  <c r="H309" i="9" s="1"/>
  <c r="G308" i="9"/>
  <c r="H308" i="9" s="1"/>
  <c r="G307" i="9"/>
  <c r="H307" i="9" s="1"/>
  <c r="G306" i="9"/>
  <c r="H306" i="9" s="1"/>
  <c r="G305" i="9"/>
  <c r="H305" i="9" s="1"/>
  <c r="G304" i="9"/>
  <c r="H304" i="9" s="1"/>
  <c r="G303" i="9"/>
  <c r="H303" i="9" s="1"/>
  <c r="G302" i="9"/>
  <c r="H302" i="9" s="1"/>
  <c r="G301" i="9"/>
  <c r="H301" i="9" s="1"/>
  <c r="G300" i="9"/>
  <c r="H300" i="9" s="1"/>
  <c r="G299" i="9"/>
  <c r="H299" i="9" s="1"/>
  <c r="G298" i="9"/>
  <c r="H298" i="9" s="1"/>
  <c r="G297" i="9"/>
  <c r="H297" i="9" s="1"/>
  <c r="G296" i="9"/>
  <c r="H296" i="9" s="1"/>
  <c r="H295" i="9"/>
  <c r="G295" i="9"/>
  <c r="G294" i="9"/>
  <c r="H294" i="9" s="1"/>
  <c r="H293" i="9"/>
  <c r="G293" i="9"/>
  <c r="G292" i="9"/>
  <c r="H292" i="9" s="1"/>
  <c r="H291" i="9"/>
  <c r="G291" i="9"/>
  <c r="G290" i="9"/>
  <c r="H290" i="9" s="1"/>
  <c r="H289" i="9"/>
  <c r="G289" i="9"/>
  <c r="G288" i="9"/>
  <c r="H288" i="9" s="1"/>
  <c r="H287" i="9"/>
  <c r="G287" i="9"/>
  <c r="G286" i="9"/>
  <c r="H286" i="9" s="1"/>
  <c r="H285" i="9"/>
  <c r="G285" i="9"/>
  <c r="G284" i="9"/>
  <c r="H284" i="9" s="1"/>
  <c r="H283" i="9"/>
  <c r="G283" i="9"/>
  <c r="G282" i="9"/>
  <c r="H282" i="9" s="1"/>
  <c r="H281" i="9"/>
  <c r="G281" i="9"/>
  <c r="G280" i="9"/>
  <c r="H280" i="9" s="1"/>
  <c r="H279" i="9"/>
  <c r="G279" i="9"/>
  <c r="G278" i="9"/>
  <c r="H278" i="9" s="1"/>
  <c r="H277" i="9"/>
  <c r="G277" i="9"/>
  <c r="G276" i="9"/>
  <c r="H276" i="9" s="1"/>
  <c r="H275" i="9"/>
  <c r="G275" i="9"/>
  <c r="G274" i="9"/>
  <c r="H274" i="9" s="1"/>
  <c r="H273" i="9"/>
  <c r="G273" i="9"/>
  <c r="H272" i="9"/>
  <c r="G272" i="9"/>
  <c r="H271" i="9"/>
  <c r="G271" i="9"/>
  <c r="H270" i="9"/>
  <c r="G270" i="9"/>
  <c r="H269" i="9"/>
  <c r="G269" i="9"/>
  <c r="H268" i="9"/>
  <c r="G268" i="9"/>
  <c r="G267" i="9"/>
  <c r="H267" i="9" s="1"/>
  <c r="H266" i="9"/>
  <c r="G266" i="9"/>
  <c r="G265" i="9"/>
  <c r="H265" i="9" s="1"/>
  <c r="H264" i="9"/>
  <c r="G264" i="9"/>
  <c r="G263" i="9"/>
  <c r="H263" i="9" s="1"/>
  <c r="H262" i="9"/>
  <c r="G262" i="9"/>
  <c r="G261" i="9"/>
  <c r="H261" i="9" s="1"/>
  <c r="H260" i="9"/>
  <c r="G260" i="9"/>
  <c r="G259" i="9"/>
  <c r="H259" i="9" s="1"/>
  <c r="H258" i="9"/>
  <c r="G258" i="9"/>
  <c r="G257" i="9"/>
  <c r="H257" i="9" s="1"/>
  <c r="H256" i="9"/>
  <c r="G256" i="9"/>
  <c r="G255" i="9"/>
  <c r="H255" i="9" s="1"/>
  <c r="H254" i="9"/>
  <c r="G254" i="9"/>
  <c r="G253" i="9"/>
  <c r="H253" i="9" s="1"/>
  <c r="H252" i="9"/>
  <c r="G252" i="9"/>
  <c r="H251" i="9"/>
  <c r="G251" i="9"/>
  <c r="H250" i="9"/>
  <c r="G250" i="9"/>
  <c r="H249" i="9"/>
  <c r="G249" i="9"/>
  <c r="H248" i="9"/>
  <c r="G248" i="9"/>
  <c r="H247" i="9"/>
  <c r="G247" i="9"/>
  <c r="H246" i="9"/>
  <c r="G246" i="9"/>
  <c r="H245" i="9"/>
  <c r="G245" i="9"/>
  <c r="H244" i="9"/>
  <c r="G244" i="9"/>
  <c r="H243" i="9"/>
  <c r="G243" i="9"/>
  <c r="H242" i="9"/>
  <c r="G242" i="9"/>
  <c r="H241" i="9"/>
  <c r="G241" i="9"/>
  <c r="H240" i="9"/>
  <c r="G240" i="9"/>
  <c r="H239" i="9"/>
  <c r="G239" i="9"/>
  <c r="H238" i="9"/>
  <c r="G238" i="9"/>
  <c r="H237" i="9"/>
  <c r="G237" i="9"/>
  <c r="H236" i="9"/>
  <c r="G236" i="9"/>
  <c r="H235" i="9"/>
  <c r="G235" i="9"/>
  <c r="H234" i="9"/>
  <c r="G234" i="9"/>
  <c r="G233" i="9"/>
  <c r="H233" i="9" s="1"/>
  <c r="G232" i="9"/>
  <c r="H232" i="9" s="1"/>
  <c r="G231" i="9"/>
  <c r="H231" i="9" s="1"/>
  <c r="G230" i="9"/>
  <c r="H230" i="9" s="1"/>
  <c r="G229" i="9"/>
  <c r="H229" i="9" s="1"/>
  <c r="G228" i="9"/>
  <c r="H228" i="9" s="1"/>
  <c r="G227" i="9"/>
  <c r="H227" i="9" s="1"/>
  <c r="G226" i="9"/>
  <c r="H226" i="9" s="1"/>
  <c r="G225" i="9"/>
  <c r="H225" i="9" s="1"/>
  <c r="G224" i="9"/>
  <c r="H224" i="9" s="1"/>
  <c r="G223" i="9"/>
  <c r="H223" i="9" s="1"/>
  <c r="G222" i="9"/>
  <c r="H222" i="9" s="1"/>
  <c r="G221" i="9"/>
  <c r="H221" i="9" s="1"/>
  <c r="G220" i="9"/>
  <c r="H220" i="9" s="1"/>
  <c r="G219" i="9"/>
  <c r="H219" i="9" s="1"/>
  <c r="G218" i="9"/>
  <c r="H218" i="9" s="1"/>
  <c r="G217" i="9"/>
  <c r="H217" i="9" s="1"/>
  <c r="G216" i="9"/>
  <c r="H216" i="9" s="1"/>
  <c r="G215" i="9"/>
  <c r="H215" i="9" s="1"/>
  <c r="G214" i="9"/>
  <c r="H214" i="9" s="1"/>
  <c r="G213" i="9"/>
  <c r="H213" i="9" s="1"/>
  <c r="G212" i="9"/>
  <c r="H212" i="9" s="1"/>
  <c r="G211" i="9"/>
  <c r="H211" i="9" s="1"/>
  <c r="G210" i="9"/>
  <c r="H210" i="9" s="1"/>
  <c r="G209" i="9"/>
  <c r="H209" i="9" s="1"/>
  <c r="G208" i="9"/>
  <c r="H208" i="9" s="1"/>
  <c r="G207" i="9"/>
  <c r="H207" i="9" s="1"/>
  <c r="G206" i="9"/>
  <c r="H206" i="9" s="1"/>
  <c r="G205" i="9"/>
  <c r="H205" i="9" s="1"/>
  <c r="G204" i="9"/>
  <c r="H204" i="9" s="1"/>
  <c r="G203" i="9"/>
  <c r="H203" i="9" s="1"/>
  <c r="G202" i="9"/>
  <c r="H202" i="9" s="1"/>
  <c r="G201" i="9"/>
  <c r="H201" i="9" s="1"/>
  <c r="G200" i="9"/>
  <c r="H200" i="9" s="1"/>
  <c r="G199" i="9"/>
  <c r="H199" i="9" s="1"/>
  <c r="G198" i="9"/>
  <c r="H198" i="9" s="1"/>
  <c r="G197" i="9"/>
  <c r="H197" i="9" s="1"/>
  <c r="G196" i="9"/>
  <c r="H196" i="9" s="1"/>
  <c r="G195" i="9"/>
  <c r="H195" i="9" s="1"/>
  <c r="G194" i="9"/>
  <c r="H194" i="9" s="1"/>
  <c r="G193" i="9"/>
  <c r="H193" i="9" s="1"/>
  <c r="G192" i="9"/>
  <c r="H192" i="9" s="1"/>
  <c r="G191" i="9"/>
  <c r="H191" i="9" s="1"/>
  <c r="G190" i="9"/>
  <c r="H190" i="9" s="1"/>
  <c r="G189" i="9"/>
  <c r="H189" i="9" s="1"/>
  <c r="G188" i="9"/>
  <c r="H188" i="9" s="1"/>
  <c r="G187" i="9"/>
  <c r="H187" i="9" s="1"/>
  <c r="G186" i="9"/>
  <c r="H186" i="9" s="1"/>
  <c r="G185" i="9"/>
  <c r="H185" i="9" s="1"/>
  <c r="G184" i="9"/>
  <c r="H184" i="9" s="1"/>
  <c r="G183" i="9"/>
  <c r="H183" i="9" s="1"/>
  <c r="G182" i="9"/>
  <c r="H182" i="9" s="1"/>
  <c r="G181" i="9"/>
  <c r="H181" i="9" s="1"/>
  <c r="G180" i="9"/>
  <c r="H180" i="9" s="1"/>
  <c r="G179" i="9"/>
  <c r="H179" i="9" s="1"/>
  <c r="G178" i="9"/>
  <c r="H178" i="9" s="1"/>
  <c r="G177" i="9"/>
  <c r="H177" i="9" s="1"/>
  <c r="G176" i="9"/>
  <c r="H176" i="9" s="1"/>
  <c r="G175" i="9"/>
  <c r="H175" i="9" s="1"/>
  <c r="G174" i="9"/>
  <c r="H174" i="9" s="1"/>
  <c r="G173" i="9"/>
  <c r="H173" i="9" s="1"/>
  <c r="G172" i="9"/>
  <c r="H172" i="9" s="1"/>
  <c r="G171" i="9"/>
  <c r="H171" i="9" s="1"/>
  <c r="G170" i="9"/>
  <c r="H170" i="9" s="1"/>
  <c r="G169" i="9"/>
  <c r="H169" i="9" s="1"/>
  <c r="G168" i="9"/>
  <c r="H168" i="9" s="1"/>
  <c r="G167" i="9"/>
  <c r="H167" i="9" s="1"/>
  <c r="G166" i="9"/>
  <c r="H166" i="9" s="1"/>
  <c r="G165" i="9"/>
  <c r="H165" i="9" s="1"/>
  <c r="G164" i="9"/>
  <c r="H164" i="9" s="1"/>
  <c r="G163" i="9"/>
  <c r="H163" i="9" s="1"/>
  <c r="G162" i="9"/>
  <c r="H162" i="9" s="1"/>
  <c r="G161" i="9"/>
  <c r="H161" i="9" s="1"/>
  <c r="G160" i="9"/>
  <c r="H160" i="9" s="1"/>
  <c r="G159" i="9"/>
  <c r="H159" i="9" s="1"/>
  <c r="G158" i="9"/>
  <c r="H158" i="9" s="1"/>
  <c r="G157" i="9"/>
  <c r="H157" i="9" s="1"/>
  <c r="G156" i="9"/>
  <c r="H156" i="9" s="1"/>
  <c r="G155" i="9"/>
  <c r="H155" i="9" s="1"/>
  <c r="G154" i="9"/>
  <c r="H154" i="9" s="1"/>
  <c r="G153" i="9"/>
  <c r="H153" i="9" s="1"/>
  <c r="G152" i="9"/>
  <c r="H152" i="9" s="1"/>
  <c r="G151" i="9"/>
  <c r="H151" i="9" s="1"/>
  <c r="G150" i="9"/>
  <c r="H150" i="9" s="1"/>
  <c r="G149" i="9"/>
  <c r="H149" i="9" s="1"/>
  <c r="G148" i="9"/>
  <c r="H148" i="9" s="1"/>
  <c r="G147" i="9"/>
  <c r="H147" i="9" s="1"/>
  <c r="G146" i="9"/>
  <c r="H146" i="9" s="1"/>
  <c r="G145" i="9"/>
  <c r="H145" i="9" s="1"/>
  <c r="G144" i="9"/>
  <c r="H144" i="9" s="1"/>
  <c r="G143" i="9"/>
  <c r="H143" i="9" s="1"/>
  <c r="G142" i="9"/>
  <c r="H142" i="9" s="1"/>
  <c r="G141" i="9"/>
  <c r="H141" i="9" s="1"/>
  <c r="G140" i="9"/>
  <c r="H140" i="9" s="1"/>
  <c r="G139" i="9"/>
  <c r="H139" i="9" s="1"/>
  <c r="G138" i="9"/>
  <c r="H138" i="9" s="1"/>
  <c r="G137" i="9"/>
  <c r="H137" i="9" s="1"/>
  <c r="G136" i="9"/>
  <c r="H136" i="9" s="1"/>
  <c r="G135" i="9"/>
  <c r="H135" i="9" s="1"/>
  <c r="G134" i="9"/>
  <c r="H134" i="9" s="1"/>
  <c r="G133" i="9"/>
  <c r="H133" i="9" s="1"/>
  <c r="G132" i="9"/>
  <c r="H132" i="9" s="1"/>
  <c r="G131" i="9"/>
  <c r="H131" i="9" s="1"/>
  <c r="H130" i="9"/>
  <c r="G130" i="9"/>
  <c r="H129" i="9"/>
  <c r="G129" i="9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G122" i="9"/>
  <c r="H122" i="9" s="1"/>
  <c r="G121" i="9"/>
  <c r="H121" i="9" s="1"/>
  <c r="G120" i="9"/>
  <c r="H120" i="9" s="1"/>
  <c r="G119" i="9"/>
  <c r="H119" i="9" s="1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H112" i="9" s="1"/>
  <c r="G111" i="9"/>
  <c r="H111" i="9" s="1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H104" i="9" s="1"/>
  <c r="G103" i="9"/>
  <c r="H103" i="9" s="1"/>
  <c r="G102" i="9"/>
  <c r="H102" i="9" s="1"/>
  <c r="G101" i="9"/>
  <c r="H101" i="9" s="1"/>
  <c r="G100" i="9"/>
  <c r="H100" i="9" s="1"/>
  <c r="G99" i="9"/>
  <c r="H99" i="9" s="1"/>
  <c r="G98" i="9"/>
  <c r="H98" i="9" s="1"/>
  <c r="G97" i="9"/>
  <c r="H97" i="9" s="1"/>
  <c r="G96" i="9"/>
  <c r="H96" i="9" s="1"/>
  <c r="G95" i="9"/>
  <c r="H95" i="9" s="1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8" i="9"/>
  <c r="H88" i="9" s="1"/>
  <c r="G87" i="9"/>
  <c r="H87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H80" i="9" s="1"/>
  <c r="G79" i="9"/>
  <c r="H79" i="9" s="1"/>
  <c r="G78" i="9"/>
  <c r="H78" i="9" s="1"/>
  <c r="G77" i="9"/>
  <c r="H77" i="9" s="1"/>
  <c r="G76" i="9"/>
  <c r="H76" i="9" s="1"/>
  <c r="G75" i="9"/>
  <c r="H75" i="9" s="1"/>
  <c r="G74" i="9"/>
  <c r="H74" i="9" s="1"/>
  <c r="G73" i="9"/>
  <c r="H73" i="9" s="1"/>
  <c r="G72" i="9"/>
  <c r="H72" i="9" s="1"/>
  <c r="G71" i="9"/>
  <c r="H71" i="9" s="1"/>
  <c r="G70" i="9"/>
  <c r="H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H64" i="9" s="1"/>
  <c r="G63" i="9"/>
  <c r="H63" i="9" s="1"/>
  <c r="G62" i="9"/>
  <c r="H62" i="9" s="1"/>
  <c r="G61" i="9"/>
  <c r="H61" i="9" s="1"/>
  <c r="G60" i="9"/>
  <c r="H60" i="9" s="1"/>
  <c r="H59" i="9"/>
  <c r="G59" i="9"/>
  <c r="H58" i="9"/>
  <c r="G58" i="9"/>
  <c r="H57" i="9"/>
  <c r="G57" i="9"/>
  <c r="H56" i="9"/>
  <c r="G56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G35" i="9"/>
  <c r="H35" i="9" s="1"/>
  <c r="G34" i="9"/>
  <c r="H34" i="9" s="1"/>
  <c r="G33" i="9"/>
  <c r="H33" i="9" s="1"/>
  <c r="G32" i="9"/>
  <c r="H32" i="9" s="1"/>
  <c r="G31" i="9"/>
  <c r="H31" i="9" s="1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E12" i="9"/>
  <c r="E13" i="9" s="1"/>
  <c r="H9" i="9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H337" i="8"/>
  <c r="G337" i="8"/>
  <c r="H336" i="8"/>
  <c r="G336" i="8"/>
  <c r="H335" i="8"/>
  <c r="G335" i="8"/>
  <c r="H334" i="8"/>
  <c r="G334" i="8"/>
  <c r="H333" i="8"/>
  <c r="G333" i="8"/>
  <c r="H332" i="8"/>
  <c r="G332" i="8"/>
  <c r="H331" i="8"/>
  <c r="G331" i="8"/>
  <c r="H330" i="8"/>
  <c r="G330" i="8"/>
  <c r="H329" i="8"/>
  <c r="G329" i="8"/>
  <c r="H328" i="8"/>
  <c r="G328" i="8"/>
  <c r="H327" i="8"/>
  <c r="G327" i="8"/>
  <c r="H326" i="8"/>
  <c r="G326" i="8"/>
  <c r="H325" i="8"/>
  <c r="G325" i="8"/>
  <c r="H324" i="8"/>
  <c r="G324" i="8"/>
  <c r="H323" i="8"/>
  <c r="G323" i="8"/>
  <c r="H322" i="8"/>
  <c r="G322" i="8"/>
  <c r="H321" i="8"/>
  <c r="G321" i="8"/>
  <c r="H320" i="8"/>
  <c r="G320" i="8"/>
  <c r="H319" i="8"/>
  <c r="G319" i="8"/>
  <c r="G318" i="8"/>
  <c r="H318" i="8" s="1"/>
  <c r="H317" i="8"/>
  <c r="G317" i="8"/>
  <c r="H316" i="8"/>
  <c r="G316" i="8"/>
  <c r="G315" i="8"/>
  <c r="H315" i="8" s="1"/>
  <c r="G314" i="8"/>
  <c r="H314" i="8" s="1"/>
  <c r="G313" i="8"/>
  <c r="H313" i="8" s="1"/>
  <c r="G312" i="8"/>
  <c r="H312" i="8" s="1"/>
  <c r="G311" i="8"/>
  <c r="H311" i="8" s="1"/>
  <c r="G310" i="8"/>
  <c r="H310" i="8" s="1"/>
  <c r="G309" i="8"/>
  <c r="H309" i="8" s="1"/>
  <c r="G308" i="8"/>
  <c r="H308" i="8" s="1"/>
  <c r="G307" i="8"/>
  <c r="H307" i="8" s="1"/>
  <c r="G306" i="8"/>
  <c r="H306" i="8" s="1"/>
  <c r="G305" i="8"/>
  <c r="H305" i="8" s="1"/>
  <c r="G304" i="8"/>
  <c r="H304" i="8" s="1"/>
  <c r="G303" i="8"/>
  <c r="H303" i="8" s="1"/>
  <c r="G302" i="8"/>
  <c r="H302" i="8" s="1"/>
  <c r="G301" i="8"/>
  <c r="H301" i="8" s="1"/>
  <c r="G300" i="8"/>
  <c r="H300" i="8" s="1"/>
  <c r="G299" i="8"/>
  <c r="H299" i="8" s="1"/>
  <c r="G298" i="8"/>
  <c r="H298" i="8" s="1"/>
  <c r="G297" i="8"/>
  <c r="H297" i="8" s="1"/>
  <c r="G296" i="8"/>
  <c r="H296" i="8" s="1"/>
  <c r="G295" i="8"/>
  <c r="H295" i="8" s="1"/>
  <c r="G294" i="8"/>
  <c r="H294" i="8" s="1"/>
  <c r="G293" i="8"/>
  <c r="H293" i="8" s="1"/>
  <c r="G292" i="8"/>
  <c r="H292" i="8" s="1"/>
  <c r="G291" i="8"/>
  <c r="H291" i="8" s="1"/>
  <c r="G290" i="8"/>
  <c r="H290" i="8" s="1"/>
  <c r="G289" i="8"/>
  <c r="H289" i="8" s="1"/>
  <c r="G288" i="8"/>
  <c r="H288" i="8" s="1"/>
  <c r="G287" i="8"/>
  <c r="H287" i="8" s="1"/>
  <c r="G286" i="8"/>
  <c r="H286" i="8" s="1"/>
  <c r="G285" i="8"/>
  <c r="H285" i="8" s="1"/>
  <c r="G284" i="8"/>
  <c r="H284" i="8" s="1"/>
  <c r="G283" i="8"/>
  <c r="H283" i="8" s="1"/>
  <c r="G282" i="8"/>
  <c r="H282" i="8" s="1"/>
  <c r="G281" i="8"/>
  <c r="H281" i="8" s="1"/>
  <c r="G280" i="8"/>
  <c r="H280" i="8" s="1"/>
  <c r="G279" i="8"/>
  <c r="H279" i="8" s="1"/>
  <c r="G278" i="8"/>
  <c r="H278" i="8" s="1"/>
  <c r="G277" i="8"/>
  <c r="H277" i="8" s="1"/>
  <c r="G276" i="8"/>
  <c r="H276" i="8" s="1"/>
  <c r="G275" i="8"/>
  <c r="H275" i="8" s="1"/>
  <c r="G274" i="8"/>
  <c r="H274" i="8" s="1"/>
  <c r="G273" i="8"/>
  <c r="H273" i="8" s="1"/>
  <c r="G272" i="8"/>
  <c r="H272" i="8" s="1"/>
  <c r="G271" i="8"/>
  <c r="H271" i="8" s="1"/>
  <c r="G270" i="8"/>
  <c r="H270" i="8" s="1"/>
  <c r="G269" i="8"/>
  <c r="H269" i="8" s="1"/>
  <c r="G268" i="8"/>
  <c r="H268" i="8" s="1"/>
  <c r="G267" i="8"/>
  <c r="H267" i="8" s="1"/>
  <c r="G266" i="8"/>
  <c r="H266" i="8" s="1"/>
  <c r="G265" i="8"/>
  <c r="H265" i="8" s="1"/>
  <c r="G264" i="8"/>
  <c r="H264" i="8" s="1"/>
  <c r="G263" i="8"/>
  <c r="H263" i="8" s="1"/>
  <c r="G262" i="8"/>
  <c r="H262" i="8" s="1"/>
  <c r="G261" i="8"/>
  <c r="H261" i="8" s="1"/>
  <c r="G260" i="8"/>
  <c r="H260" i="8" s="1"/>
  <c r="G259" i="8"/>
  <c r="H259" i="8" s="1"/>
  <c r="G258" i="8"/>
  <c r="H258" i="8" s="1"/>
  <c r="G257" i="8"/>
  <c r="H257" i="8" s="1"/>
  <c r="G256" i="8"/>
  <c r="H256" i="8" s="1"/>
  <c r="G255" i="8"/>
  <c r="H255" i="8" s="1"/>
  <c r="G254" i="8"/>
  <c r="H254" i="8" s="1"/>
  <c r="H253" i="8"/>
  <c r="G253" i="8"/>
  <c r="H252" i="8"/>
  <c r="G252" i="8"/>
  <c r="H251" i="8"/>
  <c r="G251" i="8"/>
  <c r="H250" i="8"/>
  <c r="G250" i="8"/>
  <c r="H249" i="8"/>
  <c r="G249" i="8"/>
  <c r="H248" i="8"/>
  <c r="G248" i="8"/>
  <c r="H247" i="8"/>
  <c r="G247" i="8"/>
  <c r="H246" i="8"/>
  <c r="G246" i="8"/>
  <c r="H245" i="8"/>
  <c r="G245" i="8"/>
  <c r="H244" i="8"/>
  <c r="G244" i="8"/>
  <c r="H243" i="8"/>
  <c r="G243" i="8"/>
  <c r="H242" i="8"/>
  <c r="G242" i="8"/>
  <c r="H241" i="8"/>
  <c r="G241" i="8"/>
  <c r="H240" i="8"/>
  <c r="G240" i="8"/>
  <c r="H239" i="8"/>
  <c r="G239" i="8"/>
  <c r="H238" i="8"/>
  <c r="G238" i="8"/>
  <c r="H237" i="8"/>
  <c r="G237" i="8"/>
  <c r="H236" i="8"/>
  <c r="G236" i="8"/>
  <c r="H235" i="8"/>
  <c r="G235" i="8"/>
  <c r="H234" i="8"/>
  <c r="G234" i="8"/>
  <c r="H233" i="8"/>
  <c r="G233" i="8"/>
  <c r="H232" i="8"/>
  <c r="G232" i="8"/>
  <c r="H231" i="8"/>
  <c r="G231" i="8"/>
  <c r="H230" i="8"/>
  <c r="G230" i="8"/>
  <c r="H229" i="8"/>
  <c r="G229" i="8"/>
  <c r="G228" i="8"/>
  <c r="H228" i="8" s="1"/>
  <c r="G227" i="8"/>
  <c r="H227" i="8" s="1"/>
  <c r="G226" i="8"/>
  <c r="H226" i="8" s="1"/>
  <c r="G225" i="8"/>
  <c r="H225" i="8" s="1"/>
  <c r="G224" i="8"/>
  <c r="H224" i="8" s="1"/>
  <c r="G223" i="8"/>
  <c r="H223" i="8" s="1"/>
  <c r="G222" i="8"/>
  <c r="H222" i="8" s="1"/>
  <c r="G221" i="8"/>
  <c r="H221" i="8" s="1"/>
  <c r="G220" i="8"/>
  <c r="H220" i="8" s="1"/>
  <c r="G219" i="8"/>
  <c r="H219" i="8" s="1"/>
  <c r="G218" i="8"/>
  <c r="H218" i="8" s="1"/>
  <c r="G217" i="8"/>
  <c r="H217" i="8" s="1"/>
  <c r="H216" i="8"/>
  <c r="G216" i="8"/>
  <c r="G215" i="8"/>
  <c r="H215" i="8" s="1"/>
  <c r="G214" i="8"/>
  <c r="H214" i="8" s="1"/>
  <c r="H213" i="8"/>
  <c r="G213" i="8"/>
  <c r="G212" i="8"/>
  <c r="H212" i="8" s="1"/>
  <c r="G211" i="8"/>
  <c r="H211" i="8" s="1"/>
  <c r="G210" i="8"/>
  <c r="H210" i="8" s="1"/>
  <c r="H209" i="8"/>
  <c r="G209" i="8"/>
  <c r="G208" i="8"/>
  <c r="H208" i="8" s="1"/>
  <c r="H207" i="8"/>
  <c r="G207" i="8"/>
  <c r="H206" i="8"/>
  <c r="G206" i="8"/>
  <c r="H205" i="8"/>
  <c r="G205" i="8"/>
  <c r="H204" i="8"/>
  <c r="G204" i="8"/>
  <c r="H203" i="8"/>
  <c r="G203" i="8"/>
  <c r="H202" i="8"/>
  <c r="G202" i="8"/>
  <c r="H201" i="8"/>
  <c r="G201" i="8"/>
  <c r="G200" i="8"/>
  <c r="H200" i="8" s="1"/>
  <c r="G199" i="8"/>
  <c r="H199" i="8" s="1"/>
  <c r="G198" i="8"/>
  <c r="H198" i="8" s="1"/>
  <c r="G197" i="8"/>
  <c r="H197" i="8" s="1"/>
  <c r="G196" i="8"/>
  <c r="H196" i="8" s="1"/>
  <c r="G195" i="8"/>
  <c r="H195" i="8" s="1"/>
  <c r="G194" i="8"/>
  <c r="H194" i="8" s="1"/>
  <c r="G193" i="8"/>
  <c r="H193" i="8" s="1"/>
  <c r="G192" i="8"/>
  <c r="H192" i="8" s="1"/>
  <c r="G191" i="8"/>
  <c r="H191" i="8" s="1"/>
  <c r="G190" i="8"/>
  <c r="H190" i="8" s="1"/>
  <c r="G189" i="8"/>
  <c r="H189" i="8" s="1"/>
  <c r="G188" i="8"/>
  <c r="H188" i="8" s="1"/>
  <c r="G187" i="8"/>
  <c r="H187" i="8" s="1"/>
  <c r="G186" i="8"/>
  <c r="H186" i="8" s="1"/>
  <c r="G185" i="8"/>
  <c r="H185" i="8" s="1"/>
  <c r="G184" i="8"/>
  <c r="H184" i="8" s="1"/>
  <c r="G183" i="8"/>
  <c r="H183" i="8" s="1"/>
  <c r="G182" i="8"/>
  <c r="H182" i="8" s="1"/>
  <c r="G181" i="8"/>
  <c r="H181" i="8" s="1"/>
  <c r="G180" i="8"/>
  <c r="H180" i="8" s="1"/>
  <c r="G179" i="8"/>
  <c r="H179" i="8" s="1"/>
  <c r="G178" i="8"/>
  <c r="H178" i="8" s="1"/>
  <c r="G177" i="8"/>
  <c r="H177" i="8" s="1"/>
  <c r="G176" i="8"/>
  <c r="H176" i="8" s="1"/>
  <c r="G175" i="8"/>
  <c r="H175" i="8" s="1"/>
  <c r="G174" i="8"/>
  <c r="H174" i="8" s="1"/>
  <c r="G173" i="8"/>
  <c r="H173" i="8" s="1"/>
  <c r="G172" i="8"/>
  <c r="H172" i="8" s="1"/>
  <c r="G171" i="8"/>
  <c r="H171" i="8" s="1"/>
  <c r="G170" i="8"/>
  <c r="H170" i="8" s="1"/>
  <c r="G169" i="8"/>
  <c r="H169" i="8" s="1"/>
  <c r="G168" i="8"/>
  <c r="H168" i="8" s="1"/>
  <c r="G167" i="8"/>
  <c r="H167" i="8" s="1"/>
  <c r="G166" i="8"/>
  <c r="H166" i="8" s="1"/>
  <c r="G165" i="8"/>
  <c r="H165" i="8" s="1"/>
  <c r="G164" i="8"/>
  <c r="H164" i="8" s="1"/>
  <c r="G163" i="8"/>
  <c r="H163" i="8" s="1"/>
  <c r="G162" i="8"/>
  <c r="H162" i="8" s="1"/>
  <c r="G161" i="8"/>
  <c r="H161" i="8" s="1"/>
  <c r="G160" i="8"/>
  <c r="H160" i="8" s="1"/>
  <c r="G159" i="8"/>
  <c r="H159" i="8" s="1"/>
  <c r="G158" i="8"/>
  <c r="H158" i="8" s="1"/>
  <c r="G157" i="8"/>
  <c r="H157" i="8" s="1"/>
  <c r="G156" i="8"/>
  <c r="H156" i="8" s="1"/>
  <c r="G155" i="8"/>
  <c r="H155" i="8" s="1"/>
  <c r="G154" i="8"/>
  <c r="H154" i="8" s="1"/>
  <c r="G153" i="8"/>
  <c r="H153" i="8" s="1"/>
  <c r="G152" i="8"/>
  <c r="H152" i="8" s="1"/>
  <c r="G151" i="8"/>
  <c r="H151" i="8" s="1"/>
  <c r="G150" i="8"/>
  <c r="H150" i="8" s="1"/>
  <c r="G149" i="8"/>
  <c r="H149" i="8" s="1"/>
  <c r="G148" i="8"/>
  <c r="H148" i="8" s="1"/>
  <c r="G147" i="8"/>
  <c r="H147" i="8" s="1"/>
  <c r="G146" i="8"/>
  <c r="H146" i="8" s="1"/>
  <c r="G145" i="8"/>
  <c r="H145" i="8" s="1"/>
  <c r="G144" i="8"/>
  <c r="H144" i="8" s="1"/>
  <c r="G143" i="8"/>
  <c r="H143" i="8" s="1"/>
  <c r="G142" i="8"/>
  <c r="H142" i="8" s="1"/>
  <c r="G141" i="8"/>
  <c r="H141" i="8" s="1"/>
  <c r="G140" i="8"/>
  <c r="H140" i="8" s="1"/>
  <c r="G139" i="8"/>
  <c r="H139" i="8" s="1"/>
  <c r="G138" i="8"/>
  <c r="H138" i="8" s="1"/>
  <c r="G137" i="8"/>
  <c r="H137" i="8" s="1"/>
  <c r="G136" i="8"/>
  <c r="H136" i="8" s="1"/>
  <c r="G135" i="8"/>
  <c r="H135" i="8" s="1"/>
  <c r="G134" i="8"/>
  <c r="H134" i="8" s="1"/>
  <c r="G133" i="8"/>
  <c r="H133" i="8" s="1"/>
  <c r="G132" i="8"/>
  <c r="H132" i="8" s="1"/>
  <c r="G131" i="8"/>
  <c r="H131" i="8" s="1"/>
  <c r="G130" i="8"/>
  <c r="H130" i="8" s="1"/>
  <c r="G129" i="8"/>
  <c r="H129" i="8" s="1"/>
  <c r="G128" i="8"/>
  <c r="H128" i="8" s="1"/>
  <c r="G127" i="8"/>
  <c r="H127" i="8" s="1"/>
  <c r="G126" i="8"/>
  <c r="H126" i="8" s="1"/>
  <c r="G125" i="8"/>
  <c r="H125" i="8" s="1"/>
  <c r="G124" i="8"/>
  <c r="H124" i="8" s="1"/>
  <c r="G123" i="8"/>
  <c r="H123" i="8" s="1"/>
  <c r="G122" i="8"/>
  <c r="H122" i="8" s="1"/>
  <c r="G121" i="8"/>
  <c r="H121" i="8" s="1"/>
  <c r="G120" i="8"/>
  <c r="H120" i="8" s="1"/>
  <c r="G119" i="8"/>
  <c r="H119" i="8" s="1"/>
  <c r="G118" i="8"/>
  <c r="H118" i="8" s="1"/>
  <c r="G117" i="8"/>
  <c r="H117" i="8" s="1"/>
  <c r="G116" i="8"/>
  <c r="H116" i="8" s="1"/>
  <c r="G115" i="8"/>
  <c r="H115" i="8" s="1"/>
  <c r="G114" i="8"/>
  <c r="H114" i="8" s="1"/>
  <c r="G113" i="8"/>
  <c r="H113" i="8" s="1"/>
  <c r="G112" i="8"/>
  <c r="H112" i="8" s="1"/>
  <c r="G111" i="8"/>
  <c r="H111" i="8" s="1"/>
  <c r="G110" i="8"/>
  <c r="H110" i="8" s="1"/>
  <c r="G109" i="8"/>
  <c r="H109" i="8" s="1"/>
  <c r="G108" i="8"/>
  <c r="H108" i="8" s="1"/>
  <c r="G107" i="8"/>
  <c r="H107" i="8" s="1"/>
  <c r="G106" i="8"/>
  <c r="H106" i="8" s="1"/>
  <c r="G105" i="8"/>
  <c r="H105" i="8" s="1"/>
  <c r="G104" i="8"/>
  <c r="H104" i="8" s="1"/>
  <c r="G103" i="8"/>
  <c r="H103" i="8" s="1"/>
  <c r="G102" i="8"/>
  <c r="H102" i="8" s="1"/>
  <c r="G101" i="8"/>
  <c r="H101" i="8" s="1"/>
  <c r="G100" i="8"/>
  <c r="H100" i="8" s="1"/>
  <c r="G99" i="8"/>
  <c r="H99" i="8" s="1"/>
  <c r="G98" i="8"/>
  <c r="H98" i="8" s="1"/>
  <c r="G97" i="8"/>
  <c r="H97" i="8" s="1"/>
  <c r="G96" i="8"/>
  <c r="H96" i="8" s="1"/>
  <c r="G95" i="8"/>
  <c r="H95" i="8" s="1"/>
  <c r="G94" i="8"/>
  <c r="H94" i="8" s="1"/>
  <c r="G93" i="8"/>
  <c r="H93" i="8" s="1"/>
  <c r="G92" i="8"/>
  <c r="H92" i="8" s="1"/>
  <c r="G91" i="8"/>
  <c r="H91" i="8" s="1"/>
  <c r="G90" i="8"/>
  <c r="H90" i="8" s="1"/>
  <c r="G89" i="8"/>
  <c r="H89" i="8" s="1"/>
  <c r="G88" i="8"/>
  <c r="H88" i="8" s="1"/>
  <c r="G87" i="8"/>
  <c r="H87" i="8" s="1"/>
  <c r="G86" i="8"/>
  <c r="H86" i="8" s="1"/>
  <c r="G85" i="8"/>
  <c r="H85" i="8" s="1"/>
  <c r="G84" i="8"/>
  <c r="H84" i="8" s="1"/>
  <c r="G83" i="8"/>
  <c r="H83" i="8" s="1"/>
  <c r="G82" i="8"/>
  <c r="H82" i="8" s="1"/>
  <c r="G81" i="8"/>
  <c r="H81" i="8" s="1"/>
  <c r="G80" i="8"/>
  <c r="H80" i="8" s="1"/>
  <c r="G79" i="8"/>
  <c r="H79" i="8" s="1"/>
  <c r="G78" i="8"/>
  <c r="H78" i="8" s="1"/>
  <c r="G77" i="8"/>
  <c r="H77" i="8" s="1"/>
  <c r="G76" i="8"/>
  <c r="H76" i="8" s="1"/>
  <c r="G75" i="8"/>
  <c r="H75" i="8" s="1"/>
  <c r="G74" i="8"/>
  <c r="H74" i="8" s="1"/>
  <c r="G73" i="8"/>
  <c r="H73" i="8" s="1"/>
  <c r="G72" i="8"/>
  <c r="H72" i="8" s="1"/>
  <c r="G71" i="8"/>
  <c r="H71" i="8" s="1"/>
  <c r="G70" i="8"/>
  <c r="H70" i="8" s="1"/>
  <c r="G69" i="8"/>
  <c r="H69" i="8" s="1"/>
  <c r="G68" i="8"/>
  <c r="H68" i="8" s="1"/>
  <c r="G67" i="8"/>
  <c r="H67" i="8" s="1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H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H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H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H24" i="8" s="1"/>
  <c r="G23" i="8"/>
  <c r="H23" i="8" s="1"/>
  <c r="H22" i="8"/>
  <c r="G22" i="8"/>
  <c r="G21" i="8"/>
  <c r="H21" i="8" s="1"/>
  <c r="H20" i="8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H13" i="8"/>
  <c r="G13" i="8"/>
  <c r="G12" i="8"/>
  <c r="H12" i="8" s="1"/>
  <c r="E12" i="8"/>
  <c r="E13" i="8" s="1"/>
  <c r="H9" i="8"/>
  <c r="L13" i="7"/>
  <c r="J13" i="7" s="1"/>
  <c r="L336" i="7"/>
  <c r="K336" i="7" s="1"/>
  <c r="L335" i="7"/>
  <c r="K335" i="7" s="1"/>
  <c r="L334" i="7"/>
  <c r="K334" i="7" s="1"/>
  <c r="L333" i="7"/>
  <c r="K333" i="7" s="1"/>
  <c r="L332" i="7"/>
  <c r="J332" i="7" s="1"/>
  <c r="L331" i="7"/>
  <c r="K331" i="7" s="1"/>
  <c r="L330" i="7"/>
  <c r="J330" i="7" s="1"/>
  <c r="L329" i="7"/>
  <c r="K329" i="7" s="1"/>
  <c r="L328" i="7"/>
  <c r="K328" i="7" s="1"/>
  <c r="L327" i="7"/>
  <c r="K327" i="7" s="1"/>
  <c r="L326" i="7"/>
  <c r="K326" i="7" s="1"/>
  <c r="L325" i="7"/>
  <c r="K325" i="7" s="1"/>
  <c r="L324" i="7"/>
  <c r="J324" i="7" s="1"/>
  <c r="L323" i="7"/>
  <c r="K323" i="7" s="1"/>
  <c r="L322" i="7"/>
  <c r="J322" i="7" s="1"/>
  <c r="L321" i="7"/>
  <c r="K321" i="7" s="1"/>
  <c r="L320" i="7"/>
  <c r="K320" i="7" s="1"/>
  <c r="L319" i="7"/>
  <c r="K319" i="7" s="1"/>
  <c r="L318" i="7"/>
  <c r="K318" i="7" s="1"/>
  <c r="L317" i="7"/>
  <c r="K317" i="7" s="1"/>
  <c r="L316" i="7"/>
  <c r="J316" i="7" s="1"/>
  <c r="L315" i="7"/>
  <c r="K315" i="7" s="1"/>
  <c r="L314" i="7"/>
  <c r="J314" i="7" s="1"/>
  <c r="L313" i="7"/>
  <c r="K313" i="7" s="1"/>
  <c r="L312" i="7"/>
  <c r="K312" i="7" s="1"/>
  <c r="L311" i="7"/>
  <c r="K311" i="7" s="1"/>
  <c r="L310" i="7"/>
  <c r="K310" i="7" s="1"/>
  <c r="L309" i="7"/>
  <c r="K309" i="7" s="1"/>
  <c r="L308" i="7"/>
  <c r="J308" i="7" s="1"/>
  <c r="L307" i="7"/>
  <c r="K307" i="7" s="1"/>
  <c r="L306" i="7"/>
  <c r="J306" i="7" s="1"/>
  <c r="L305" i="7"/>
  <c r="K305" i="7" s="1"/>
  <c r="L304" i="7"/>
  <c r="K304" i="7" s="1"/>
  <c r="L303" i="7"/>
  <c r="K303" i="7" s="1"/>
  <c r="L302" i="7"/>
  <c r="K302" i="7" s="1"/>
  <c r="L301" i="7"/>
  <c r="K301" i="7" s="1"/>
  <c r="L300" i="7"/>
  <c r="J300" i="7" s="1"/>
  <c r="L299" i="7"/>
  <c r="K299" i="7" s="1"/>
  <c r="L298" i="7"/>
  <c r="J298" i="7" s="1"/>
  <c r="L297" i="7"/>
  <c r="K297" i="7" s="1"/>
  <c r="L296" i="7"/>
  <c r="K296" i="7" s="1"/>
  <c r="L295" i="7"/>
  <c r="K295" i="7" s="1"/>
  <c r="L294" i="7"/>
  <c r="K294" i="7" s="1"/>
  <c r="L293" i="7"/>
  <c r="K293" i="7" s="1"/>
  <c r="L292" i="7"/>
  <c r="J292" i="7" s="1"/>
  <c r="L291" i="7"/>
  <c r="K291" i="7" s="1"/>
  <c r="L290" i="7"/>
  <c r="J290" i="7" s="1"/>
  <c r="L289" i="7"/>
  <c r="K289" i="7" s="1"/>
  <c r="L288" i="7"/>
  <c r="K288" i="7" s="1"/>
  <c r="L287" i="7"/>
  <c r="K287" i="7" s="1"/>
  <c r="L286" i="7"/>
  <c r="K286" i="7" s="1"/>
  <c r="L285" i="7"/>
  <c r="K285" i="7" s="1"/>
  <c r="L284" i="7"/>
  <c r="J284" i="7" s="1"/>
  <c r="L283" i="7"/>
  <c r="K283" i="7" s="1"/>
  <c r="L282" i="7"/>
  <c r="K282" i="7" s="1"/>
  <c r="L281" i="7"/>
  <c r="K281" i="7" s="1"/>
  <c r="L280" i="7"/>
  <c r="K280" i="7" s="1"/>
  <c r="L279" i="7"/>
  <c r="K279" i="7" s="1"/>
  <c r="L278" i="7"/>
  <c r="K278" i="7" s="1"/>
  <c r="L277" i="7"/>
  <c r="K277" i="7" s="1"/>
  <c r="L276" i="7"/>
  <c r="J276" i="7" s="1"/>
  <c r="L275" i="7"/>
  <c r="K275" i="7" s="1"/>
  <c r="L274" i="7"/>
  <c r="K274" i="7" s="1"/>
  <c r="L273" i="7"/>
  <c r="K273" i="7" s="1"/>
  <c r="L272" i="7"/>
  <c r="K272" i="7" s="1"/>
  <c r="L271" i="7"/>
  <c r="K271" i="7" s="1"/>
  <c r="L270" i="7"/>
  <c r="K270" i="7" s="1"/>
  <c r="L269" i="7"/>
  <c r="K269" i="7" s="1"/>
  <c r="L268" i="7"/>
  <c r="J268" i="7" s="1"/>
  <c r="L267" i="7"/>
  <c r="K267" i="7" s="1"/>
  <c r="L266" i="7"/>
  <c r="K266" i="7" s="1"/>
  <c r="L265" i="7"/>
  <c r="K265" i="7" s="1"/>
  <c r="L264" i="7"/>
  <c r="K264" i="7" s="1"/>
  <c r="L263" i="7"/>
  <c r="K263" i="7" s="1"/>
  <c r="L262" i="7"/>
  <c r="K262" i="7" s="1"/>
  <c r="L261" i="7"/>
  <c r="K261" i="7" s="1"/>
  <c r="L260" i="7"/>
  <c r="J260" i="7" s="1"/>
  <c r="L259" i="7"/>
  <c r="K259" i="7" s="1"/>
  <c r="L258" i="7"/>
  <c r="K258" i="7" s="1"/>
  <c r="L257" i="7"/>
  <c r="K257" i="7" s="1"/>
  <c r="L256" i="7"/>
  <c r="K256" i="7" s="1"/>
  <c r="L255" i="7"/>
  <c r="K255" i="7" s="1"/>
  <c r="L254" i="7"/>
  <c r="K254" i="7" s="1"/>
  <c r="L253" i="7"/>
  <c r="K253" i="7" s="1"/>
  <c r="L252" i="7"/>
  <c r="J252" i="7" s="1"/>
  <c r="L251" i="7"/>
  <c r="K251" i="7" s="1"/>
  <c r="L250" i="7"/>
  <c r="K250" i="7" s="1"/>
  <c r="L249" i="7"/>
  <c r="K249" i="7" s="1"/>
  <c r="L248" i="7"/>
  <c r="K248" i="7" s="1"/>
  <c r="L247" i="7"/>
  <c r="K247" i="7" s="1"/>
  <c r="L246" i="7"/>
  <c r="K246" i="7" s="1"/>
  <c r="L245" i="7"/>
  <c r="K245" i="7" s="1"/>
  <c r="L244" i="7"/>
  <c r="J244" i="7" s="1"/>
  <c r="L243" i="7"/>
  <c r="K243" i="7" s="1"/>
  <c r="L242" i="7"/>
  <c r="K242" i="7" s="1"/>
  <c r="L241" i="7"/>
  <c r="K241" i="7" s="1"/>
  <c r="L240" i="7"/>
  <c r="K240" i="7" s="1"/>
  <c r="L239" i="7"/>
  <c r="K239" i="7" s="1"/>
  <c r="L238" i="7"/>
  <c r="K238" i="7" s="1"/>
  <c r="L237" i="7"/>
  <c r="K237" i="7" s="1"/>
  <c r="L236" i="7"/>
  <c r="J236" i="7" s="1"/>
  <c r="L235" i="7"/>
  <c r="K235" i="7" s="1"/>
  <c r="L234" i="7"/>
  <c r="K234" i="7" s="1"/>
  <c r="L233" i="7"/>
  <c r="K233" i="7" s="1"/>
  <c r="L232" i="7"/>
  <c r="K232" i="7" s="1"/>
  <c r="L231" i="7"/>
  <c r="K231" i="7" s="1"/>
  <c r="L230" i="7"/>
  <c r="K230" i="7" s="1"/>
  <c r="L229" i="7"/>
  <c r="K229" i="7" s="1"/>
  <c r="L228" i="7"/>
  <c r="J228" i="7" s="1"/>
  <c r="L227" i="7"/>
  <c r="K227" i="7" s="1"/>
  <c r="L226" i="7"/>
  <c r="K226" i="7" s="1"/>
  <c r="L225" i="7"/>
  <c r="K225" i="7" s="1"/>
  <c r="L224" i="7"/>
  <c r="K224" i="7" s="1"/>
  <c r="L223" i="7"/>
  <c r="K223" i="7" s="1"/>
  <c r="L222" i="7"/>
  <c r="K222" i="7" s="1"/>
  <c r="L221" i="7"/>
  <c r="K221" i="7" s="1"/>
  <c r="L220" i="7"/>
  <c r="J220" i="7" s="1"/>
  <c r="L219" i="7"/>
  <c r="K219" i="7" s="1"/>
  <c r="L218" i="7"/>
  <c r="K218" i="7" s="1"/>
  <c r="L217" i="7"/>
  <c r="K217" i="7" s="1"/>
  <c r="L216" i="7"/>
  <c r="K216" i="7" s="1"/>
  <c r="L215" i="7"/>
  <c r="K215" i="7" s="1"/>
  <c r="L214" i="7"/>
  <c r="K214" i="7" s="1"/>
  <c r="L213" i="7"/>
  <c r="K213" i="7" s="1"/>
  <c r="L212" i="7"/>
  <c r="J212" i="7" s="1"/>
  <c r="L211" i="7"/>
  <c r="K211" i="7" s="1"/>
  <c r="L210" i="7"/>
  <c r="K210" i="7" s="1"/>
  <c r="L209" i="7"/>
  <c r="K209" i="7" s="1"/>
  <c r="L208" i="7"/>
  <c r="K208" i="7" s="1"/>
  <c r="L207" i="7"/>
  <c r="K207" i="7" s="1"/>
  <c r="L206" i="7"/>
  <c r="K206" i="7" s="1"/>
  <c r="L205" i="7"/>
  <c r="K205" i="7" s="1"/>
  <c r="L204" i="7"/>
  <c r="J204" i="7" s="1"/>
  <c r="L203" i="7"/>
  <c r="K203" i="7" s="1"/>
  <c r="L202" i="7"/>
  <c r="K202" i="7" s="1"/>
  <c r="L201" i="7"/>
  <c r="K201" i="7" s="1"/>
  <c r="L200" i="7"/>
  <c r="K200" i="7" s="1"/>
  <c r="L199" i="7"/>
  <c r="K199" i="7" s="1"/>
  <c r="L198" i="7"/>
  <c r="K198" i="7" s="1"/>
  <c r="L197" i="7"/>
  <c r="K197" i="7" s="1"/>
  <c r="L196" i="7"/>
  <c r="J196" i="7" s="1"/>
  <c r="L195" i="7"/>
  <c r="K195" i="7" s="1"/>
  <c r="L194" i="7"/>
  <c r="K194" i="7" s="1"/>
  <c r="L193" i="7"/>
  <c r="K193" i="7" s="1"/>
  <c r="L192" i="7"/>
  <c r="K192" i="7" s="1"/>
  <c r="L191" i="7"/>
  <c r="K191" i="7" s="1"/>
  <c r="L190" i="7"/>
  <c r="K190" i="7" s="1"/>
  <c r="L189" i="7"/>
  <c r="K189" i="7" s="1"/>
  <c r="L188" i="7"/>
  <c r="J188" i="7" s="1"/>
  <c r="L187" i="7"/>
  <c r="K187" i="7" s="1"/>
  <c r="L186" i="7"/>
  <c r="K186" i="7" s="1"/>
  <c r="L185" i="7"/>
  <c r="K185" i="7" s="1"/>
  <c r="L184" i="7"/>
  <c r="K184" i="7" s="1"/>
  <c r="L183" i="7"/>
  <c r="K183" i="7" s="1"/>
  <c r="L182" i="7"/>
  <c r="K182" i="7" s="1"/>
  <c r="L181" i="7"/>
  <c r="K181" i="7" s="1"/>
  <c r="L180" i="7"/>
  <c r="J180" i="7" s="1"/>
  <c r="L179" i="7"/>
  <c r="K179" i="7" s="1"/>
  <c r="L178" i="7"/>
  <c r="K178" i="7" s="1"/>
  <c r="L177" i="7"/>
  <c r="K177" i="7" s="1"/>
  <c r="L176" i="7"/>
  <c r="K176" i="7" s="1"/>
  <c r="L175" i="7"/>
  <c r="K175" i="7" s="1"/>
  <c r="L174" i="7"/>
  <c r="K174" i="7" s="1"/>
  <c r="L173" i="7"/>
  <c r="K173" i="7" s="1"/>
  <c r="L172" i="7"/>
  <c r="J172" i="7" s="1"/>
  <c r="L171" i="7"/>
  <c r="K171" i="7" s="1"/>
  <c r="L170" i="7"/>
  <c r="K170" i="7" s="1"/>
  <c r="L169" i="7"/>
  <c r="K169" i="7" s="1"/>
  <c r="L168" i="7"/>
  <c r="K168" i="7" s="1"/>
  <c r="L167" i="7"/>
  <c r="K167" i="7" s="1"/>
  <c r="L166" i="7"/>
  <c r="K166" i="7" s="1"/>
  <c r="L165" i="7"/>
  <c r="K165" i="7" s="1"/>
  <c r="L164" i="7"/>
  <c r="J164" i="7" s="1"/>
  <c r="L163" i="7"/>
  <c r="K163" i="7" s="1"/>
  <c r="L162" i="7"/>
  <c r="K162" i="7" s="1"/>
  <c r="L161" i="7"/>
  <c r="K161" i="7" s="1"/>
  <c r="L160" i="7"/>
  <c r="K160" i="7" s="1"/>
  <c r="L159" i="7"/>
  <c r="K159" i="7" s="1"/>
  <c r="L158" i="7"/>
  <c r="K158" i="7" s="1"/>
  <c r="L157" i="7"/>
  <c r="K157" i="7" s="1"/>
  <c r="L156" i="7"/>
  <c r="J156" i="7" s="1"/>
  <c r="L155" i="7"/>
  <c r="K155" i="7" s="1"/>
  <c r="L154" i="7"/>
  <c r="K154" i="7" s="1"/>
  <c r="L153" i="7"/>
  <c r="K153" i="7" s="1"/>
  <c r="L152" i="7"/>
  <c r="K152" i="7" s="1"/>
  <c r="L151" i="7"/>
  <c r="K151" i="7" s="1"/>
  <c r="L150" i="7"/>
  <c r="K150" i="7" s="1"/>
  <c r="L149" i="7"/>
  <c r="K149" i="7" s="1"/>
  <c r="L148" i="7"/>
  <c r="J148" i="7" s="1"/>
  <c r="L147" i="7"/>
  <c r="K147" i="7" s="1"/>
  <c r="L146" i="7"/>
  <c r="K146" i="7" s="1"/>
  <c r="L145" i="7"/>
  <c r="K145" i="7" s="1"/>
  <c r="L144" i="7"/>
  <c r="K144" i="7" s="1"/>
  <c r="L143" i="7"/>
  <c r="K143" i="7" s="1"/>
  <c r="L142" i="7"/>
  <c r="K142" i="7" s="1"/>
  <c r="L141" i="7"/>
  <c r="K141" i="7" s="1"/>
  <c r="L140" i="7"/>
  <c r="J140" i="7" s="1"/>
  <c r="L139" i="7"/>
  <c r="K139" i="7" s="1"/>
  <c r="L138" i="7"/>
  <c r="K138" i="7" s="1"/>
  <c r="L137" i="7"/>
  <c r="K137" i="7" s="1"/>
  <c r="L136" i="7"/>
  <c r="K136" i="7" s="1"/>
  <c r="L135" i="7"/>
  <c r="K135" i="7" s="1"/>
  <c r="L134" i="7"/>
  <c r="K134" i="7" s="1"/>
  <c r="L133" i="7"/>
  <c r="K133" i="7" s="1"/>
  <c r="L132" i="7"/>
  <c r="J132" i="7" s="1"/>
  <c r="L131" i="7"/>
  <c r="K131" i="7" s="1"/>
  <c r="L130" i="7"/>
  <c r="K130" i="7" s="1"/>
  <c r="L129" i="7"/>
  <c r="K129" i="7" s="1"/>
  <c r="L128" i="7"/>
  <c r="K128" i="7" s="1"/>
  <c r="L127" i="7"/>
  <c r="K127" i="7" s="1"/>
  <c r="L126" i="7"/>
  <c r="K126" i="7" s="1"/>
  <c r="L125" i="7"/>
  <c r="K125" i="7" s="1"/>
  <c r="L124" i="7"/>
  <c r="J124" i="7" s="1"/>
  <c r="L123" i="7"/>
  <c r="K123" i="7" s="1"/>
  <c r="L122" i="7"/>
  <c r="K122" i="7" s="1"/>
  <c r="L121" i="7"/>
  <c r="K121" i="7" s="1"/>
  <c r="L120" i="7"/>
  <c r="K120" i="7" s="1"/>
  <c r="L119" i="7"/>
  <c r="K119" i="7" s="1"/>
  <c r="L118" i="7"/>
  <c r="K118" i="7" s="1"/>
  <c r="L117" i="7"/>
  <c r="K117" i="7" s="1"/>
  <c r="L116" i="7"/>
  <c r="J116" i="7" s="1"/>
  <c r="L115" i="7"/>
  <c r="K115" i="7" s="1"/>
  <c r="L114" i="7"/>
  <c r="K114" i="7" s="1"/>
  <c r="L113" i="7"/>
  <c r="K113" i="7" s="1"/>
  <c r="L112" i="7"/>
  <c r="K112" i="7" s="1"/>
  <c r="L111" i="7"/>
  <c r="K111" i="7" s="1"/>
  <c r="L110" i="7"/>
  <c r="K110" i="7" s="1"/>
  <c r="L109" i="7"/>
  <c r="K109" i="7" s="1"/>
  <c r="L108" i="7"/>
  <c r="J108" i="7" s="1"/>
  <c r="L107" i="7"/>
  <c r="K107" i="7" s="1"/>
  <c r="L106" i="7"/>
  <c r="K106" i="7" s="1"/>
  <c r="L105" i="7"/>
  <c r="K105" i="7" s="1"/>
  <c r="L104" i="7"/>
  <c r="K104" i="7" s="1"/>
  <c r="L103" i="7"/>
  <c r="K103" i="7" s="1"/>
  <c r="L102" i="7"/>
  <c r="K102" i="7" s="1"/>
  <c r="L101" i="7"/>
  <c r="K101" i="7" s="1"/>
  <c r="L100" i="7"/>
  <c r="J100" i="7" s="1"/>
  <c r="L99" i="7"/>
  <c r="K99" i="7" s="1"/>
  <c r="L98" i="7"/>
  <c r="K98" i="7" s="1"/>
  <c r="L97" i="7"/>
  <c r="K97" i="7" s="1"/>
  <c r="L96" i="7"/>
  <c r="K96" i="7" s="1"/>
  <c r="L95" i="7"/>
  <c r="K95" i="7" s="1"/>
  <c r="L94" i="7"/>
  <c r="K94" i="7" s="1"/>
  <c r="L93" i="7"/>
  <c r="K93" i="7" s="1"/>
  <c r="L92" i="7"/>
  <c r="J92" i="7" s="1"/>
  <c r="L91" i="7"/>
  <c r="K91" i="7" s="1"/>
  <c r="L90" i="7"/>
  <c r="K90" i="7" s="1"/>
  <c r="L89" i="7"/>
  <c r="K89" i="7" s="1"/>
  <c r="L88" i="7"/>
  <c r="K88" i="7" s="1"/>
  <c r="L87" i="7"/>
  <c r="K87" i="7" s="1"/>
  <c r="L86" i="7"/>
  <c r="K86" i="7" s="1"/>
  <c r="L85" i="7"/>
  <c r="K85" i="7" s="1"/>
  <c r="L84" i="7"/>
  <c r="J84" i="7" s="1"/>
  <c r="L83" i="7"/>
  <c r="K83" i="7" s="1"/>
  <c r="L82" i="7"/>
  <c r="K82" i="7" s="1"/>
  <c r="L81" i="7"/>
  <c r="K81" i="7" s="1"/>
  <c r="L80" i="7"/>
  <c r="K80" i="7" s="1"/>
  <c r="L79" i="7"/>
  <c r="K79" i="7" s="1"/>
  <c r="L78" i="7"/>
  <c r="K78" i="7" s="1"/>
  <c r="L77" i="7"/>
  <c r="K77" i="7" s="1"/>
  <c r="L76" i="7"/>
  <c r="J76" i="7" s="1"/>
  <c r="L75" i="7"/>
  <c r="K75" i="7" s="1"/>
  <c r="L74" i="7"/>
  <c r="K74" i="7" s="1"/>
  <c r="L73" i="7"/>
  <c r="K73" i="7" s="1"/>
  <c r="L72" i="7"/>
  <c r="K72" i="7" s="1"/>
  <c r="L71" i="7"/>
  <c r="K71" i="7" s="1"/>
  <c r="L70" i="7"/>
  <c r="K70" i="7" s="1"/>
  <c r="L69" i="7"/>
  <c r="K69" i="7" s="1"/>
  <c r="L68" i="7"/>
  <c r="J68" i="7" s="1"/>
  <c r="L67" i="7"/>
  <c r="K67" i="7" s="1"/>
  <c r="L66" i="7"/>
  <c r="K66" i="7" s="1"/>
  <c r="L65" i="7"/>
  <c r="K65" i="7" s="1"/>
  <c r="L64" i="7"/>
  <c r="K64" i="7" s="1"/>
  <c r="L63" i="7"/>
  <c r="K63" i="7" s="1"/>
  <c r="L62" i="7"/>
  <c r="K62" i="7" s="1"/>
  <c r="L61" i="7"/>
  <c r="K61" i="7" s="1"/>
  <c r="L60" i="7"/>
  <c r="J60" i="7" s="1"/>
  <c r="L59" i="7"/>
  <c r="K59" i="7" s="1"/>
  <c r="L58" i="7"/>
  <c r="K58" i="7" s="1"/>
  <c r="L57" i="7"/>
  <c r="K57" i="7" s="1"/>
  <c r="L56" i="7"/>
  <c r="K56" i="7" s="1"/>
  <c r="L55" i="7"/>
  <c r="K55" i="7" s="1"/>
  <c r="L54" i="7"/>
  <c r="K54" i="7" s="1"/>
  <c r="L53" i="7"/>
  <c r="K53" i="7" s="1"/>
  <c r="L52" i="7"/>
  <c r="J52" i="7" s="1"/>
  <c r="L51" i="7"/>
  <c r="K51" i="7" s="1"/>
  <c r="L50" i="7"/>
  <c r="K50" i="7" s="1"/>
  <c r="L49" i="7"/>
  <c r="K49" i="7" s="1"/>
  <c r="L48" i="7"/>
  <c r="K48" i="7" s="1"/>
  <c r="L47" i="7"/>
  <c r="K47" i="7" s="1"/>
  <c r="L46" i="7"/>
  <c r="K46" i="7" s="1"/>
  <c r="L45" i="7"/>
  <c r="K45" i="7" s="1"/>
  <c r="L44" i="7"/>
  <c r="J44" i="7" s="1"/>
  <c r="L43" i="7"/>
  <c r="K43" i="7" s="1"/>
  <c r="L42" i="7"/>
  <c r="K42" i="7" s="1"/>
  <c r="L41" i="7"/>
  <c r="K41" i="7" s="1"/>
  <c r="L40" i="7"/>
  <c r="K40" i="7" s="1"/>
  <c r="L39" i="7"/>
  <c r="K39" i="7" s="1"/>
  <c r="L38" i="7"/>
  <c r="K38" i="7" s="1"/>
  <c r="L37" i="7"/>
  <c r="K37" i="7" s="1"/>
  <c r="L36" i="7"/>
  <c r="J36" i="7" s="1"/>
  <c r="L35" i="7"/>
  <c r="K35" i="7" s="1"/>
  <c r="L34" i="7"/>
  <c r="K34" i="7" s="1"/>
  <c r="L33" i="7"/>
  <c r="K33" i="7" s="1"/>
  <c r="L32" i="7"/>
  <c r="K32" i="7" s="1"/>
  <c r="L31" i="7"/>
  <c r="K31" i="7" s="1"/>
  <c r="L30" i="7"/>
  <c r="K30" i="7" s="1"/>
  <c r="L29" i="7"/>
  <c r="K29" i="7" s="1"/>
  <c r="L28" i="7"/>
  <c r="J28" i="7" s="1"/>
  <c r="L27" i="7"/>
  <c r="K27" i="7" s="1"/>
  <c r="L26" i="7"/>
  <c r="K26" i="7" s="1"/>
  <c r="L25" i="7"/>
  <c r="K25" i="7" s="1"/>
  <c r="L24" i="7"/>
  <c r="K24" i="7" s="1"/>
  <c r="L23" i="7"/>
  <c r="K23" i="7" s="1"/>
  <c r="L22" i="7"/>
  <c r="K22" i="7" s="1"/>
  <c r="L21" i="7"/>
  <c r="K21" i="7" s="1"/>
  <c r="L20" i="7"/>
  <c r="J20" i="7" s="1"/>
  <c r="L19" i="7"/>
  <c r="K19" i="7" s="1"/>
  <c r="L18" i="7"/>
  <c r="K18" i="7" s="1"/>
  <c r="L17" i="7"/>
  <c r="K17" i="7" s="1"/>
  <c r="L16" i="7"/>
  <c r="K16" i="7" s="1"/>
  <c r="L15" i="7"/>
  <c r="K15" i="7" s="1"/>
  <c r="L14" i="7"/>
  <c r="K14" i="7" s="1"/>
  <c r="G337" i="7"/>
  <c r="H337" i="7" s="1"/>
  <c r="G336" i="7"/>
  <c r="H336" i="7" s="1"/>
  <c r="H335" i="7"/>
  <c r="G335" i="7"/>
  <c r="G334" i="7"/>
  <c r="H334" i="7" s="1"/>
  <c r="G333" i="7"/>
  <c r="H333" i="7" s="1"/>
  <c r="G332" i="7"/>
  <c r="H332" i="7" s="1"/>
  <c r="G331" i="7"/>
  <c r="H331" i="7" s="1"/>
  <c r="H330" i="7"/>
  <c r="G330" i="7"/>
  <c r="G329" i="7"/>
  <c r="H329" i="7" s="1"/>
  <c r="G328" i="7"/>
  <c r="H328" i="7" s="1"/>
  <c r="H327" i="7"/>
  <c r="G327" i="7"/>
  <c r="G326" i="7"/>
  <c r="H326" i="7" s="1"/>
  <c r="G325" i="7"/>
  <c r="H325" i="7" s="1"/>
  <c r="G324" i="7"/>
  <c r="H324" i="7" s="1"/>
  <c r="G323" i="7"/>
  <c r="H323" i="7" s="1"/>
  <c r="H322" i="7"/>
  <c r="G322" i="7"/>
  <c r="G321" i="7"/>
  <c r="H321" i="7" s="1"/>
  <c r="G320" i="7"/>
  <c r="H320" i="7" s="1"/>
  <c r="H319" i="7"/>
  <c r="G319" i="7"/>
  <c r="G318" i="7"/>
  <c r="H318" i="7" s="1"/>
  <c r="H317" i="7"/>
  <c r="G317" i="7"/>
  <c r="G316" i="7"/>
  <c r="H316" i="7" s="1"/>
  <c r="G315" i="7"/>
  <c r="H315" i="7" s="1"/>
  <c r="H314" i="7"/>
  <c r="G314" i="7"/>
  <c r="G313" i="7"/>
  <c r="H313" i="7" s="1"/>
  <c r="G312" i="7"/>
  <c r="H312" i="7" s="1"/>
  <c r="H311" i="7"/>
  <c r="G311" i="7"/>
  <c r="G310" i="7"/>
  <c r="H310" i="7" s="1"/>
  <c r="H309" i="7"/>
  <c r="G309" i="7"/>
  <c r="G308" i="7"/>
  <c r="H308" i="7" s="1"/>
  <c r="G307" i="7"/>
  <c r="H307" i="7" s="1"/>
  <c r="H306" i="7"/>
  <c r="G306" i="7"/>
  <c r="G305" i="7"/>
  <c r="H305" i="7" s="1"/>
  <c r="G304" i="7"/>
  <c r="H304" i="7" s="1"/>
  <c r="H303" i="7"/>
  <c r="G303" i="7"/>
  <c r="G302" i="7"/>
  <c r="H302" i="7" s="1"/>
  <c r="G301" i="7"/>
  <c r="H301" i="7" s="1"/>
  <c r="G300" i="7"/>
  <c r="H300" i="7" s="1"/>
  <c r="G299" i="7"/>
  <c r="H299" i="7" s="1"/>
  <c r="H298" i="7"/>
  <c r="G298" i="7"/>
  <c r="G297" i="7"/>
  <c r="H297" i="7" s="1"/>
  <c r="G296" i="7"/>
  <c r="H296" i="7" s="1"/>
  <c r="H295" i="7"/>
  <c r="G295" i="7"/>
  <c r="G294" i="7"/>
  <c r="H294" i="7" s="1"/>
  <c r="G293" i="7"/>
  <c r="H293" i="7" s="1"/>
  <c r="G292" i="7"/>
  <c r="H292" i="7" s="1"/>
  <c r="G291" i="7"/>
  <c r="H291" i="7" s="1"/>
  <c r="H290" i="7"/>
  <c r="G290" i="7"/>
  <c r="G289" i="7"/>
  <c r="H289" i="7" s="1"/>
  <c r="G288" i="7"/>
  <c r="H288" i="7" s="1"/>
  <c r="H287" i="7"/>
  <c r="G287" i="7"/>
  <c r="G286" i="7"/>
  <c r="H286" i="7" s="1"/>
  <c r="G285" i="7"/>
  <c r="H285" i="7" s="1"/>
  <c r="H284" i="7"/>
  <c r="G284" i="7"/>
  <c r="G283" i="7"/>
  <c r="H283" i="7" s="1"/>
  <c r="H282" i="7"/>
  <c r="G282" i="7"/>
  <c r="G281" i="7"/>
  <c r="H281" i="7" s="1"/>
  <c r="G280" i="7"/>
  <c r="H280" i="7" s="1"/>
  <c r="H279" i="7"/>
  <c r="G279" i="7"/>
  <c r="G278" i="7"/>
  <c r="H278" i="7" s="1"/>
  <c r="G277" i="7"/>
  <c r="H277" i="7" s="1"/>
  <c r="H276" i="7"/>
  <c r="G276" i="7"/>
  <c r="G275" i="7"/>
  <c r="H275" i="7" s="1"/>
  <c r="H274" i="7"/>
  <c r="G274" i="7"/>
  <c r="G273" i="7"/>
  <c r="H273" i="7" s="1"/>
  <c r="G272" i="7"/>
  <c r="H272" i="7" s="1"/>
  <c r="H271" i="7"/>
  <c r="G271" i="7"/>
  <c r="G270" i="7"/>
  <c r="H270" i="7" s="1"/>
  <c r="G269" i="7"/>
  <c r="H269" i="7" s="1"/>
  <c r="H268" i="7"/>
  <c r="G268" i="7"/>
  <c r="G267" i="7"/>
  <c r="H267" i="7" s="1"/>
  <c r="H266" i="7"/>
  <c r="G266" i="7"/>
  <c r="G265" i="7"/>
  <c r="H265" i="7" s="1"/>
  <c r="G264" i="7"/>
  <c r="H264" i="7" s="1"/>
  <c r="H263" i="7"/>
  <c r="G263" i="7"/>
  <c r="G262" i="7"/>
  <c r="H262" i="7" s="1"/>
  <c r="G261" i="7"/>
  <c r="H261" i="7" s="1"/>
  <c r="H260" i="7"/>
  <c r="G260" i="7"/>
  <c r="G259" i="7"/>
  <c r="H259" i="7" s="1"/>
  <c r="H258" i="7"/>
  <c r="G258" i="7"/>
  <c r="G257" i="7"/>
  <c r="H257" i="7" s="1"/>
  <c r="G256" i="7"/>
  <c r="H256" i="7" s="1"/>
  <c r="H255" i="7"/>
  <c r="G255" i="7"/>
  <c r="G254" i="7"/>
  <c r="H254" i="7" s="1"/>
  <c r="G253" i="7"/>
  <c r="H253" i="7" s="1"/>
  <c r="H252" i="7"/>
  <c r="G252" i="7"/>
  <c r="G251" i="7"/>
  <c r="H251" i="7" s="1"/>
  <c r="H250" i="7"/>
  <c r="G250" i="7"/>
  <c r="G249" i="7"/>
  <c r="H249" i="7" s="1"/>
  <c r="G248" i="7"/>
  <c r="H248" i="7" s="1"/>
  <c r="H247" i="7"/>
  <c r="G247" i="7"/>
  <c r="G246" i="7"/>
  <c r="H246" i="7" s="1"/>
  <c r="G245" i="7"/>
  <c r="H245" i="7" s="1"/>
  <c r="H244" i="7"/>
  <c r="G244" i="7"/>
  <c r="G243" i="7"/>
  <c r="H243" i="7" s="1"/>
  <c r="H242" i="7"/>
  <c r="G242" i="7"/>
  <c r="H241" i="7"/>
  <c r="G241" i="7"/>
  <c r="G240" i="7"/>
  <c r="H240" i="7" s="1"/>
  <c r="H239" i="7"/>
  <c r="G239" i="7"/>
  <c r="G238" i="7"/>
  <c r="H238" i="7" s="1"/>
  <c r="G237" i="7"/>
  <c r="H237" i="7" s="1"/>
  <c r="H236" i="7"/>
  <c r="G236" i="7"/>
  <c r="G235" i="7"/>
  <c r="H235" i="7" s="1"/>
  <c r="H234" i="7"/>
  <c r="G234" i="7"/>
  <c r="H233" i="7"/>
  <c r="G233" i="7"/>
  <c r="G232" i="7"/>
  <c r="H232" i="7" s="1"/>
  <c r="H231" i="7"/>
  <c r="G231" i="7"/>
  <c r="G230" i="7"/>
  <c r="H230" i="7" s="1"/>
  <c r="G229" i="7"/>
  <c r="H229" i="7" s="1"/>
  <c r="H228" i="7"/>
  <c r="G228" i="7"/>
  <c r="G227" i="7"/>
  <c r="H227" i="7" s="1"/>
  <c r="H226" i="7"/>
  <c r="G226" i="7"/>
  <c r="G225" i="7"/>
  <c r="H225" i="7" s="1"/>
  <c r="H224" i="7"/>
  <c r="G224" i="7"/>
  <c r="G223" i="7"/>
  <c r="H223" i="7" s="1"/>
  <c r="H222" i="7"/>
  <c r="G222" i="7"/>
  <c r="H221" i="7"/>
  <c r="G221" i="7"/>
  <c r="G220" i="7"/>
  <c r="H220" i="7" s="1"/>
  <c r="G219" i="7"/>
  <c r="H219" i="7" s="1"/>
  <c r="G218" i="7"/>
  <c r="H218" i="7" s="1"/>
  <c r="G217" i="7"/>
  <c r="H217" i="7" s="1"/>
  <c r="H216" i="7"/>
  <c r="G216" i="7"/>
  <c r="G215" i="7"/>
  <c r="H215" i="7" s="1"/>
  <c r="H214" i="7"/>
  <c r="G214" i="7"/>
  <c r="H213" i="7"/>
  <c r="G213" i="7"/>
  <c r="G212" i="7"/>
  <c r="H212" i="7" s="1"/>
  <c r="G211" i="7"/>
  <c r="H211" i="7" s="1"/>
  <c r="G210" i="7"/>
  <c r="H210" i="7" s="1"/>
  <c r="G209" i="7"/>
  <c r="H209" i="7" s="1"/>
  <c r="H208" i="7"/>
  <c r="G208" i="7"/>
  <c r="G207" i="7"/>
  <c r="H207" i="7" s="1"/>
  <c r="H206" i="7"/>
  <c r="G206" i="7"/>
  <c r="H205" i="7"/>
  <c r="G205" i="7"/>
  <c r="G204" i="7"/>
  <c r="H204" i="7" s="1"/>
  <c r="G203" i="7"/>
  <c r="H203" i="7" s="1"/>
  <c r="H202" i="7"/>
  <c r="G202" i="7"/>
  <c r="G201" i="7"/>
  <c r="H201" i="7" s="1"/>
  <c r="H200" i="7"/>
  <c r="G200" i="7"/>
  <c r="G199" i="7"/>
  <c r="H199" i="7" s="1"/>
  <c r="H198" i="7"/>
  <c r="G198" i="7"/>
  <c r="H197" i="7"/>
  <c r="G197" i="7"/>
  <c r="G196" i="7"/>
  <c r="H196" i="7" s="1"/>
  <c r="G195" i="7"/>
  <c r="H195" i="7" s="1"/>
  <c r="H194" i="7"/>
  <c r="G194" i="7"/>
  <c r="G193" i="7"/>
  <c r="H193" i="7" s="1"/>
  <c r="H192" i="7"/>
  <c r="G192" i="7"/>
  <c r="G191" i="7"/>
  <c r="H191" i="7" s="1"/>
  <c r="H190" i="7"/>
  <c r="G190" i="7"/>
  <c r="H189" i="7"/>
  <c r="G189" i="7"/>
  <c r="G188" i="7"/>
  <c r="H188" i="7" s="1"/>
  <c r="G187" i="7"/>
  <c r="H187" i="7" s="1"/>
  <c r="H186" i="7"/>
  <c r="G186" i="7"/>
  <c r="G185" i="7"/>
  <c r="H185" i="7" s="1"/>
  <c r="H184" i="7"/>
  <c r="G184" i="7"/>
  <c r="G183" i="7"/>
  <c r="H183" i="7" s="1"/>
  <c r="H182" i="7"/>
  <c r="G182" i="7"/>
  <c r="H181" i="7"/>
  <c r="G181" i="7"/>
  <c r="G180" i="7"/>
  <c r="H180" i="7" s="1"/>
  <c r="G179" i="7"/>
  <c r="H179" i="7" s="1"/>
  <c r="H178" i="7"/>
  <c r="G178" i="7"/>
  <c r="G177" i="7"/>
  <c r="H177" i="7" s="1"/>
  <c r="H176" i="7"/>
  <c r="G176" i="7"/>
  <c r="G175" i="7"/>
  <c r="H175" i="7" s="1"/>
  <c r="H174" i="7"/>
  <c r="G174" i="7"/>
  <c r="H173" i="7"/>
  <c r="G173" i="7"/>
  <c r="G172" i="7"/>
  <c r="H172" i="7" s="1"/>
  <c r="G171" i="7"/>
  <c r="H171" i="7" s="1"/>
  <c r="H170" i="7"/>
  <c r="G170" i="7"/>
  <c r="G169" i="7"/>
  <c r="H169" i="7" s="1"/>
  <c r="H168" i="7"/>
  <c r="G168" i="7"/>
  <c r="G167" i="7"/>
  <c r="H167" i="7" s="1"/>
  <c r="H166" i="7"/>
  <c r="G166" i="7"/>
  <c r="H165" i="7"/>
  <c r="G165" i="7"/>
  <c r="G164" i="7"/>
  <c r="H164" i="7" s="1"/>
  <c r="G163" i="7"/>
  <c r="H163" i="7" s="1"/>
  <c r="H162" i="7"/>
  <c r="G162" i="7"/>
  <c r="G161" i="7"/>
  <c r="H161" i="7" s="1"/>
  <c r="H160" i="7"/>
  <c r="G160" i="7"/>
  <c r="G159" i="7"/>
  <c r="H159" i="7" s="1"/>
  <c r="H158" i="7"/>
  <c r="G158" i="7"/>
  <c r="H157" i="7"/>
  <c r="G157" i="7"/>
  <c r="G156" i="7"/>
  <c r="H156" i="7" s="1"/>
  <c r="G155" i="7"/>
  <c r="H155" i="7" s="1"/>
  <c r="H154" i="7"/>
  <c r="G154" i="7"/>
  <c r="G153" i="7"/>
  <c r="H153" i="7" s="1"/>
  <c r="H152" i="7"/>
  <c r="G152" i="7"/>
  <c r="G151" i="7"/>
  <c r="H151" i="7" s="1"/>
  <c r="H150" i="7"/>
  <c r="G150" i="7"/>
  <c r="H149" i="7"/>
  <c r="G149" i="7"/>
  <c r="G148" i="7"/>
  <c r="H148" i="7" s="1"/>
  <c r="G147" i="7"/>
  <c r="H147" i="7" s="1"/>
  <c r="H146" i="7"/>
  <c r="G146" i="7"/>
  <c r="G145" i="7"/>
  <c r="H145" i="7" s="1"/>
  <c r="H144" i="7"/>
  <c r="G144" i="7"/>
  <c r="G143" i="7"/>
  <c r="H143" i="7" s="1"/>
  <c r="H142" i="7"/>
  <c r="G142" i="7"/>
  <c r="H141" i="7"/>
  <c r="G141" i="7"/>
  <c r="G140" i="7"/>
  <c r="H140" i="7" s="1"/>
  <c r="H139" i="7"/>
  <c r="G139" i="7"/>
  <c r="H138" i="7"/>
  <c r="G138" i="7"/>
  <c r="G137" i="7"/>
  <c r="H137" i="7" s="1"/>
  <c r="H136" i="7"/>
  <c r="G136" i="7"/>
  <c r="G135" i="7"/>
  <c r="H135" i="7" s="1"/>
  <c r="H134" i="7"/>
  <c r="G134" i="7"/>
  <c r="G133" i="7"/>
  <c r="H133" i="7" s="1"/>
  <c r="G132" i="7"/>
  <c r="H132" i="7" s="1"/>
  <c r="H131" i="7"/>
  <c r="G131" i="7"/>
  <c r="H130" i="7"/>
  <c r="G130" i="7"/>
  <c r="G129" i="7"/>
  <c r="H129" i="7" s="1"/>
  <c r="H128" i="7"/>
  <c r="G128" i="7"/>
  <c r="G127" i="7"/>
  <c r="H127" i="7" s="1"/>
  <c r="H126" i="7"/>
  <c r="G126" i="7"/>
  <c r="G125" i="7"/>
  <c r="H125" i="7" s="1"/>
  <c r="G124" i="7"/>
  <c r="H124" i="7" s="1"/>
  <c r="H123" i="7"/>
  <c r="G123" i="7"/>
  <c r="H122" i="7"/>
  <c r="G122" i="7"/>
  <c r="G121" i="7"/>
  <c r="H121" i="7" s="1"/>
  <c r="H120" i="7"/>
  <c r="G120" i="7"/>
  <c r="G119" i="7"/>
  <c r="H119" i="7" s="1"/>
  <c r="H118" i="7"/>
  <c r="G118" i="7"/>
  <c r="G117" i="7"/>
  <c r="H117" i="7" s="1"/>
  <c r="G116" i="7"/>
  <c r="H116" i="7" s="1"/>
  <c r="H115" i="7"/>
  <c r="G115" i="7"/>
  <c r="H114" i="7"/>
  <c r="G114" i="7"/>
  <c r="G113" i="7"/>
  <c r="H113" i="7" s="1"/>
  <c r="H112" i="7"/>
  <c r="G112" i="7"/>
  <c r="G111" i="7"/>
  <c r="H111" i="7" s="1"/>
  <c r="H110" i="7"/>
  <c r="G110" i="7"/>
  <c r="G109" i="7"/>
  <c r="H109" i="7" s="1"/>
  <c r="G108" i="7"/>
  <c r="H108" i="7" s="1"/>
  <c r="H107" i="7"/>
  <c r="G107" i="7"/>
  <c r="H106" i="7"/>
  <c r="G106" i="7"/>
  <c r="G105" i="7"/>
  <c r="H105" i="7" s="1"/>
  <c r="G104" i="7"/>
  <c r="H104" i="7" s="1"/>
  <c r="G103" i="7"/>
  <c r="H103" i="7" s="1"/>
  <c r="H102" i="7"/>
  <c r="G102" i="7"/>
  <c r="G101" i="7"/>
  <c r="H101" i="7" s="1"/>
  <c r="G100" i="7"/>
  <c r="H100" i="7" s="1"/>
  <c r="H99" i="7"/>
  <c r="G99" i="7"/>
  <c r="G98" i="7"/>
  <c r="H98" i="7" s="1"/>
  <c r="G97" i="7"/>
  <c r="H97" i="7" s="1"/>
  <c r="G96" i="7"/>
  <c r="H96" i="7" s="1"/>
  <c r="G95" i="7"/>
  <c r="H95" i="7" s="1"/>
  <c r="H94" i="7"/>
  <c r="G94" i="7"/>
  <c r="G93" i="7"/>
  <c r="H93" i="7" s="1"/>
  <c r="G92" i="7"/>
  <c r="H92" i="7" s="1"/>
  <c r="H91" i="7"/>
  <c r="G91" i="7"/>
  <c r="G90" i="7"/>
  <c r="H90" i="7" s="1"/>
  <c r="H89" i="7"/>
  <c r="G89" i="7"/>
  <c r="G88" i="7"/>
  <c r="H88" i="7" s="1"/>
  <c r="G87" i="7"/>
  <c r="H87" i="7" s="1"/>
  <c r="H86" i="7"/>
  <c r="G86" i="7"/>
  <c r="G85" i="7"/>
  <c r="H85" i="7" s="1"/>
  <c r="G84" i="7"/>
  <c r="H84" i="7" s="1"/>
  <c r="H83" i="7"/>
  <c r="G83" i="7"/>
  <c r="G82" i="7"/>
  <c r="H82" i="7" s="1"/>
  <c r="G81" i="7"/>
  <c r="H81" i="7" s="1"/>
  <c r="G80" i="7"/>
  <c r="H80" i="7" s="1"/>
  <c r="G79" i="7"/>
  <c r="H79" i="7" s="1"/>
  <c r="H78" i="7"/>
  <c r="G78" i="7"/>
  <c r="G77" i="7"/>
  <c r="H77" i="7" s="1"/>
  <c r="G76" i="7"/>
  <c r="H76" i="7" s="1"/>
  <c r="H75" i="7"/>
  <c r="G75" i="7"/>
  <c r="H74" i="7"/>
  <c r="G74" i="7"/>
  <c r="G73" i="7"/>
  <c r="H73" i="7" s="1"/>
  <c r="H72" i="7"/>
  <c r="G72" i="7"/>
  <c r="G71" i="7"/>
  <c r="H71" i="7" s="1"/>
  <c r="H70" i="7"/>
  <c r="G70" i="7"/>
  <c r="G69" i="7"/>
  <c r="H69" i="7" s="1"/>
  <c r="G68" i="7"/>
  <c r="H68" i="7" s="1"/>
  <c r="H67" i="7"/>
  <c r="G67" i="7"/>
  <c r="G66" i="7"/>
  <c r="H66" i="7" s="1"/>
  <c r="G65" i="7"/>
  <c r="H65" i="7" s="1"/>
  <c r="G64" i="7"/>
  <c r="H64" i="7" s="1"/>
  <c r="G63" i="7"/>
  <c r="H63" i="7" s="1"/>
  <c r="H62" i="7"/>
  <c r="G62" i="7"/>
  <c r="G61" i="7"/>
  <c r="H61" i="7" s="1"/>
  <c r="G60" i="7"/>
  <c r="H60" i="7" s="1"/>
  <c r="H59" i="7"/>
  <c r="G59" i="7"/>
  <c r="G58" i="7"/>
  <c r="H58" i="7" s="1"/>
  <c r="H57" i="7"/>
  <c r="G57" i="7"/>
  <c r="G56" i="7"/>
  <c r="H56" i="7" s="1"/>
  <c r="G55" i="7"/>
  <c r="H55" i="7" s="1"/>
  <c r="H54" i="7"/>
  <c r="G54" i="7"/>
  <c r="G53" i="7"/>
  <c r="H53" i="7" s="1"/>
  <c r="G52" i="7"/>
  <c r="H52" i="7" s="1"/>
  <c r="H51" i="7"/>
  <c r="G51" i="7"/>
  <c r="G50" i="7"/>
  <c r="H50" i="7" s="1"/>
  <c r="G49" i="7"/>
  <c r="H49" i="7" s="1"/>
  <c r="G48" i="7"/>
  <c r="H48" i="7" s="1"/>
  <c r="G47" i="7"/>
  <c r="H47" i="7" s="1"/>
  <c r="H46" i="7"/>
  <c r="G46" i="7"/>
  <c r="G45" i="7"/>
  <c r="H45" i="7" s="1"/>
  <c r="G44" i="7"/>
  <c r="H44" i="7" s="1"/>
  <c r="H43" i="7"/>
  <c r="G43" i="7"/>
  <c r="H42" i="7"/>
  <c r="G42" i="7"/>
  <c r="G41" i="7"/>
  <c r="H41" i="7" s="1"/>
  <c r="H40" i="7"/>
  <c r="G40" i="7"/>
  <c r="G39" i="7"/>
  <c r="H39" i="7" s="1"/>
  <c r="H38" i="7"/>
  <c r="G38" i="7"/>
  <c r="G37" i="7"/>
  <c r="H37" i="7" s="1"/>
  <c r="G36" i="7"/>
  <c r="H36" i="7" s="1"/>
  <c r="H35" i="7"/>
  <c r="G35" i="7"/>
  <c r="H34" i="7"/>
  <c r="G34" i="7"/>
  <c r="G33" i="7"/>
  <c r="H33" i="7" s="1"/>
  <c r="G32" i="7"/>
  <c r="H32" i="7" s="1"/>
  <c r="H31" i="7"/>
  <c r="G31" i="7"/>
  <c r="G30" i="7"/>
  <c r="H30" i="7" s="1"/>
  <c r="H29" i="7"/>
  <c r="G29" i="7"/>
  <c r="G28" i="7"/>
  <c r="H28" i="7" s="1"/>
  <c r="H27" i="7"/>
  <c r="G27" i="7"/>
  <c r="H26" i="7"/>
  <c r="G26" i="7"/>
  <c r="G25" i="7"/>
  <c r="H25" i="7" s="1"/>
  <c r="G24" i="7"/>
  <c r="H24" i="7" s="1"/>
  <c r="H23" i="7"/>
  <c r="G23" i="7"/>
  <c r="G22" i="7"/>
  <c r="H22" i="7" s="1"/>
  <c r="H21" i="7"/>
  <c r="G21" i="7"/>
  <c r="G20" i="7"/>
  <c r="H20" i="7" s="1"/>
  <c r="H19" i="7"/>
  <c r="G19" i="7"/>
  <c r="H18" i="7"/>
  <c r="G18" i="7"/>
  <c r="G17" i="7"/>
  <c r="H17" i="7" s="1"/>
  <c r="G16" i="7"/>
  <c r="H16" i="7" s="1"/>
  <c r="H15" i="7"/>
  <c r="G15" i="7"/>
  <c r="G14" i="7"/>
  <c r="H14" i="7" s="1"/>
  <c r="N13" i="7"/>
  <c r="I13" i="7"/>
  <c r="G13" i="7"/>
  <c r="H13" i="7" s="1"/>
  <c r="E13" i="7"/>
  <c r="E14" i="7" s="1"/>
  <c r="G12" i="7"/>
  <c r="H12" i="7" s="1"/>
  <c r="E12" i="7"/>
  <c r="H9" i="7"/>
  <c r="I13" i="12" l="1"/>
  <c r="E14" i="12"/>
  <c r="I13" i="11"/>
  <c r="E14" i="11"/>
  <c r="I13" i="9"/>
  <c r="E14" i="9"/>
  <c r="E14" i="8"/>
  <c r="J273" i="7"/>
  <c r="J305" i="7"/>
  <c r="J17" i="7"/>
  <c r="J49" i="7"/>
  <c r="J81" i="7"/>
  <c r="J113" i="7"/>
  <c r="J145" i="7"/>
  <c r="J177" i="7"/>
  <c r="J209" i="7"/>
  <c r="J241" i="7"/>
  <c r="J19" i="7"/>
  <c r="J51" i="7"/>
  <c r="J83" i="7"/>
  <c r="J115" i="7"/>
  <c r="J147" i="7"/>
  <c r="J179" i="7"/>
  <c r="J211" i="7"/>
  <c r="J243" i="7"/>
  <c r="J275" i="7"/>
  <c r="J307" i="7"/>
  <c r="J25" i="7"/>
  <c r="J57" i="7"/>
  <c r="J89" i="7"/>
  <c r="J121" i="7"/>
  <c r="J153" i="7"/>
  <c r="J185" i="7"/>
  <c r="J217" i="7"/>
  <c r="J249" i="7"/>
  <c r="J281" i="7"/>
  <c r="J313" i="7"/>
  <c r="J27" i="7"/>
  <c r="J59" i="7"/>
  <c r="J91" i="7"/>
  <c r="J123" i="7"/>
  <c r="J155" i="7"/>
  <c r="J187" i="7"/>
  <c r="J219" i="7"/>
  <c r="J251" i="7"/>
  <c r="J283" i="7"/>
  <c r="J315" i="7"/>
  <c r="J33" i="7"/>
  <c r="J65" i="7"/>
  <c r="J97" i="7"/>
  <c r="J129" i="7"/>
  <c r="J161" i="7"/>
  <c r="J193" i="7"/>
  <c r="J225" i="7"/>
  <c r="J257" i="7"/>
  <c r="J289" i="7"/>
  <c r="J321" i="7"/>
  <c r="J35" i="7"/>
  <c r="J67" i="7"/>
  <c r="J99" i="7"/>
  <c r="J131" i="7"/>
  <c r="J163" i="7"/>
  <c r="J195" i="7"/>
  <c r="J227" i="7"/>
  <c r="J259" i="7"/>
  <c r="J291" i="7"/>
  <c r="J323" i="7"/>
  <c r="J41" i="7"/>
  <c r="J73" i="7"/>
  <c r="J105" i="7"/>
  <c r="J137" i="7"/>
  <c r="J169" i="7"/>
  <c r="J201" i="7"/>
  <c r="J233" i="7"/>
  <c r="J265" i="7"/>
  <c r="J297" i="7"/>
  <c r="J329" i="7"/>
  <c r="J43" i="7"/>
  <c r="J75" i="7"/>
  <c r="J107" i="7"/>
  <c r="J139" i="7"/>
  <c r="J171" i="7"/>
  <c r="J203" i="7"/>
  <c r="J235" i="7"/>
  <c r="J267" i="7"/>
  <c r="J299" i="7"/>
  <c r="J331" i="7"/>
  <c r="J18" i="7"/>
  <c r="J26" i="7"/>
  <c r="J34" i="7"/>
  <c r="J42" i="7"/>
  <c r="J50" i="7"/>
  <c r="J58" i="7"/>
  <c r="J66" i="7"/>
  <c r="J74" i="7"/>
  <c r="J82" i="7"/>
  <c r="J90" i="7"/>
  <c r="J98" i="7"/>
  <c r="J106" i="7"/>
  <c r="J114" i="7"/>
  <c r="J122" i="7"/>
  <c r="J130" i="7"/>
  <c r="J138" i="7"/>
  <c r="J146" i="7"/>
  <c r="J154" i="7"/>
  <c r="J162" i="7"/>
  <c r="J170" i="7"/>
  <c r="J178" i="7"/>
  <c r="J186" i="7"/>
  <c r="J194" i="7"/>
  <c r="J202" i="7"/>
  <c r="J210" i="7"/>
  <c r="J218" i="7"/>
  <c r="J226" i="7"/>
  <c r="J234" i="7"/>
  <c r="J242" i="7"/>
  <c r="J250" i="7"/>
  <c r="J258" i="7"/>
  <c r="J266" i="7"/>
  <c r="J274" i="7"/>
  <c r="J282" i="7"/>
  <c r="J21" i="7"/>
  <c r="J29" i="7"/>
  <c r="J37" i="7"/>
  <c r="J45" i="7"/>
  <c r="J53" i="7"/>
  <c r="J61" i="7"/>
  <c r="J69" i="7"/>
  <c r="J77" i="7"/>
  <c r="J85" i="7"/>
  <c r="J93" i="7"/>
  <c r="J101" i="7"/>
  <c r="J109" i="7"/>
  <c r="J117" i="7"/>
  <c r="J125" i="7"/>
  <c r="J133" i="7"/>
  <c r="J141" i="7"/>
  <c r="J149" i="7"/>
  <c r="J157" i="7"/>
  <c r="J165" i="7"/>
  <c r="J173" i="7"/>
  <c r="J181" i="7"/>
  <c r="J189" i="7"/>
  <c r="J197" i="7"/>
  <c r="J205" i="7"/>
  <c r="J213" i="7"/>
  <c r="J221" i="7"/>
  <c r="J229" i="7"/>
  <c r="J237" i="7"/>
  <c r="J245" i="7"/>
  <c r="J253" i="7"/>
  <c r="J261" i="7"/>
  <c r="J269" i="7"/>
  <c r="J277" i="7"/>
  <c r="J285" i="7"/>
  <c r="J293" i="7"/>
  <c r="J301" i="7"/>
  <c r="J309" i="7"/>
  <c r="J317" i="7"/>
  <c r="J325" i="7"/>
  <c r="J333" i="7"/>
  <c r="J14" i="7"/>
  <c r="J22" i="7"/>
  <c r="J30" i="7"/>
  <c r="J38" i="7"/>
  <c r="J46" i="7"/>
  <c r="J54" i="7"/>
  <c r="J62" i="7"/>
  <c r="J70" i="7"/>
  <c r="J78" i="7"/>
  <c r="J86" i="7"/>
  <c r="J94" i="7"/>
  <c r="J102" i="7"/>
  <c r="J110" i="7"/>
  <c r="J118" i="7"/>
  <c r="J126" i="7"/>
  <c r="J134" i="7"/>
  <c r="J142" i="7"/>
  <c r="J150" i="7"/>
  <c r="J158" i="7"/>
  <c r="J166" i="7"/>
  <c r="J174" i="7"/>
  <c r="J182" i="7"/>
  <c r="J190" i="7"/>
  <c r="J198" i="7"/>
  <c r="J206" i="7"/>
  <c r="J214" i="7"/>
  <c r="J222" i="7"/>
  <c r="J230" i="7"/>
  <c r="J238" i="7"/>
  <c r="J246" i="7"/>
  <c r="J254" i="7"/>
  <c r="J262" i="7"/>
  <c r="J270" i="7"/>
  <c r="J278" i="7"/>
  <c r="J286" i="7"/>
  <c r="J294" i="7"/>
  <c r="J302" i="7"/>
  <c r="J310" i="7"/>
  <c r="J318" i="7"/>
  <c r="J326" i="7"/>
  <c r="J334" i="7"/>
  <c r="J15" i="7"/>
  <c r="J23" i="7"/>
  <c r="J31" i="7"/>
  <c r="J39" i="7"/>
  <c r="J47" i="7"/>
  <c r="J55" i="7"/>
  <c r="J63" i="7"/>
  <c r="J71" i="7"/>
  <c r="J79" i="7"/>
  <c r="J87" i="7"/>
  <c r="J95" i="7"/>
  <c r="J103" i="7"/>
  <c r="J111" i="7"/>
  <c r="J119" i="7"/>
  <c r="J127" i="7"/>
  <c r="J135" i="7"/>
  <c r="J143" i="7"/>
  <c r="J151" i="7"/>
  <c r="J159" i="7"/>
  <c r="J167" i="7"/>
  <c r="J175" i="7"/>
  <c r="J183" i="7"/>
  <c r="J191" i="7"/>
  <c r="J199" i="7"/>
  <c r="J207" i="7"/>
  <c r="J215" i="7"/>
  <c r="J223" i="7"/>
  <c r="J231" i="7"/>
  <c r="J239" i="7"/>
  <c r="J247" i="7"/>
  <c r="J255" i="7"/>
  <c r="J263" i="7"/>
  <c r="J271" i="7"/>
  <c r="J279" i="7"/>
  <c r="J287" i="7"/>
  <c r="J295" i="7"/>
  <c r="J303" i="7"/>
  <c r="J311" i="7"/>
  <c r="J319" i="7"/>
  <c r="J327" i="7"/>
  <c r="J335" i="7"/>
  <c r="J16" i="7"/>
  <c r="J24" i="7"/>
  <c r="J32" i="7"/>
  <c r="J40" i="7"/>
  <c r="J48" i="7"/>
  <c r="J56" i="7"/>
  <c r="J64" i="7"/>
  <c r="J72" i="7"/>
  <c r="J80" i="7"/>
  <c r="J88" i="7"/>
  <c r="J96" i="7"/>
  <c r="J104" i="7"/>
  <c r="J112" i="7"/>
  <c r="J120" i="7"/>
  <c r="J128" i="7"/>
  <c r="J136" i="7"/>
  <c r="J144" i="7"/>
  <c r="J152" i="7"/>
  <c r="J160" i="7"/>
  <c r="J168" i="7"/>
  <c r="J176" i="7"/>
  <c r="J184" i="7"/>
  <c r="J192" i="7"/>
  <c r="J200" i="7"/>
  <c r="J208" i="7"/>
  <c r="J216" i="7"/>
  <c r="J224" i="7"/>
  <c r="J232" i="7"/>
  <c r="J240" i="7"/>
  <c r="J248" i="7"/>
  <c r="J256" i="7"/>
  <c r="J264" i="7"/>
  <c r="J272" i="7"/>
  <c r="J280" i="7"/>
  <c r="J288" i="7"/>
  <c r="J296" i="7"/>
  <c r="J304" i="7"/>
  <c r="J312" i="7"/>
  <c r="J320" i="7"/>
  <c r="J328" i="7"/>
  <c r="J336" i="7"/>
  <c r="K13" i="7"/>
  <c r="P13" i="7" s="1"/>
  <c r="K290" i="7"/>
  <c r="K298" i="7"/>
  <c r="K306" i="7"/>
  <c r="K314" i="7"/>
  <c r="K322" i="7"/>
  <c r="K330" i="7"/>
  <c r="K20" i="7"/>
  <c r="K28" i="7"/>
  <c r="K36" i="7"/>
  <c r="K44" i="7"/>
  <c r="K52" i="7"/>
  <c r="K60" i="7"/>
  <c r="K68" i="7"/>
  <c r="K76" i="7"/>
  <c r="K84" i="7"/>
  <c r="K92" i="7"/>
  <c r="K100" i="7"/>
  <c r="K108" i="7"/>
  <c r="K116" i="7"/>
  <c r="K124" i="7"/>
  <c r="K132" i="7"/>
  <c r="K140" i="7"/>
  <c r="K148" i="7"/>
  <c r="K156" i="7"/>
  <c r="K164" i="7"/>
  <c r="K172" i="7"/>
  <c r="K180" i="7"/>
  <c r="K188" i="7"/>
  <c r="K196" i="7"/>
  <c r="K204" i="7"/>
  <c r="K212" i="7"/>
  <c r="K220" i="7"/>
  <c r="K228" i="7"/>
  <c r="K236" i="7"/>
  <c r="K244" i="7"/>
  <c r="K252" i="7"/>
  <c r="K260" i="7"/>
  <c r="K268" i="7"/>
  <c r="K276" i="7"/>
  <c r="K284" i="7"/>
  <c r="K292" i="7"/>
  <c r="K300" i="7"/>
  <c r="K308" i="7"/>
  <c r="K316" i="7"/>
  <c r="K324" i="7"/>
  <c r="K332" i="7"/>
  <c r="I14" i="7"/>
  <c r="E15" i="7"/>
  <c r="H336" i="6"/>
  <c r="G336" i="6"/>
  <c r="G335" i="6"/>
  <c r="H335" i="6" s="1"/>
  <c r="G334" i="6"/>
  <c r="H334" i="6" s="1"/>
  <c r="G333" i="6"/>
  <c r="H333" i="6" s="1"/>
  <c r="G332" i="6"/>
  <c r="H332" i="6" s="1"/>
  <c r="G331" i="6"/>
  <c r="H331" i="6" s="1"/>
  <c r="G330" i="6"/>
  <c r="H330" i="6" s="1"/>
  <c r="G329" i="6"/>
  <c r="H329" i="6" s="1"/>
  <c r="H328" i="6"/>
  <c r="G328" i="6"/>
  <c r="G327" i="6"/>
  <c r="H327" i="6" s="1"/>
  <c r="G326" i="6"/>
  <c r="H326" i="6" s="1"/>
  <c r="H325" i="6"/>
  <c r="G325" i="6"/>
  <c r="G324" i="6"/>
  <c r="H324" i="6" s="1"/>
  <c r="H323" i="6"/>
  <c r="G323" i="6"/>
  <c r="G322" i="6"/>
  <c r="H322" i="6" s="1"/>
  <c r="G321" i="6"/>
  <c r="H321" i="6" s="1"/>
  <c r="H320" i="6"/>
  <c r="G320" i="6"/>
  <c r="G319" i="6"/>
  <c r="H319" i="6" s="1"/>
  <c r="G318" i="6"/>
  <c r="H318" i="6" s="1"/>
  <c r="G317" i="6"/>
  <c r="H317" i="6" s="1"/>
  <c r="H316" i="6"/>
  <c r="G316" i="6"/>
  <c r="G315" i="6"/>
  <c r="H315" i="6" s="1"/>
  <c r="G314" i="6"/>
  <c r="H314" i="6" s="1"/>
  <c r="G313" i="6"/>
  <c r="H313" i="6" s="1"/>
  <c r="G312" i="6"/>
  <c r="H312" i="6" s="1"/>
  <c r="G311" i="6"/>
  <c r="H311" i="6" s="1"/>
  <c r="H310" i="6"/>
  <c r="G310" i="6"/>
  <c r="G309" i="6"/>
  <c r="H309" i="6" s="1"/>
  <c r="G308" i="6"/>
  <c r="H308" i="6" s="1"/>
  <c r="H307" i="6"/>
  <c r="G307" i="6"/>
  <c r="G306" i="6"/>
  <c r="H306" i="6" s="1"/>
  <c r="G305" i="6"/>
  <c r="H305" i="6" s="1"/>
  <c r="H304" i="6"/>
  <c r="G304" i="6"/>
  <c r="G303" i="6"/>
  <c r="H303" i="6" s="1"/>
  <c r="H302" i="6"/>
  <c r="G302" i="6"/>
  <c r="G301" i="6"/>
  <c r="H301" i="6" s="1"/>
  <c r="G300" i="6"/>
  <c r="H300" i="6" s="1"/>
  <c r="G299" i="6"/>
  <c r="H299" i="6" s="1"/>
  <c r="G298" i="6"/>
  <c r="H298" i="6" s="1"/>
  <c r="G297" i="6"/>
  <c r="H297" i="6" s="1"/>
  <c r="H296" i="6"/>
  <c r="G296" i="6"/>
  <c r="G295" i="6"/>
  <c r="H295" i="6" s="1"/>
  <c r="G294" i="6"/>
  <c r="H294" i="6" s="1"/>
  <c r="G293" i="6"/>
  <c r="H293" i="6" s="1"/>
  <c r="G292" i="6"/>
  <c r="H292" i="6" s="1"/>
  <c r="H291" i="6"/>
  <c r="G291" i="6"/>
  <c r="G290" i="6"/>
  <c r="H290" i="6" s="1"/>
  <c r="G289" i="6"/>
  <c r="H289" i="6" s="1"/>
  <c r="G288" i="6"/>
  <c r="H288" i="6" s="1"/>
  <c r="G287" i="6"/>
  <c r="H287" i="6" s="1"/>
  <c r="G286" i="6"/>
  <c r="H286" i="6" s="1"/>
  <c r="H285" i="6"/>
  <c r="G285" i="6"/>
  <c r="G284" i="6"/>
  <c r="H284" i="6" s="1"/>
  <c r="G283" i="6"/>
  <c r="H283" i="6" s="1"/>
  <c r="G282" i="6"/>
  <c r="H282" i="6" s="1"/>
  <c r="G281" i="6"/>
  <c r="H281" i="6" s="1"/>
  <c r="H280" i="6"/>
  <c r="G280" i="6"/>
  <c r="G279" i="6"/>
  <c r="H279" i="6" s="1"/>
  <c r="H278" i="6"/>
  <c r="G278" i="6"/>
  <c r="G277" i="6"/>
  <c r="H277" i="6" s="1"/>
  <c r="G276" i="6"/>
  <c r="H276" i="6" s="1"/>
  <c r="H275" i="6"/>
  <c r="G275" i="6"/>
  <c r="G274" i="6"/>
  <c r="H274" i="6" s="1"/>
  <c r="G273" i="6"/>
  <c r="H273" i="6" s="1"/>
  <c r="H272" i="6"/>
  <c r="G272" i="6"/>
  <c r="G271" i="6"/>
  <c r="H271" i="6" s="1"/>
  <c r="G270" i="6"/>
  <c r="H270" i="6" s="1"/>
  <c r="G269" i="6"/>
  <c r="H269" i="6" s="1"/>
  <c r="G268" i="6"/>
  <c r="H268" i="6" s="1"/>
  <c r="G267" i="6"/>
  <c r="H267" i="6" s="1"/>
  <c r="G266" i="6"/>
  <c r="H266" i="6" s="1"/>
  <c r="G265" i="6"/>
  <c r="H265" i="6" s="1"/>
  <c r="G264" i="6"/>
  <c r="H264" i="6" s="1"/>
  <c r="G263" i="6"/>
  <c r="H263" i="6" s="1"/>
  <c r="G262" i="6"/>
  <c r="H262" i="6" s="1"/>
  <c r="H261" i="6"/>
  <c r="G261" i="6"/>
  <c r="G260" i="6"/>
  <c r="H260" i="6" s="1"/>
  <c r="G259" i="6"/>
  <c r="H259" i="6" s="1"/>
  <c r="G258" i="6"/>
  <c r="H258" i="6" s="1"/>
  <c r="G257" i="6"/>
  <c r="H257" i="6" s="1"/>
  <c r="H256" i="6"/>
  <c r="G256" i="6"/>
  <c r="G255" i="6"/>
  <c r="H255" i="6" s="1"/>
  <c r="G254" i="6"/>
  <c r="H254" i="6" s="1"/>
  <c r="G253" i="6"/>
  <c r="H253" i="6" s="1"/>
  <c r="G252" i="6"/>
  <c r="H252" i="6" s="1"/>
  <c r="G251" i="6"/>
  <c r="H251" i="6" s="1"/>
  <c r="G250" i="6"/>
  <c r="H250" i="6" s="1"/>
  <c r="G249" i="6"/>
  <c r="H249" i="6" s="1"/>
  <c r="G248" i="6"/>
  <c r="H248" i="6" s="1"/>
  <c r="G247" i="6"/>
  <c r="H247" i="6" s="1"/>
  <c r="G246" i="6"/>
  <c r="H246" i="6" s="1"/>
  <c r="H245" i="6"/>
  <c r="G245" i="6"/>
  <c r="G244" i="6"/>
  <c r="H244" i="6" s="1"/>
  <c r="G243" i="6"/>
  <c r="H243" i="6" s="1"/>
  <c r="G242" i="6"/>
  <c r="H242" i="6" s="1"/>
  <c r="G241" i="6"/>
  <c r="H241" i="6" s="1"/>
  <c r="G240" i="6"/>
  <c r="H240" i="6" s="1"/>
  <c r="G239" i="6"/>
  <c r="H239" i="6" s="1"/>
  <c r="G238" i="6"/>
  <c r="H238" i="6" s="1"/>
  <c r="G237" i="6"/>
  <c r="H237" i="6" s="1"/>
  <c r="G236" i="6"/>
  <c r="H236" i="6" s="1"/>
  <c r="G235" i="6"/>
  <c r="H235" i="6" s="1"/>
  <c r="G234" i="6"/>
  <c r="H234" i="6" s="1"/>
  <c r="G233" i="6"/>
  <c r="H233" i="6" s="1"/>
  <c r="G232" i="6"/>
  <c r="H232" i="6" s="1"/>
  <c r="G231" i="6"/>
  <c r="H231" i="6" s="1"/>
  <c r="G230" i="6"/>
  <c r="H230" i="6" s="1"/>
  <c r="G229" i="6"/>
  <c r="H229" i="6" s="1"/>
  <c r="G228" i="6"/>
  <c r="H228" i="6" s="1"/>
  <c r="H227" i="6"/>
  <c r="G227" i="6"/>
  <c r="G226" i="6"/>
  <c r="H226" i="6" s="1"/>
  <c r="G225" i="6"/>
  <c r="H225" i="6" s="1"/>
  <c r="G224" i="6"/>
  <c r="H224" i="6" s="1"/>
  <c r="G223" i="6"/>
  <c r="H223" i="6" s="1"/>
  <c r="G222" i="6"/>
  <c r="H222" i="6" s="1"/>
  <c r="H221" i="6"/>
  <c r="G221" i="6"/>
  <c r="G220" i="6"/>
  <c r="H220" i="6" s="1"/>
  <c r="G219" i="6"/>
  <c r="H219" i="6" s="1"/>
  <c r="G218" i="6"/>
  <c r="H218" i="6" s="1"/>
  <c r="G217" i="6"/>
  <c r="H217" i="6" s="1"/>
  <c r="G216" i="6"/>
  <c r="H216" i="6" s="1"/>
  <c r="G215" i="6"/>
  <c r="H215" i="6" s="1"/>
  <c r="G214" i="6"/>
  <c r="H214" i="6" s="1"/>
  <c r="G213" i="6"/>
  <c r="H213" i="6" s="1"/>
  <c r="G212" i="6"/>
  <c r="H212" i="6" s="1"/>
  <c r="G211" i="6"/>
  <c r="H211" i="6" s="1"/>
  <c r="G210" i="6"/>
  <c r="H210" i="6" s="1"/>
  <c r="H209" i="6"/>
  <c r="G209" i="6"/>
  <c r="H208" i="6"/>
  <c r="G208" i="6"/>
  <c r="G207" i="6"/>
  <c r="H207" i="6" s="1"/>
  <c r="G206" i="6"/>
  <c r="H206" i="6" s="1"/>
  <c r="G205" i="6"/>
  <c r="H205" i="6" s="1"/>
  <c r="G204" i="6"/>
  <c r="H204" i="6" s="1"/>
  <c r="G203" i="6"/>
  <c r="H203" i="6" s="1"/>
  <c r="G202" i="6"/>
  <c r="H202" i="6" s="1"/>
  <c r="G201" i="6"/>
  <c r="H201" i="6" s="1"/>
  <c r="G200" i="6"/>
  <c r="H200" i="6" s="1"/>
  <c r="G199" i="6"/>
  <c r="H199" i="6" s="1"/>
  <c r="G198" i="6"/>
  <c r="H198" i="6" s="1"/>
  <c r="H197" i="6"/>
  <c r="G197" i="6"/>
  <c r="G196" i="6"/>
  <c r="H196" i="6" s="1"/>
  <c r="G195" i="6"/>
  <c r="H195" i="6" s="1"/>
  <c r="G194" i="6"/>
  <c r="H194" i="6" s="1"/>
  <c r="G193" i="6"/>
  <c r="H193" i="6" s="1"/>
  <c r="G192" i="6"/>
  <c r="H192" i="6" s="1"/>
  <c r="G191" i="6"/>
  <c r="H191" i="6" s="1"/>
  <c r="G190" i="6"/>
  <c r="H190" i="6" s="1"/>
  <c r="H189" i="6"/>
  <c r="G189" i="6"/>
  <c r="G188" i="6"/>
  <c r="H188" i="6" s="1"/>
  <c r="G187" i="6"/>
  <c r="H187" i="6" s="1"/>
  <c r="G186" i="6"/>
  <c r="H186" i="6" s="1"/>
  <c r="G185" i="6"/>
  <c r="H185" i="6" s="1"/>
  <c r="H184" i="6"/>
  <c r="G184" i="6"/>
  <c r="G183" i="6"/>
  <c r="H183" i="6" s="1"/>
  <c r="G182" i="6"/>
  <c r="H182" i="6" s="1"/>
  <c r="G181" i="6"/>
  <c r="H181" i="6" s="1"/>
  <c r="G180" i="6"/>
  <c r="H180" i="6" s="1"/>
  <c r="G179" i="6"/>
  <c r="H179" i="6" s="1"/>
  <c r="G178" i="6"/>
  <c r="H178" i="6" s="1"/>
  <c r="H177" i="6"/>
  <c r="G177" i="6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70" i="6"/>
  <c r="H170" i="6" s="1"/>
  <c r="G169" i="6"/>
  <c r="H169" i="6" s="1"/>
  <c r="G168" i="6"/>
  <c r="H168" i="6" s="1"/>
  <c r="G167" i="6"/>
  <c r="H167" i="6" s="1"/>
  <c r="G166" i="6"/>
  <c r="H166" i="6" s="1"/>
  <c r="G165" i="6"/>
  <c r="H165" i="6" s="1"/>
  <c r="G164" i="6"/>
  <c r="H164" i="6" s="1"/>
  <c r="G163" i="6"/>
  <c r="H163" i="6" s="1"/>
  <c r="G162" i="6"/>
  <c r="H162" i="6" s="1"/>
  <c r="G161" i="6"/>
  <c r="H161" i="6" s="1"/>
  <c r="G160" i="6"/>
  <c r="H160" i="6" s="1"/>
  <c r="G159" i="6"/>
  <c r="H159" i="6" s="1"/>
  <c r="G158" i="6"/>
  <c r="H158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51" i="6"/>
  <c r="H151" i="6" s="1"/>
  <c r="H150" i="6"/>
  <c r="G150" i="6"/>
  <c r="G149" i="6"/>
  <c r="H149" i="6" s="1"/>
  <c r="G148" i="6"/>
  <c r="H148" i="6" s="1"/>
  <c r="G147" i="6"/>
  <c r="H147" i="6" s="1"/>
  <c r="G146" i="6"/>
  <c r="H146" i="6" s="1"/>
  <c r="G145" i="6"/>
  <c r="H145" i="6" s="1"/>
  <c r="H144" i="6"/>
  <c r="G144" i="6"/>
  <c r="G143" i="6"/>
  <c r="H143" i="6" s="1"/>
  <c r="G142" i="6"/>
  <c r="H142" i="6" s="1"/>
  <c r="G141" i="6"/>
  <c r="H141" i="6" s="1"/>
  <c r="H140" i="6"/>
  <c r="G140" i="6"/>
  <c r="G139" i="6"/>
  <c r="H139" i="6" s="1"/>
  <c r="G138" i="6"/>
  <c r="H138" i="6" s="1"/>
  <c r="G137" i="6"/>
  <c r="H137" i="6" s="1"/>
  <c r="G136" i="6"/>
  <c r="H136" i="6" s="1"/>
  <c r="G135" i="6"/>
  <c r="H135" i="6" s="1"/>
  <c r="H134" i="6"/>
  <c r="G134" i="6"/>
  <c r="G133" i="6"/>
  <c r="H133" i="6" s="1"/>
  <c r="G132" i="6"/>
  <c r="H132" i="6" s="1"/>
  <c r="G131" i="6"/>
  <c r="H131" i="6" s="1"/>
  <c r="G130" i="6"/>
  <c r="H130" i="6" s="1"/>
  <c r="G129" i="6"/>
  <c r="H129" i="6" s="1"/>
  <c r="H128" i="6"/>
  <c r="G128" i="6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H120" i="6"/>
  <c r="G120" i="6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H96" i="6"/>
  <c r="G96" i="6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H88" i="6"/>
  <c r="G88" i="6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H53" i="6"/>
  <c r="G53" i="6"/>
  <c r="G52" i="6"/>
  <c r="H52" i="6" s="1"/>
  <c r="G51" i="6"/>
  <c r="H51" i="6" s="1"/>
  <c r="G50" i="6"/>
  <c r="H50" i="6" s="1"/>
  <c r="H49" i="6"/>
  <c r="G49" i="6"/>
  <c r="G48" i="6"/>
  <c r="H48" i="6" s="1"/>
  <c r="G47" i="6"/>
  <c r="H47" i="6" s="1"/>
  <c r="G46" i="6"/>
  <c r="H46" i="6" s="1"/>
  <c r="G45" i="6"/>
  <c r="H45" i="6" s="1"/>
  <c r="G44" i="6"/>
  <c r="H44" i="6" s="1"/>
  <c r="H43" i="6"/>
  <c r="G43" i="6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H35" i="6"/>
  <c r="G35" i="6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H21" i="6"/>
  <c r="G21" i="6"/>
  <c r="G20" i="6"/>
  <c r="H20" i="6" s="1"/>
  <c r="G19" i="6"/>
  <c r="H19" i="6" s="1"/>
  <c r="G18" i="6"/>
  <c r="H18" i="6" s="1"/>
  <c r="H17" i="6"/>
  <c r="G17" i="6"/>
  <c r="G16" i="6"/>
  <c r="H16" i="6" s="1"/>
  <c r="G15" i="6"/>
  <c r="H15" i="6" s="1"/>
  <c r="G14" i="6"/>
  <c r="H14" i="6" s="1"/>
  <c r="G13" i="6"/>
  <c r="H13" i="6" s="1"/>
  <c r="H12" i="6"/>
  <c r="G12" i="6"/>
  <c r="E12" i="6"/>
  <c r="I12" i="6" s="1"/>
  <c r="G11" i="6"/>
  <c r="H11" i="6" s="1"/>
  <c r="E11" i="6"/>
  <c r="H9" i="6"/>
  <c r="G336" i="5"/>
  <c r="H336" i="5" s="1"/>
  <c r="G335" i="5"/>
  <c r="H335" i="5" s="1"/>
  <c r="G334" i="5"/>
  <c r="H334" i="5" s="1"/>
  <c r="G333" i="5"/>
  <c r="H333" i="5" s="1"/>
  <c r="G332" i="5"/>
  <c r="H332" i="5" s="1"/>
  <c r="H331" i="5"/>
  <c r="G331" i="5"/>
  <c r="G330" i="5"/>
  <c r="H330" i="5" s="1"/>
  <c r="G329" i="5"/>
  <c r="H329" i="5" s="1"/>
  <c r="G328" i="5"/>
  <c r="H328" i="5" s="1"/>
  <c r="G327" i="5"/>
  <c r="H327" i="5" s="1"/>
  <c r="G326" i="5"/>
  <c r="H326" i="5" s="1"/>
  <c r="G325" i="5"/>
  <c r="H325" i="5" s="1"/>
  <c r="G324" i="5"/>
  <c r="H324" i="5" s="1"/>
  <c r="G323" i="5"/>
  <c r="H323" i="5" s="1"/>
  <c r="G322" i="5"/>
  <c r="H322" i="5" s="1"/>
  <c r="G321" i="5"/>
  <c r="H321" i="5" s="1"/>
  <c r="G320" i="5"/>
  <c r="H320" i="5" s="1"/>
  <c r="G319" i="5"/>
  <c r="H319" i="5" s="1"/>
  <c r="H318" i="5"/>
  <c r="G318" i="5"/>
  <c r="G317" i="5"/>
  <c r="H317" i="5" s="1"/>
  <c r="G316" i="5"/>
  <c r="H316" i="5" s="1"/>
  <c r="H315" i="5"/>
  <c r="G315" i="5"/>
  <c r="G314" i="5"/>
  <c r="H314" i="5" s="1"/>
  <c r="G313" i="5"/>
  <c r="H313" i="5" s="1"/>
  <c r="G312" i="5"/>
  <c r="H312" i="5" s="1"/>
  <c r="G311" i="5"/>
  <c r="H311" i="5" s="1"/>
  <c r="H310" i="5"/>
  <c r="G310" i="5"/>
  <c r="H309" i="5"/>
  <c r="G309" i="5"/>
  <c r="G308" i="5"/>
  <c r="H308" i="5" s="1"/>
  <c r="H307" i="5"/>
  <c r="G307" i="5"/>
  <c r="G306" i="5"/>
  <c r="H306" i="5" s="1"/>
  <c r="G305" i="5"/>
  <c r="H305" i="5" s="1"/>
  <c r="G304" i="5"/>
  <c r="H304" i="5" s="1"/>
  <c r="G303" i="5"/>
  <c r="H303" i="5" s="1"/>
  <c r="G302" i="5"/>
  <c r="H302" i="5" s="1"/>
  <c r="G301" i="5"/>
  <c r="H301" i="5" s="1"/>
  <c r="G300" i="5"/>
  <c r="H300" i="5" s="1"/>
  <c r="G299" i="5"/>
  <c r="H299" i="5" s="1"/>
  <c r="G298" i="5"/>
  <c r="H298" i="5" s="1"/>
  <c r="G297" i="5"/>
  <c r="H297" i="5" s="1"/>
  <c r="G296" i="5"/>
  <c r="H296" i="5" s="1"/>
  <c r="G295" i="5"/>
  <c r="H295" i="5" s="1"/>
  <c r="H294" i="5"/>
  <c r="G294" i="5"/>
  <c r="G293" i="5"/>
  <c r="H293" i="5" s="1"/>
  <c r="G292" i="5"/>
  <c r="H292" i="5" s="1"/>
  <c r="G291" i="5"/>
  <c r="H291" i="5" s="1"/>
  <c r="G290" i="5"/>
  <c r="H290" i="5" s="1"/>
  <c r="G289" i="5"/>
  <c r="H289" i="5" s="1"/>
  <c r="G288" i="5"/>
  <c r="H288" i="5" s="1"/>
  <c r="G287" i="5"/>
  <c r="H287" i="5" s="1"/>
  <c r="G286" i="5"/>
  <c r="H286" i="5" s="1"/>
  <c r="G285" i="5"/>
  <c r="H285" i="5" s="1"/>
  <c r="G284" i="5"/>
  <c r="H284" i="5" s="1"/>
  <c r="G283" i="5"/>
  <c r="H283" i="5" s="1"/>
  <c r="G282" i="5"/>
  <c r="H282" i="5" s="1"/>
  <c r="G281" i="5"/>
  <c r="H281" i="5" s="1"/>
  <c r="G280" i="5"/>
  <c r="H280" i="5" s="1"/>
  <c r="G279" i="5"/>
  <c r="H279" i="5" s="1"/>
  <c r="G278" i="5"/>
  <c r="H278" i="5" s="1"/>
  <c r="G277" i="5"/>
  <c r="H277" i="5" s="1"/>
  <c r="G276" i="5"/>
  <c r="H276" i="5" s="1"/>
  <c r="H275" i="5"/>
  <c r="G275" i="5"/>
  <c r="G274" i="5"/>
  <c r="H274" i="5" s="1"/>
  <c r="G273" i="5"/>
  <c r="H273" i="5" s="1"/>
  <c r="G272" i="5"/>
  <c r="H272" i="5" s="1"/>
  <c r="G271" i="5"/>
  <c r="H271" i="5" s="1"/>
  <c r="G270" i="5"/>
  <c r="H270" i="5" s="1"/>
  <c r="G269" i="5"/>
  <c r="H269" i="5" s="1"/>
  <c r="G268" i="5"/>
  <c r="H268" i="5" s="1"/>
  <c r="H267" i="5"/>
  <c r="G267" i="5"/>
  <c r="G266" i="5"/>
  <c r="H266" i="5" s="1"/>
  <c r="G265" i="5"/>
  <c r="H265" i="5" s="1"/>
  <c r="G264" i="5"/>
  <c r="H264" i="5" s="1"/>
  <c r="G263" i="5"/>
  <c r="H263" i="5" s="1"/>
  <c r="H262" i="5"/>
  <c r="G262" i="5"/>
  <c r="G261" i="5"/>
  <c r="H261" i="5" s="1"/>
  <c r="G260" i="5"/>
  <c r="H260" i="5" s="1"/>
  <c r="G259" i="5"/>
  <c r="H259" i="5" s="1"/>
  <c r="G258" i="5"/>
  <c r="H258" i="5" s="1"/>
  <c r="G257" i="5"/>
  <c r="H257" i="5" s="1"/>
  <c r="G256" i="5"/>
  <c r="H256" i="5" s="1"/>
  <c r="G255" i="5"/>
  <c r="H255" i="5" s="1"/>
  <c r="H254" i="5"/>
  <c r="G254" i="5"/>
  <c r="G253" i="5"/>
  <c r="H253" i="5" s="1"/>
  <c r="G252" i="5"/>
  <c r="H252" i="5" s="1"/>
  <c r="H251" i="5"/>
  <c r="G251" i="5"/>
  <c r="G250" i="5"/>
  <c r="H250" i="5" s="1"/>
  <c r="G249" i="5"/>
  <c r="H249" i="5" s="1"/>
  <c r="G248" i="5"/>
  <c r="H248" i="5" s="1"/>
  <c r="G247" i="5"/>
  <c r="H247" i="5" s="1"/>
  <c r="G246" i="5"/>
  <c r="H246" i="5" s="1"/>
  <c r="H245" i="5"/>
  <c r="G245" i="5"/>
  <c r="G244" i="5"/>
  <c r="H244" i="5" s="1"/>
  <c r="H243" i="5"/>
  <c r="G243" i="5"/>
  <c r="G242" i="5"/>
  <c r="H242" i="5" s="1"/>
  <c r="G241" i="5"/>
  <c r="H241" i="5" s="1"/>
  <c r="G240" i="5"/>
  <c r="H240" i="5" s="1"/>
  <c r="G239" i="5"/>
  <c r="H239" i="5" s="1"/>
  <c r="G238" i="5"/>
  <c r="H238" i="5" s="1"/>
  <c r="G237" i="5"/>
  <c r="H237" i="5" s="1"/>
  <c r="G236" i="5"/>
  <c r="H236" i="5" s="1"/>
  <c r="G235" i="5"/>
  <c r="H235" i="5" s="1"/>
  <c r="G234" i="5"/>
  <c r="H234" i="5" s="1"/>
  <c r="G233" i="5"/>
  <c r="H233" i="5" s="1"/>
  <c r="G232" i="5"/>
  <c r="H232" i="5" s="1"/>
  <c r="G231" i="5"/>
  <c r="H231" i="5" s="1"/>
  <c r="H230" i="5"/>
  <c r="G230" i="5"/>
  <c r="G229" i="5"/>
  <c r="H229" i="5" s="1"/>
  <c r="G228" i="5"/>
  <c r="H228" i="5" s="1"/>
  <c r="G227" i="5"/>
  <c r="H227" i="5" s="1"/>
  <c r="G226" i="5"/>
  <c r="H226" i="5" s="1"/>
  <c r="G225" i="5"/>
  <c r="H225" i="5" s="1"/>
  <c r="G224" i="5"/>
  <c r="H224" i="5" s="1"/>
  <c r="G223" i="5"/>
  <c r="H223" i="5" s="1"/>
  <c r="G222" i="5"/>
  <c r="H222" i="5" s="1"/>
  <c r="G221" i="5"/>
  <c r="H221" i="5" s="1"/>
  <c r="G220" i="5"/>
  <c r="H220" i="5" s="1"/>
  <c r="G219" i="5"/>
  <c r="H219" i="5" s="1"/>
  <c r="G218" i="5"/>
  <c r="H218" i="5" s="1"/>
  <c r="H217" i="5"/>
  <c r="G217" i="5"/>
  <c r="G216" i="5"/>
  <c r="H216" i="5" s="1"/>
  <c r="G215" i="5"/>
  <c r="H215" i="5" s="1"/>
  <c r="G214" i="5"/>
  <c r="H214" i="5" s="1"/>
  <c r="G213" i="5"/>
  <c r="H213" i="5" s="1"/>
  <c r="G212" i="5"/>
  <c r="H212" i="5" s="1"/>
  <c r="G211" i="5"/>
  <c r="H211" i="5" s="1"/>
  <c r="G210" i="5"/>
  <c r="H210" i="5" s="1"/>
  <c r="H209" i="5"/>
  <c r="G209" i="5"/>
  <c r="G208" i="5"/>
  <c r="H208" i="5" s="1"/>
  <c r="G207" i="5"/>
  <c r="H207" i="5" s="1"/>
  <c r="G206" i="5"/>
  <c r="H206" i="5" s="1"/>
  <c r="G205" i="5"/>
  <c r="H205" i="5" s="1"/>
  <c r="H204" i="5"/>
  <c r="G204" i="5"/>
  <c r="G203" i="5"/>
  <c r="H203" i="5" s="1"/>
  <c r="G202" i="5"/>
  <c r="H202" i="5" s="1"/>
  <c r="G201" i="5"/>
  <c r="H201" i="5" s="1"/>
  <c r="G200" i="5"/>
  <c r="H200" i="5" s="1"/>
  <c r="G199" i="5"/>
  <c r="H199" i="5" s="1"/>
  <c r="G198" i="5"/>
  <c r="H198" i="5" s="1"/>
  <c r="G197" i="5"/>
  <c r="H197" i="5" s="1"/>
  <c r="G196" i="5"/>
  <c r="H196" i="5" s="1"/>
  <c r="G195" i="5"/>
  <c r="H195" i="5" s="1"/>
  <c r="G194" i="5"/>
  <c r="H194" i="5" s="1"/>
  <c r="H193" i="5"/>
  <c r="G193" i="5"/>
  <c r="G192" i="5"/>
  <c r="H192" i="5" s="1"/>
  <c r="G191" i="5"/>
  <c r="H191" i="5" s="1"/>
  <c r="G190" i="5"/>
  <c r="H190" i="5" s="1"/>
  <c r="G189" i="5"/>
  <c r="H189" i="5" s="1"/>
  <c r="G188" i="5"/>
  <c r="H188" i="5" s="1"/>
  <c r="G187" i="5"/>
  <c r="H187" i="5" s="1"/>
  <c r="G186" i="5"/>
  <c r="H186" i="5" s="1"/>
  <c r="G185" i="5"/>
  <c r="H185" i="5" s="1"/>
  <c r="G184" i="5"/>
  <c r="H184" i="5" s="1"/>
  <c r="G183" i="5"/>
  <c r="H183" i="5" s="1"/>
  <c r="G182" i="5"/>
  <c r="H182" i="5" s="1"/>
  <c r="G181" i="5"/>
  <c r="H181" i="5" s="1"/>
  <c r="H180" i="5"/>
  <c r="G180" i="5"/>
  <c r="G179" i="5"/>
  <c r="H179" i="5" s="1"/>
  <c r="G178" i="5"/>
  <c r="H178" i="5" s="1"/>
  <c r="G177" i="5"/>
  <c r="H177" i="5" s="1"/>
  <c r="G176" i="5"/>
  <c r="H176" i="5" s="1"/>
  <c r="H175" i="5"/>
  <c r="G175" i="5"/>
  <c r="G174" i="5"/>
  <c r="H174" i="5" s="1"/>
  <c r="G173" i="5"/>
  <c r="H173" i="5" s="1"/>
  <c r="G172" i="5"/>
  <c r="H172" i="5" s="1"/>
  <c r="G171" i="5"/>
  <c r="H171" i="5" s="1"/>
  <c r="G170" i="5"/>
  <c r="H170" i="5" s="1"/>
  <c r="H169" i="5"/>
  <c r="G169" i="5"/>
  <c r="G168" i="5"/>
  <c r="H168" i="5" s="1"/>
  <c r="G167" i="5"/>
  <c r="H167" i="5" s="1"/>
  <c r="H166" i="5"/>
  <c r="G166" i="5"/>
  <c r="G165" i="5"/>
  <c r="H165" i="5" s="1"/>
  <c r="H164" i="5"/>
  <c r="G164" i="5"/>
  <c r="G163" i="5"/>
  <c r="H163" i="5" s="1"/>
  <c r="G162" i="5"/>
  <c r="H162" i="5" s="1"/>
  <c r="G161" i="5"/>
  <c r="H161" i="5" s="1"/>
  <c r="G160" i="5"/>
  <c r="H160" i="5" s="1"/>
  <c r="G159" i="5"/>
  <c r="H159" i="5" s="1"/>
  <c r="G158" i="5"/>
  <c r="H158" i="5" s="1"/>
  <c r="G157" i="5"/>
  <c r="H157" i="5" s="1"/>
  <c r="G156" i="5"/>
  <c r="H156" i="5" s="1"/>
  <c r="G155" i="5"/>
  <c r="H155" i="5" s="1"/>
  <c r="G154" i="5"/>
  <c r="H154" i="5" s="1"/>
  <c r="G153" i="5"/>
  <c r="H153" i="5" s="1"/>
  <c r="G152" i="5"/>
  <c r="H152" i="5" s="1"/>
  <c r="G151" i="5"/>
  <c r="H151" i="5" s="1"/>
  <c r="G150" i="5"/>
  <c r="H150" i="5" s="1"/>
  <c r="G149" i="5"/>
  <c r="H149" i="5" s="1"/>
  <c r="G148" i="5"/>
  <c r="H148" i="5" s="1"/>
  <c r="G147" i="5"/>
  <c r="H147" i="5" s="1"/>
  <c r="G146" i="5"/>
  <c r="H146" i="5" s="1"/>
  <c r="G145" i="5"/>
  <c r="H145" i="5" s="1"/>
  <c r="G144" i="5"/>
  <c r="H144" i="5" s="1"/>
  <c r="G143" i="5"/>
  <c r="H143" i="5" s="1"/>
  <c r="H142" i="5"/>
  <c r="G142" i="5"/>
  <c r="G141" i="5"/>
  <c r="H141" i="5" s="1"/>
  <c r="G140" i="5"/>
  <c r="H140" i="5" s="1"/>
  <c r="G139" i="5"/>
  <c r="H139" i="5" s="1"/>
  <c r="G138" i="5"/>
  <c r="H138" i="5" s="1"/>
  <c r="G137" i="5"/>
  <c r="H137" i="5" s="1"/>
  <c r="G136" i="5"/>
  <c r="H136" i="5" s="1"/>
  <c r="G135" i="5"/>
  <c r="H135" i="5" s="1"/>
  <c r="G134" i="5"/>
  <c r="H134" i="5" s="1"/>
  <c r="G133" i="5"/>
  <c r="H133" i="5" s="1"/>
  <c r="G132" i="5"/>
  <c r="H132" i="5" s="1"/>
  <c r="G131" i="5"/>
  <c r="H131" i="5" s="1"/>
  <c r="G130" i="5"/>
  <c r="H130" i="5" s="1"/>
  <c r="G129" i="5"/>
  <c r="H129" i="5" s="1"/>
  <c r="G128" i="5"/>
  <c r="H128" i="5" s="1"/>
  <c r="G127" i="5"/>
  <c r="H127" i="5" s="1"/>
  <c r="G126" i="5"/>
  <c r="H126" i="5" s="1"/>
  <c r="G125" i="5"/>
  <c r="H125" i="5" s="1"/>
  <c r="G124" i="5"/>
  <c r="H124" i="5" s="1"/>
  <c r="G123" i="5"/>
  <c r="H123" i="5" s="1"/>
  <c r="G122" i="5"/>
  <c r="H122" i="5" s="1"/>
  <c r="G121" i="5"/>
  <c r="H121" i="5" s="1"/>
  <c r="G120" i="5"/>
  <c r="H120" i="5" s="1"/>
  <c r="H119" i="5"/>
  <c r="G119" i="5"/>
  <c r="G118" i="5"/>
  <c r="H118" i="5" s="1"/>
  <c r="G117" i="5"/>
  <c r="H117" i="5" s="1"/>
  <c r="G116" i="5"/>
  <c r="H116" i="5" s="1"/>
  <c r="G115" i="5"/>
  <c r="H115" i="5" s="1"/>
  <c r="G114" i="5"/>
  <c r="H114" i="5" s="1"/>
  <c r="G113" i="5"/>
  <c r="H113" i="5" s="1"/>
  <c r="G112" i="5"/>
  <c r="H112" i="5" s="1"/>
  <c r="G111" i="5"/>
  <c r="H111" i="5" s="1"/>
  <c r="G110" i="5"/>
  <c r="H110" i="5" s="1"/>
  <c r="G109" i="5"/>
  <c r="H109" i="5" s="1"/>
  <c r="G108" i="5"/>
  <c r="H108" i="5" s="1"/>
  <c r="G107" i="5"/>
  <c r="H107" i="5" s="1"/>
  <c r="G106" i="5"/>
  <c r="H106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8" i="5"/>
  <c r="H98" i="5" s="1"/>
  <c r="G97" i="5"/>
  <c r="H97" i="5" s="1"/>
  <c r="H96" i="5"/>
  <c r="G96" i="5"/>
  <c r="G95" i="5"/>
  <c r="H95" i="5" s="1"/>
  <c r="H94" i="5"/>
  <c r="G94" i="5"/>
  <c r="G93" i="5"/>
  <c r="H93" i="5" s="1"/>
  <c r="G92" i="5"/>
  <c r="H92" i="5" s="1"/>
  <c r="G91" i="5"/>
  <c r="H91" i="5" s="1"/>
  <c r="G90" i="5"/>
  <c r="H90" i="5" s="1"/>
  <c r="G89" i="5"/>
  <c r="H89" i="5" s="1"/>
  <c r="H88" i="5"/>
  <c r="G88" i="5"/>
  <c r="G87" i="5"/>
  <c r="H87" i="5" s="1"/>
  <c r="G86" i="5"/>
  <c r="H86" i="5" s="1"/>
  <c r="H85" i="5"/>
  <c r="G85" i="5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H72" i="5"/>
  <c r="G72" i="5"/>
  <c r="G71" i="5"/>
  <c r="H71" i="5" s="1"/>
  <c r="H70" i="5"/>
  <c r="G70" i="5"/>
  <c r="G69" i="5"/>
  <c r="H69" i="5" s="1"/>
  <c r="G68" i="5"/>
  <c r="H68" i="5" s="1"/>
  <c r="G67" i="5"/>
  <c r="H67" i="5" s="1"/>
  <c r="H66" i="5"/>
  <c r="G66" i="5"/>
  <c r="G65" i="5"/>
  <c r="H65" i="5" s="1"/>
  <c r="H64" i="5"/>
  <c r="G64" i="5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H54" i="5"/>
  <c r="G54" i="5"/>
  <c r="G53" i="5"/>
  <c r="H53" i="5" s="1"/>
  <c r="H52" i="5"/>
  <c r="G52" i="5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H40" i="5"/>
  <c r="G40" i="5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H30" i="5"/>
  <c r="G30" i="5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E11" i="5"/>
  <c r="E12" i="5" s="1"/>
  <c r="H9" i="5"/>
  <c r="E15" i="12" l="1"/>
  <c r="I14" i="12"/>
  <c r="N13" i="12"/>
  <c r="L13" i="12"/>
  <c r="J13" i="12" s="1"/>
  <c r="E15" i="11"/>
  <c r="I14" i="11"/>
  <c r="N13" i="11"/>
  <c r="L13" i="11"/>
  <c r="J13" i="11" s="1"/>
  <c r="I14" i="9"/>
  <c r="E15" i="9"/>
  <c r="L13" i="9"/>
  <c r="K13" i="9" s="1"/>
  <c r="N13" i="9"/>
  <c r="E15" i="8"/>
  <c r="L13" i="8"/>
  <c r="K13" i="8" s="1"/>
  <c r="N13" i="8"/>
  <c r="K10" i="7"/>
  <c r="K11" i="7"/>
  <c r="K12" i="7"/>
  <c r="E16" i="7"/>
  <c r="I15" i="7"/>
  <c r="E13" i="6"/>
  <c r="I13" i="6" s="1"/>
  <c r="K13" i="6"/>
  <c r="J13" i="6"/>
  <c r="E14" i="6"/>
  <c r="K12" i="6"/>
  <c r="J12" i="6"/>
  <c r="N12" i="6"/>
  <c r="E13" i="5"/>
  <c r="I12" i="5"/>
  <c r="G336" i="4"/>
  <c r="G335" i="4"/>
  <c r="G334" i="4"/>
  <c r="H334" i="4" s="1"/>
  <c r="G333" i="4"/>
  <c r="H333" i="4" s="1"/>
  <c r="G332" i="4"/>
  <c r="G331" i="4"/>
  <c r="G330" i="4"/>
  <c r="H330" i="4" s="1"/>
  <c r="G329" i="4"/>
  <c r="H329" i="4" s="1"/>
  <c r="G328" i="4"/>
  <c r="G327" i="4"/>
  <c r="G326" i="4"/>
  <c r="H326" i="4" s="1"/>
  <c r="G325" i="4"/>
  <c r="H325" i="4" s="1"/>
  <c r="G324" i="4"/>
  <c r="G323" i="4"/>
  <c r="G322" i="4"/>
  <c r="H322" i="4" s="1"/>
  <c r="G321" i="4"/>
  <c r="H321" i="4" s="1"/>
  <c r="G320" i="4"/>
  <c r="G319" i="4"/>
  <c r="G318" i="4"/>
  <c r="H318" i="4" s="1"/>
  <c r="G317" i="4"/>
  <c r="H317" i="4" s="1"/>
  <c r="G316" i="4"/>
  <c r="G315" i="4"/>
  <c r="G314" i="4"/>
  <c r="H314" i="4" s="1"/>
  <c r="G313" i="4"/>
  <c r="H313" i="4" s="1"/>
  <c r="G312" i="4"/>
  <c r="G311" i="4"/>
  <c r="G310" i="4"/>
  <c r="H310" i="4" s="1"/>
  <c r="G309" i="4"/>
  <c r="H309" i="4" s="1"/>
  <c r="G308" i="4"/>
  <c r="G307" i="4"/>
  <c r="G306" i="4"/>
  <c r="H306" i="4" s="1"/>
  <c r="G305" i="4"/>
  <c r="H305" i="4" s="1"/>
  <c r="G304" i="4"/>
  <c r="G303" i="4"/>
  <c r="G302" i="4"/>
  <c r="H302" i="4" s="1"/>
  <c r="G301" i="4"/>
  <c r="H301" i="4" s="1"/>
  <c r="G300" i="4"/>
  <c r="G299" i="4"/>
  <c r="G298" i="4"/>
  <c r="H298" i="4" s="1"/>
  <c r="G297" i="4"/>
  <c r="H297" i="4" s="1"/>
  <c r="G296" i="4"/>
  <c r="G295" i="4"/>
  <c r="G294" i="4"/>
  <c r="H294" i="4" s="1"/>
  <c r="G293" i="4"/>
  <c r="H293" i="4" s="1"/>
  <c r="G292" i="4"/>
  <c r="G291" i="4"/>
  <c r="G290" i="4"/>
  <c r="H290" i="4" s="1"/>
  <c r="G289" i="4"/>
  <c r="H289" i="4" s="1"/>
  <c r="G288" i="4"/>
  <c r="G287" i="4"/>
  <c r="G286" i="4"/>
  <c r="H286" i="4" s="1"/>
  <c r="G285" i="4"/>
  <c r="H285" i="4" s="1"/>
  <c r="G284" i="4"/>
  <c r="G283" i="4"/>
  <c r="G282" i="4"/>
  <c r="H282" i="4" s="1"/>
  <c r="G281" i="4"/>
  <c r="H281" i="4" s="1"/>
  <c r="G280" i="4"/>
  <c r="G279" i="4"/>
  <c r="G278" i="4"/>
  <c r="H278" i="4" s="1"/>
  <c r="G277" i="4"/>
  <c r="H277" i="4" s="1"/>
  <c r="G276" i="4"/>
  <c r="G275" i="4"/>
  <c r="G274" i="4"/>
  <c r="H274" i="4" s="1"/>
  <c r="G273" i="4"/>
  <c r="H273" i="4" s="1"/>
  <c r="G272" i="4"/>
  <c r="G271" i="4"/>
  <c r="G270" i="4"/>
  <c r="H270" i="4" s="1"/>
  <c r="G269" i="4"/>
  <c r="H269" i="4" s="1"/>
  <c r="G268" i="4"/>
  <c r="G267" i="4"/>
  <c r="G266" i="4"/>
  <c r="H266" i="4" s="1"/>
  <c r="G265" i="4"/>
  <c r="H265" i="4" s="1"/>
  <c r="G264" i="4"/>
  <c r="G263" i="4"/>
  <c r="G262" i="4"/>
  <c r="H262" i="4" s="1"/>
  <c r="G261" i="4"/>
  <c r="H261" i="4" s="1"/>
  <c r="G260" i="4"/>
  <c r="G259" i="4"/>
  <c r="G258" i="4"/>
  <c r="H258" i="4" s="1"/>
  <c r="G257" i="4"/>
  <c r="H257" i="4" s="1"/>
  <c r="G256" i="4"/>
  <c r="G255" i="4"/>
  <c r="G254" i="4"/>
  <c r="H254" i="4" s="1"/>
  <c r="G253" i="4"/>
  <c r="H253" i="4" s="1"/>
  <c r="G252" i="4"/>
  <c r="G251" i="4"/>
  <c r="G250" i="4"/>
  <c r="H250" i="4" s="1"/>
  <c r="G249" i="4"/>
  <c r="H249" i="4" s="1"/>
  <c r="G248" i="4"/>
  <c r="G247" i="4"/>
  <c r="G246" i="4"/>
  <c r="H246" i="4" s="1"/>
  <c r="G245" i="4"/>
  <c r="H245" i="4" s="1"/>
  <c r="G244" i="4"/>
  <c r="G243" i="4"/>
  <c r="G242" i="4"/>
  <c r="H242" i="4" s="1"/>
  <c r="G241" i="4"/>
  <c r="H241" i="4" s="1"/>
  <c r="G240" i="4"/>
  <c r="G239" i="4"/>
  <c r="G238" i="4"/>
  <c r="H238" i="4" s="1"/>
  <c r="G237" i="4"/>
  <c r="H237" i="4" s="1"/>
  <c r="G236" i="4"/>
  <c r="G235" i="4"/>
  <c r="G234" i="4"/>
  <c r="H234" i="4" s="1"/>
  <c r="G233" i="4"/>
  <c r="H233" i="4" s="1"/>
  <c r="G232" i="4"/>
  <c r="G231" i="4"/>
  <c r="G230" i="4"/>
  <c r="H230" i="4" s="1"/>
  <c r="G229" i="4"/>
  <c r="H229" i="4" s="1"/>
  <c r="G228" i="4"/>
  <c r="G227" i="4"/>
  <c r="G226" i="4"/>
  <c r="H226" i="4" s="1"/>
  <c r="G225" i="4"/>
  <c r="H225" i="4" s="1"/>
  <c r="G224" i="4"/>
  <c r="G223" i="4"/>
  <c r="G222" i="4"/>
  <c r="H222" i="4" s="1"/>
  <c r="G221" i="4"/>
  <c r="H221" i="4" s="1"/>
  <c r="G220" i="4"/>
  <c r="G219" i="4"/>
  <c r="G218" i="4"/>
  <c r="H218" i="4" s="1"/>
  <c r="G217" i="4"/>
  <c r="H217" i="4" s="1"/>
  <c r="G216" i="4"/>
  <c r="G215" i="4"/>
  <c r="G214" i="4"/>
  <c r="H214" i="4" s="1"/>
  <c r="G213" i="4"/>
  <c r="H213" i="4" s="1"/>
  <c r="G212" i="4"/>
  <c r="G211" i="4"/>
  <c r="G210" i="4"/>
  <c r="H210" i="4" s="1"/>
  <c r="G209" i="4"/>
  <c r="H209" i="4" s="1"/>
  <c r="G208" i="4"/>
  <c r="G207" i="4"/>
  <c r="G206" i="4"/>
  <c r="H206" i="4" s="1"/>
  <c r="G205" i="4"/>
  <c r="H205" i="4" s="1"/>
  <c r="G204" i="4"/>
  <c r="G203" i="4"/>
  <c r="G202" i="4"/>
  <c r="H202" i="4" s="1"/>
  <c r="G201" i="4"/>
  <c r="H201" i="4" s="1"/>
  <c r="G200" i="4"/>
  <c r="G199" i="4"/>
  <c r="G198" i="4"/>
  <c r="H198" i="4" s="1"/>
  <c r="G197" i="4"/>
  <c r="H197" i="4" s="1"/>
  <c r="G196" i="4"/>
  <c r="G195" i="4"/>
  <c r="G194" i="4"/>
  <c r="H194" i="4" s="1"/>
  <c r="G193" i="4"/>
  <c r="H193" i="4" s="1"/>
  <c r="G192" i="4"/>
  <c r="G191" i="4"/>
  <c r="G190" i="4"/>
  <c r="H190" i="4" s="1"/>
  <c r="G189" i="4"/>
  <c r="H189" i="4" s="1"/>
  <c r="G188" i="4"/>
  <c r="G187" i="4"/>
  <c r="G186" i="4"/>
  <c r="H186" i="4" s="1"/>
  <c r="G185" i="4"/>
  <c r="H185" i="4" s="1"/>
  <c r="G184" i="4"/>
  <c r="G183" i="4"/>
  <c r="G182" i="4"/>
  <c r="H182" i="4" s="1"/>
  <c r="G181" i="4"/>
  <c r="H181" i="4" s="1"/>
  <c r="G180" i="4"/>
  <c r="G179" i="4"/>
  <c r="G178" i="4"/>
  <c r="H178" i="4" s="1"/>
  <c r="G177" i="4"/>
  <c r="H177" i="4" s="1"/>
  <c r="G176" i="4"/>
  <c r="G175" i="4"/>
  <c r="G174" i="4"/>
  <c r="H174" i="4" s="1"/>
  <c r="G173" i="4"/>
  <c r="H173" i="4" s="1"/>
  <c r="G172" i="4"/>
  <c r="G171" i="4"/>
  <c r="G170" i="4"/>
  <c r="H170" i="4" s="1"/>
  <c r="G169" i="4"/>
  <c r="H169" i="4" s="1"/>
  <c r="G168" i="4"/>
  <c r="G167" i="4"/>
  <c r="G166" i="4"/>
  <c r="H166" i="4" s="1"/>
  <c r="G165" i="4"/>
  <c r="H165" i="4" s="1"/>
  <c r="G164" i="4"/>
  <c r="G163" i="4"/>
  <c r="G162" i="4"/>
  <c r="H162" i="4" s="1"/>
  <c r="G161" i="4"/>
  <c r="H161" i="4" s="1"/>
  <c r="G160" i="4"/>
  <c r="G159" i="4"/>
  <c r="G158" i="4"/>
  <c r="H158" i="4" s="1"/>
  <c r="G157" i="4"/>
  <c r="H157" i="4" s="1"/>
  <c r="G156" i="4"/>
  <c r="G155" i="4"/>
  <c r="G154" i="4"/>
  <c r="H154" i="4" s="1"/>
  <c r="G153" i="4"/>
  <c r="H153" i="4" s="1"/>
  <c r="G152" i="4"/>
  <c r="G151" i="4"/>
  <c r="G150" i="4"/>
  <c r="H150" i="4" s="1"/>
  <c r="G149" i="4"/>
  <c r="H149" i="4" s="1"/>
  <c r="G148" i="4"/>
  <c r="G147" i="4"/>
  <c r="G146" i="4"/>
  <c r="H146" i="4" s="1"/>
  <c r="G145" i="4"/>
  <c r="H145" i="4" s="1"/>
  <c r="G144" i="4"/>
  <c r="G143" i="4"/>
  <c r="G142" i="4"/>
  <c r="H142" i="4" s="1"/>
  <c r="G141" i="4"/>
  <c r="H141" i="4" s="1"/>
  <c r="G140" i="4"/>
  <c r="G139" i="4"/>
  <c r="G138" i="4"/>
  <c r="H138" i="4" s="1"/>
  <c r="G137" i="4"/>
  <c r="H137" i="4" s="1"/>
  <c r="G136" i="4"/>
  <c r="G135" i="4"/>
  <c r="G134" i="4"/>
  <c r="H134" i="4" s="1"/>
  <c r="G133" i="4"/>
  <c r="H133" i="4" s="1"/>
  <c r="G132" i="4"/>
  <c r="G131" i="4"/>
  <c r="G130" i="4"/>
  <c r="H130" i="4" s="1"/>
  <c r="G129" i="4"/>
  <c r="H129" i="4" s="1"/>
  <c r="G128" i="4"/>
  <c r="G127" i="4"/>
  <c r="G126" i="4"/>
  <c r="H126" i="4" s="1"/>
  <c r="G125" i="4"/>
  <c r="H125" i="4" s="1"/>
  <c r="G124" i="4"/>
  <c r="G123" i="4"/>
  <c r="G122" i="4"/>
  <c r="H122" i="4" s="1"/>
  <c r="G121" i="4"/>
  <c r="H121" i="4" s="1"/>
  <c r="G120" i="4"/>
  <c r="G119" i="4"/>
  <c r="G118" i="4"/>
  <c r="H118" i="4" s="1"/>
  <c r="G117" i="4"/>
  <c r="H117" i="4" s="1"/>
  <c r="G116" i="4"/>
  <c r="G115" i="4"/>
  <c r="G114" i="4"/>
  <c r="H114" i="4" s="1"/>
  <c r="G113" i="4"/>
  <c r="H113" i="4" s="1"/>
  <c r="G112" i="4"/>
  <c r="G111" i="4"/>
  <c r="G110" i="4"/>
  <c r="H110" i="4" s="1"/>
  <c r="G109" i="4"/>
  <c r="H109" i="4" s="1"/>
  <c r="G108" i="4"/>
  <c r="G107" i="4"/>
  <c r="G106" i="4"/>
  <c r="H106" i="4" s="1"/>
  <c r="G105" i="4"/>
  <c r="H105" i="4" s="1"/>
  <c r="G104" i="4"/>
  <c r="G103" i="4"/>
  <c r="G102" i="4"/>
  <c r="H102" i="4" s="1"/>
  <c r="G101" i="4"/>
  <c r="H101" i="4" s="1"/>
  <c r="G100" i="4"/>
  <c r="G99" i="4"/>
  <c r="G98" i="4"/>
  <c r="H98" i="4" s="1"/>
  <c r="G97" i="4"/>
  <c r="H97" i="4" s="1"/>
  <c r="G96" i="4"/>
  <c r="G95" i="4"/>
  <c r="G94" i="4"/>
  <c r="H94" i="4" s="1"/>
  <c r="G93" i="4"/>
  <c r="H93" i="4" s="1"/>
  <c r="G92" i="4"/>
  <c r="G91" i="4"/>
  <c r="G90" i="4"/>
  <c r="H90" i="4" s="1"/>
  <c r="G89" i="4"/>
  <c r="H89" i="4" s="1"/>
  <c r="G88" i="4"/>
  <c r="G87" i="4"/>
  <c r="G86" i="4"/>
  <c r="H86" i="4" s="1"/>
  <c r="G85" i="4"/>
  <c r="H85" i="4" s="1"/>
  <c r="G84" i="4"/>
  <c r="G83" i="4"/>
  <c r="G82" i="4"/>
  <c r="H82" i="4" s="1"/>
  <c r="G81" i="4"/>
  <c r="H81" i="4" s="1"/>
  <c r="G80" i="4"/>
  <c r="G79" i="4"/>
  <c r="G78" i="4"/>
  <c r="H78" i="4" s="1"/>
  <c r="G77" i="4"/>
  <c r="H77" i="4" s="1"/>
  <c r="G76" i="4"/>
  <c r="G75" i="4"/>
  <c r="G74" i="4"/>
  <c r="H74" i="4" s="1"/>
  <c r="G73" i="4"/>
  <c r="H73" i="4" s="1"/>
  <c r="G72" i="4"/>
  <c r="G71" i="4"/>
  <c r="G70" i="4"/>
  <c r="H70" i="4" s="1"/>
  <c r="G69" i="4"/>
  <c r="H69" i="4" s="1"/>
  <c r="G68" i="4"/>
  <c r="G67" i="4"/>
  <c r="G66" i="4"/>
  <c r="H66" i="4" s="1"/>
  <c r="G65" i="4"/>
  <c r="H65" i="4" s="1"/>
  <c r="G64" i="4"/>
  <c r="G63" i="4"/>
  <c r="G62" i="4"/>
  <c r="H62" i="4" s="1"/>
  <c r="G61" i="4"/>
  <c r="H61" i="4" s="1"/>
  <c r="G60" i="4"/>
  <c r="G59" i="4"/>
  <c r="G58" i="4"/>
  <c r="H58" i="4" s="1"/>
  <c r="G57" i="4"/>
  <c r="H57" i="4" s="1"/>
  <c r="G56" i="4"/>
  <c r="G55" i="4"/>
  <c r="G54" i="4"/>
  <c r="H54" i="4" s="1"/>
  <c r="G53" i="4"/>
  <c r="H53" i="4" s="1"/>
  <c r="G52" i="4"/>
  <c r="G51" i="4"/>
  <c r="G50" i="4"/>
  <c r="H50" i="4" s="1"/>
  <c r="G49" i="4"/>
  <c r="H49" i="4" s="1"/>
  <c r="G48" i="4"/>
  <c r="G47" i="4"/>
  <c r="G46" i="4"/>
  <c r="H46" i="4" s="1"/>
  <c r="G45" i="4"/>
  <c r="H45" i="4" s="1"/>
  <c r="G44" i="4"/>
  <c r="H44" i="4" s="1"/>
  <c r="G43" i="4"/>
  <c r="G42" i="4"/>
  <c r="H42" i="4" s="1"/>
  <c r="G41" i="4"/>
  <c r="H41" i="4" s="1"/>
  <c r="G40" i="4"/>
  <c r="G39" i="4"/>
  <c r="G38" i="4"/>
  <c r="H38" i="4" s="1"/>
  <c r="G37" i="4"/>
  <c r="H37" i="4" s="1"/>
  <c r="G36" i="4"/>
  <c r="G35" i="4"/>
  <c r="G34" i="4"/>
  <c r="H34" i="4" s="1"/>
  <c r="G33" i="4"/>
  <c r="H33" i="4" s="1"/>
  <c r="G32" i="4"/>
  <c r="G31" i="4"/>
  <c r="G30" i="4"/>
  <c r="H30" i="4" s="1"/>
  <c r="G29" i="4"/>
  <c r="H29" i="4" s="1"/>
  <c r="G28" i="4"/>
  <c r="H28" i="4" s="1"/>
  <c r="G27" i="4"/>
  <c r="G26" i="4"/>
  <c r="H26" i="4" s="1"/>
  <c r="G25" i="4"/>
  <c r="H25" i="4" s="1"/>
  <c r="G24" i="4"/>
  <c r="G23" i="4"/>
  <c r="G22" i="4"/>
  <c r="H22" i="4" s="1"/>
  <c r="G21" i="4"/>
  <c r="H21" i="4" s="1"/>
  <c r="G20" i="4"/>
  <c r="G19" i="4"/>
  <c r="G18" i="4"/>
  <c r="H18" i="4" s="1"/>
  <c r="G17" i="4"/>
  <c r="H17" i="4" s="1"/>
  <c r="G16" i="4"/>
  <c r="G15" i="4"/>
  <c r="G14" i="4"/>
  <c r="H14" i="4" s="1"/>
  <c r="G13" i="4"/>
  <c r="H13" i="4" s="1"/>
  <c r="G12" i="4"/>
  <c r="H12" i="4" s="1"/>
  <c r="G11" i="4"/>
  <c r="H336" i="4"/>
  <c r="H335" i="4"/>
  <c r="H332" i="4"/>
  <c r="H331" i="4"/>
  <c r="H328" i="4"/>
  <c r="H327" i="4"/>
  <c r="H324" i="4"/>
  <c r="H323" i="4"/>
  <c r="H320" i="4"/>
  <c r="H319" i="4"/>
  <c r="H316" i="4"/>
  <c r="H315" i="4"/>
  <c r="H312" i="4"/>
  <c r="H311" i="4"/>
  <c r="H308" i="4"/>
  <c r="H307" i="4"/>
  <c r="H304" i="4"/>
  <c r="H303" i="4"/>
  <c r="H300" i="4"/>
  <c r="H299" i="4"/>
  <c r="H296" i="4"/>
  <c r="H295" i="4"/>
  <c r="H292" i="4"/>
  <c r="H291" i="4"/>
  <c r="H288" i="4"/>
  <c r="H287" i="4"/>
  <c r="H284" i="4"/>
  <c r="H283" i="4"/>
  <c r="H280" i="4"/>
  <c r="H279" i="4"/>
  <c r="H276" i="4"/>
  <c r="H275" i="4"/>
  <c r="H272" i="4"/>
  <c r="H271" i="4"/>
  <c r="H268" i="4"/>
  <c r="H267" i="4"/>
  <c r="H264" i="4"/>
  <c r="H263" i="4"/>
  <c r="H260" i="4"/>
  <c r="H259" i="4"/>
  <c r="H256" i="4"/>
  <c r="H255" i="4"/>
  <c r="H252" i="4"/>
  <c r="H251" i="4"/>
  <c r="H248" i="4"/>
  <c r="H247" i="4"/>
  <c r="H244" i="4"/>
  <c r="H243" i="4"/>
  <c r="H240" i="4"/>
  <c r="H239" i="4"/>
  <c r="H236" i="4"/>
  <c r="H235" i="4"/>
  <c r="H232" i="4"/>
  <c r="H231" i="4"/>
  <c r="H228" i="4"/>
  <c r="H227" i="4"/>
  <c r="H224" i="4"/>
  <c r="H223" i="4"/>
  <c r="H220" i="4"/>
  <c r="H219" i="4"/>
  <c r="H216" i="4"/>
  <c r="H215" i="4"/>
  <c r="H212" i="4"/>
  <c r="H211" i="4"/>
  <c r="H208" i="4"/>
  <c r="H207" i="4"/>
  <c r="H204" i="4"/>
  <c r="H203" i="4"/>
  <c r="H200" i="4"/>
  <c r="H199" i="4"/>
  <c r="H196" i="4"/>
  <c r="H195" i="4"/>
  <c r="H192" i="4"/>
  <c r="H191" i="4"/>
  <c r="H188" i="4"/>
  <c r="H187" i="4"/>
  <c r="H184" i="4"/>
  <c r="H183" i="4"/>
  <c r="H180" i="4"/>
  <c r="H179" i="4"/>
  <c r="H176" i="4"/>
  <c r="H175" i="4"/>
  <c r="H172" i="4"/>
  <c r="H171" i="4"/>
  <c r="H168" i="4"/>
  <c r="H167" i="4"/>
  <c r="H164" i="4"/>
  <c r="H163" i="4"/>
  <c r="H160" i="4"/>
  <c r="H159" i="4"/>
  <c r="H156" i="4"/>
  <c r="H155" i="4"/>
  <c r="H152" i="4"/>
  <c r="H151" i="4"/>
  <c r="H148" i="4"/>
  <c r="H147" i="4"/>
  <c r="H144" i="4"/>
  <c r="H143" i="4"/>
  <c r="H140" i="4"/>
  <c r="H139" i="4"/>
  <c r="H136" i="4"/>
  <c r="H135" i="4"/>
  <c r="H132" i="4"/>
  <c r="H131" i="4"/>
  <c r="H128" i="4"/>
  <c r="H127" i="4"/>
  <c r="H124" i="4"/>
  <c r="H123" i="4"/>
  <c r="H120" i="4"/>
  <c r="H119" i="4"/>
  <c r="H116" i="4"/>
  <c r="H115" i="4"/>
  <c r="H112" i="4"/>
  <c r="H111" i="4"/>
  <c r="H108" i="4"/>
  <c r="H107" i="4"/>
  <c r="H104" i="4"/>
  <c r="H103" i="4"/>
  <c r="H100" i="4"/>
  <c r="H99" i="4"/>
  <c r="H96" i="4"/>
  <c r="H95" i="4"/>
  <c r="H92" i="4"/>
  <c r="H91" i="4"/>
  <c r="H88" i="4"/>
  <c r="H87" i="4"/>
  <c r="H84" i="4"/>
  <c r="H83" i="4"/>
  <c r="H80" i="4"/>
  <c r="H79" i="4"/>
  <c r="H76" i="4"/>
  <c r="H75" i="4"/>
  <c r="H72" i="4"/>
  <c r="H71" i="4"/>
  <c r="H68" i="4"/>
  <c r="H67" i="4"/>
  <c r="H64" i="4"/>
  <c r="H63" i="4"/>
  <c r="H60" i="4"/>
  <c r="H59" i="4"/>
  <c r="H56" i="4"/>
  <c r="H55" i="4"/>
  <c r="H52" i="4"/>
  <c r="H51" i="4"/>
  <c r="H48" i="4"/>
  <c r="H47" i="4"/>
  <c r="H43" i="4"/>
  <c r="H40" i="4"/>
  <c r="H39" i="4"/>
  <c r="H36" i="4"/>
  <c r="H35" i="4"/>
  <c r="H32" i="4"/>
  <c r="H31" i="4"/>
  <c r="H27" i="4"/>
  <c r="H24" i="4"/>
  <c r="H23" i="4"/>
  <c r="H20" i="4"/>
  <c r="H19" i="4"/>
  <c r="H16" i="4"/>
  <c r="H15" i="4"/>
  <c r="H11" i="4"/>
  <c r="E11" i="4"/>
  <c r="E12" i="4" s="1"/>
  <c r="I12" i="4" s="1"/>
  <c r="H9" i="4"/>
  <c r="I9" i="1"/>
  <c r="H293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G336" i="1"/>
  <c r="H335" i="1" s="1"/>
  <c r="G335" i="1"/>
  <c r="G334" i="1"/>
  <c r="H333" i="1" s="1"/>
  <c r="G333" i="1"/>
  <c r="G332" i="1"/>
  <c r="H331" i="1" s="1"/>
  <c r="G331" i="1"/>
  <c r="G330" i="1"/>
  <c r="H329" i="1" s="1"/>
  <c r="G329" i="1"/>
  <c r="G328" i="1"/>
  <c r="H327" i="1" s="1"/>
  <c r="G327" i="1"/>
  <c r="H326" i="1" s="1"/>
  <c r="G326" i="1"/>
  <c r="H325" i="1" s="1"/>
  <c r="G325" i="1"/>
  <c r="G324" i="1"/>
  <c r="H323" i="1" s="1"/>
  <c r="G323" i="1"/>
  <c r="G322" i="1"/>
  <c r="G321" i="1"/>
  <c r="G320" i="1"/>
  <c r="H319" i="1" s="1"/>
  <c r="G319" i="1"/>
  <c r="H318" i="1" s="1"/>
  <c r="G318" i="1"/>
  <c r="H317" i="1" s="1"/>
  <c r="G317" i="1"/>
  <c r="G316" i="1"/>
  <c r="H315" i="1" s="1"/>
  <c r="G315" i="1"/>
  <c r="G314" i="1"/>
  <c r="H313" i="1" s="1"/>
  <c r="G313" i="1"/>
  <c r="G312" i="1"/>
  <c r="H311" i="1" s="1"/>
  <c r="G311" i="1"/>
  <c r="H310" i="1" s="1"/>
  <c r="G310" i="1"/>
  <c r="H309" i="1" s="1"/>
  <c r="G309" i="1"/>
  <c r="G308" i="1"/>
  <c r="H307" i="1" s="1"/>
  <c r="G307" i="1"/>
  <c r="G306" i="1"/>
  <c r="G305" i="1"/>
  <c r="G304" i="1"/>
  <c r="H303" i="1" s="1"/>
  <c r="G303" i="1"/>
  <c r="H302" i="1" s="1"/>
  <c r="G302" i="1"/>
  <c r="H301" i="1" s="1"/>
  <c r="G301" i="1"/>
  <c r="G300" i="1"/>
  <c r="H299" i="1" s="1"/>
  <c r="G299" i="1"/>
  <c r="G298" i="1"/>
  <c r="H297" i="1" s="1"/>
  <c r="G297" i="1"/>
  <c r="G296" i="1"/>
  <c r="H295" i="1" s="1"/>
  <c r="G295" i="1"/>
  <c r="H294" i="1" s="1"/>
  <c r="G294" i="1"/>
  <c r="G293" i="1"/>
  <c r="G292" i="1"/>
  <c r="H291" i="1" s="1"/>
  <c r="G291" i="1"/>
  <c r="G290" i="1"/>
  <c r="H289" i="1" s="1"/>
  <c r="G289" i="1"/>
  <c r="H288" i="1" s="1"/>
  <c r="G288" i="1"/>
  <c r="H287" i="1" s="1"/>
  <c r="G287" i="1"/>
  <c r="H286" i="1" s="1"/>
  <c r="G286" i="1"/>
  <c r="H285" i="1" s="1"/>
  <c r="G285" i="1"/>
  <c r="H284" i="1" s="1"/>
  <c r="G284" i="1"/>
  <c r="G283" i="1"/>
  <c r="H282" i="1" s="1"/>
  <c r="G282" i="1"/>
  <c r="H281" i="1" s="1"/>
  <c r="G281" i="1"/>
  <c r="H280" i="1" s="1"/>
  <c r="G280" i="1"/>
  <c r="H279" i="1" s="1"/>
  <c r="G279" i="1"/>
  <c r="H278" i="1" s="1"/>
  <c r="G278" i="1"/>
  <c r="H277" i="1" s="1"/>
  <c r="G277" i="1"/>
  <c r="H276" i="1" s="1"/>
  <c r="G276" i="1"/>
  <c r="G275" i="1"/>
  <c r="H274" i="1" s="1"/>
  <c r="G274" i="1"/>
  <c r="H273" i="1" s="1"/>
  <c r="G273" i="1"/>
  <c r="H272" i="1" s="1"/>
  <c r="G272" i="1"/>
  <c r="H271" i="1" s="1"/>
  <c r="G271" i="1"/>
  <c r="H270" i="1" s="1"/>
  <c r="G270" i="1"/>
  <c r="H269" i="1" s="1"/>
  <c r="G269" i="1"/>
  <c r="H268" i="1" s="1"/>
  <c r="G268" i="1"/>
  <c r="G267" i="1"/>
  <c r="H266" i="1" s="1"/>
  <c r="G266" i="1"/>
  <c r="H265" i="1" s="1"/>
  <c r="G265" i="1"/>
  <c r="H264" i="1" s="1"/>
  <c r="G264" i="1"/>
  <c r="H263" i="1" s="1"/>
  <c r="G263" i="1"/>
  <c r="H262" i="1" s="1"/>
  <c r="G262" i="1"/>
  <c r="H261" i="1" s="1"/>
  <c r="G261" i="1"/>
  <c r="H260" i="1" s="1"/>
  <c r="G260" i="1"/>
  <c r="G259" i="1"/>
  <c r="H258" i="1" s="1"/>
  <c r="G258" i="1"/>
  <c r="H257" i="1" s="1"/>
  <c r="G257" i="1"/>
  <c r="H256" i="1" s="1"/>
  <c r="G256" i="1"/>
  <c r="H255" i="1" s="1"/>
  <c r="G255" i="1"/>
  <c r="H254" i="1" s="1"/>
  <c r="G254" i="1"/>
  <c r="H253" i="1" s="1"/>
  <c r="G253" i="1"/>
  <c r="H252" i="1" s="1"/>
  <c r="G252" i="1"/>
  <c r="G251" i="1"/>
  <c r="H250" i="1" s="1"/>
  <c r="G250" i="1"/>
  <c r="H249" i="1" s="1"/>
  <c r="G249" i="1"/>
  <c r="H248" i="1" s="1"/>
  <c r="G248" i="1"/>
  <c r="H247" i="1" s="1"/>
  <c r="G247" i="1"/>
  <c r="H246" i="1" s="1"/>
  <c r="G246" i="1"/>
  <c r="H245" i="1" s="1"/>
  <c r="G245" i="1"/>
  <c r="H244" i="1" s="1"/>
  <c r="G244" i="1"/>
  <c r="G243" i="1"/>
  <c r="H242" i="1" s="1"/>
  <c r="G242" i="1"/>
  <c r="H241" i="1" s="1"/>
  <c r="G241" i="1"/>
  <c r="H240" i="1" s="1"/>
  <c r="G240" i="1"/>
  <c r="H239" i="1" s="1"/>
  <c r="G239" i="1"/>
  <c r="H238" i="1" s="1"/>
  <c r="G238" i="1"/>
  <c r="H237" i="1" s="1"/>
  <c r="G237" i="1"/>
  <c r="H236" i="1" s="1"/>
  <c r="G236" i="1"/>
  <c r="G235" i="1"/>
  <c r="H234" i="1" s="1"/>
  <c r="G234" i="1"/>
  <c r="H233" i="1" s="1"/>
  <c r="G233" i="1"/>
  <c r="H232" i="1" s="1"/>
  <c r="G232" i="1"/>
  <c r="H231" i="1" s="1"/>
  <c r="G231" i="1"/>
  <c r="H230" i="1" s="1"/>
  <c r="G230" i="1"/>
  <c r="H229" i="1" s="1"/>
  <c r="G229" i="1"/>
  <c r="H228" i="1" s="1"/>
  <c r="G228" i="1"/>
  <c r="G227" i="1"/>
  <c r="H226" i="1" s="1"/>
  <c r="G226" i="1"/>
  <c r="H225" i="1" s="1"/>
  <c r="G225" i="1"/>
  <c r="H224" i="1" s="1"/>
  <c r="G224" i="1"/>
  <c r="H223" i="1" s="1"/>
  <c r="G223" i="1"/>
  <c r="H222" i="1" s="1"/>
  <c r="G222" i="1"/>
  <c r="H221" i="1" s="1"/>
  <c r="G221" i="1"/>
  <c r="H220" i="1" s="1"/>
  <c r="G220" i="1"/>
  <c r="G219" i="1"/>
  <c r="H218" i="1" s="1"/>
  <c r="G218" i="1"/>
  <c r="H217" i="1" s="1"/>
  <c r="G217" i="1"/>
  <c r="H216" i="1" s="1"/>
  <c r="G216" i="1"/>
  <c r="H215" i="1" s="1"/>
  <c r="G215" i="1"/>
  <c r="H214" i="1" s="1"/>
  <c r="G214" i="1"/>
  <c r="H213" i="1" s="1"/>
  <c r="G213" i="1"/>
  <c r="H212" i="1" s="1"/>
  <c r="G212" i="1"/>
  <c r="G211" i="1"/>
  <c r="H210" i="1" s="1"/>
  <c r="G210" i="1"/>
  <c r="H209" i="1" s="1"/>
  <c r="G209" i="1"/>
  <c r="H208" i="1" s="1"/>
  <c r="G208" i="1"/>
  <c r="H207" i="1" s="1"/>
  <c r="G207" i="1"/>
  <c r="H206" i="1" s="1"/>
  <c r="G206" i="1"/>
  <c r="H205" i="1" s="1"/>
  <c r="G205" i="1"/>
  <c r="H204" i="1" s="1"/>
  <c r="G204" i="1"/>
  <c r="G203" i="1"/>
  <c r="H202" i="1" s="1"/>
  <c r="G202" i="1"/>
  <c r="H201" i="1" s="1"/>
  <c r="G201" i="1"/>
  <c r="H200" i="1" s="1"/>
  <c r="G200" i="1"/>
  <c r="H199" i="1" s="1"/>
  <c r="G199" i="1"/>
  <c r="H198" i="1" s="1"/>
  <c r="G198" i="1"/>
  <c r="H197" i="1" s="1"/>
  <c r="G197" i="1"/>
  <c r="H196" i="1" s="1"/>
  <c r="G196" i="1"/>
  <c r="G195" i="1"/>
  <c r="H194" i="1" s="1"/>
  <c r="G194" i="1"/>
  <c r="H193" i="1" s="1"/>
  <c r="G193" i="1"/>
  <c r="H192" i="1" s="1"/>
  <c r="G192" i="1"/>
  <c r="H191" i="1" s="1"/>
  <c r="G191" i="1"/>
  <c r="H190" i="1" s="1"/>
  <c r="G190" i="1"/>
  <c r="H189" i="1" s="1"/>
  <c r="G189" i="1"/>
  <c r="H188" i="1" s="1"/>
  <c r="G188" i="1"/>
  <c r="G187" i="1"/>
  <c r="H186" i="1" s="1"/>
  <c r="G186" i="1"/>
  <c r="H185" i="1" s="1"/>
  <c r="G185" i="1"/>
  <c r="H184" i="1" s="1"/>
  <c r="G184" i="1"/>
  <c r="H183" i="1" s="1"/>
  <c r="G183" i="1"/>
  <c r="H182" i="1" s="1"/>
  <c r="G182" i="1"/>
  <c r="H181" i="1" s="1"/>
  <c r="G181" i="1"/>
  <c r="H180" i="1" s="1"/>
  <c r="G180" i="1"/>
  <c r="G179" i="1"/>
  <c r="H178" i="1" s="1"/>
  <c r="G178" i="1"/>
  <c r="H177" i="1" s="1"/>
  <c r="G177" i="1"/>
  <c r="H176" i="1" s="1"/>
  <c r="G176" i="1"/>
  <c r="H175" i="1" s="1"/>
  <c r="G175" i="1"/>
  <c r="H174" i="1" s="1"/>
  <c r="G174" i="1"/>
  <c r="H173" i="1" s="1"/>
  <c r="G173" i="1"/>
  <c r="H172" i="1" s="1"/>
  <c r="G172" i="1"/>
  <c r="G171" i="1"/>
  <c r="H170" i="1" s="1"/>
  <c r="G170" i="1"/>
  <c r="H169" i="1" s="1"/>
  <c r="G169" i="1"/>
  <c r="H168" i="1" s="1"/>
  <c r="G168" i="1"/>
  <c r="H167" i="1" s="1"/>
  <c r="G167" i="1"/>
  <c r="H166" i="1" s="1"/>
  <c r="G166" i="1"/>
  <c r="H165" i="1" s="1"/>
  <c r="G165" i="1"/>
  <c r="H164" i="1" s="1"/>
  <c r="G164" i="1"/>
  <c r="G163" i="1"/>
  <c r="H162" i="1" s="1"/>
  <c r="G162" i="1"/>
  <c r="H161" i="1" s="1"/>
  <c r="G161" i="1"/>
  <c r="H160" i="1" s="1"/>
  <c r="G160" i="1"/>
  <c r="H159" i="1" s="1"/>
  <c r="G159" i="1"/>
  <c r="H158" i="1" s="1"/>
  <c r="G158" i="1"/>
  <c r="H157" i="1" s="1"/>
  <c r="G157" i="1"/>
  <c r="H156" i="1" s="1"/>
  <c r="G156" i="1"/>
  <c r="G155" i="1"/>
  <c r="H154" i="1" s="1"/>
  <c r="G154" i="1"/>
  <c r="H153" i="1" s="1"/>
  <c r="G153" i="1"/>
  <c r="H152" i="1" s="1"/>
  <c r="G152" i="1"/>
  <c r="H151" i="1" s="1"/>
  <c r="G151" i="1"/>
  <c r="H150" i="1" s="1"/>
  <c r="G150" i="1"/>
  <c r="H149" i="1" s="1"/>
  <c r="G149" i="1"/>
  <c r="H148" i="1" s="1"/>
  <c r="G148" i="1"/>
  <c r="G147" i="1"/>
  <c r="H146" i="1" s="1"/>
  <c r="G146" i="1"/>
  <c r="H145" i="1" s="1"/>
  <c r="G145" i="1"/>
  <c r="H144" i="1" s="1"/>
  <c r="G144" i="1"/>
  <c r="H143" i="1" s="1"/>
  <c r="G143" i="1"/>
  <c r="H142" i="1" s="1"/>
  <c r="G142" i="1"/>
  <c r="H141" i="1" s="1"/>
  <c r="G141" i="1"/>
  <c r="H140" i="1" s="1"/>
  <c r="G140" i="1"/>
  <c r="G139" i="1"/>
  <c r="H138" i="1" s="1"/>
  <c r="G138" i="1"/>
  <c r="H137" i="1" s="1"/>
  <c r="G137" i="1"/>
  <c r="H136" i="1" s="1"/>
  <c r="G136" i="1"/>
  <c r="H135" i="1" s="1"/>
  <c r="G135" i="1"/>
  <c r="H134" i="1" s="1"/>
  <c r="G134" i="1"/>
  <c r="H133" i="1" s="1"/>
  <c r="G133" i="1"/>
  <c r="H132" i="1" s="1"/>
  <c r="G132" i="1"/>
  <c r="G131" i="1"/>
  <c r="H130" i="1" s="1"/>
  <c r="G130" i="1"/>
  <c r="H129" i="1" s="1"/>
  <c r="G129" i="1"/>
  <c r="H128" i="1" s="1"/>
  <c r="G128" i="1"/>
  <c r="H127" i="1" s="1"/>
  <c r="G127" i="1"/>
  <c r="H126" i="1" s="1"/>
  <c r="G126" i="1"/>
  <c r="H125" i="1" s="1"/>
  <c r="G125" i="1"/>
  <c r="H124" i="1" s="1"/>
  <c r="G124" i="1"/>
  <c r="G123" i="1"/>
  <c r="H122" i="1" s="1"/>
  <c r="G122" i="1"/>
  <c r="H121" i="1" s="1"/>
  <c r="G121" i="1"/>
  <c r="H120" i="1" s="1"/>
  <c r="G120" i="1"/>
  <c r="H119" i="1" s="1"/>
  <c r="G119" i="1"/>
  <c r="H118" i="1" s="1"/>
  <c r="G118" i="1"/>
  <c r="H117" i="1" s="1"/>
  <c r="G117" i="1"/>
  <c r="H116" i="1" s="1"/>
  <c r="G116" i="1"/>
  <c r="G115" i="1"/>
  <c r="H114" i="1" s="1"/>
  <c r="G114" i="1"/>
  <c r="H113" i="1" s="1"/>
  <c r="G113" i="1"/>
  <c r="H112" i="1" s="1"/>
  <c r="G112" i="1"/>
  <c r="H111" i="1" s="1"/>
  <c r="G111" i="1"/>
  <c r="H110" i="1" s="1"/>
  <c r="G110" i="1"/>
  <c r="H109" i="1" s="1"/>
  <c r="G109" i="1"/>
  <c r="H108" i="1" s="1"/>
  <c r="G108" i="1"/>
  <c r="G107" i="1"/>
  <c r="H106" i="1" s="1"/>
  <c r="G106" i="1"/>
  <c r="H105" i="1" s="1"/>
  <c r="G105" i="1"/>
  <c r="H104" i="1" s="1"/>
  <c r="G104" i="1"/>
  <c r="H103" i="1" s="1"/>
  <c r="G103" i="1"/>
  <c r="H102" i="1" s="1"/>
  <c r="G102" i="1"/>
  <c r="H101" i="1" s="1"/>
  <c r="G101" i="1"/>
  <c r="H100" i="1" s="1"/>
  <c r="G100" i="1"/>
  <c r="G99" i="1"/>
  <c r="H98" i="1" s="1"/>
  <c r="G98" i="1"/>
  <c r="H97" i="1" s="1"/>
  <c r="G97" i="1"/>
  <c r="H96" i="1" s="1"/>
  <c r="G96" i="1"/>
  <c r="H95" i="1" s="1"/>
  <c r="G95" i="1"/>
  <c r="H94" i="1" s="1"/>
  <c r="G94" i="1"/>
  <c r="H93" i="1" s="1"/>
  <c r="G93" i="1"/>
  <c r="H92" i="1" s="1"/>
  <c r="G92" i="1"/>
  <c r="G91" i="1"/>
  <c r="H90" i="1" s="1"/>
  <c r="G90" i="1"/>
  <c r="H89" i="1" s="1"/>
  <c r="G89" i="1"/>
  <c r="H88" i="1" s="1"/>
  <c r="G88" i="1"/>
  <c r="H87" i="1" s="1"/>
  <c r="G87" i="1"/>
  <c r="H86" i="1" s="1"/>
  <c r="G86" i="1"/>
  <c r="H85" i="1" s="1"/>
  <c r="G85" i="1"/>
  <c r="H84" i="1" s="1"/>
  <c r="G84" i="1"/>
  <c r="G83" i="1"/>
  <c r="H82" i="1" s="1"/>
  <c r="G82" i="1"/>
  <c r="H81" i="1" s="1"/>
  <c r="G81" i="1"/>
  <c r="H80" i="1" s="1"/>
  <c r="G80" i="1"/>
  <c r="H79" i="1" s="1"/>
  <c r="G79" i="1"/>
  <c r="H78" i="1" s="1"/>
  <c r="G78" i="1"/>
  <c r="H77" i="1" s="1"/>
  <c r="G77" i="1"/>
  <c r="H76" i="1" s="1"/>
  <c r="G76" i="1"/>
  <c r="G75" i="1"/>
  <c r="H74" i="1" s="1"/>
  <c r="G74" i="1"/>
  <c r="H73" i="1" s="1"/>
  <c r="G73" i="1"/>
  <c r="H72" i="1" s="1"/>
  <c r="G72" i="1"/>
  <c r="H71" i="1" s="1"/>
  <c r="G71" i="1"/>
  <c r="H70" i="1" s="1"/>
  <c r="G70" i="1"/>
  <c r="H69" i="1" s="1"/>
  <c r="G69" i="1"/>
  <c r="H68" i="1" s="1"/>
  <c r="G68" i="1"/>
  <c r="G67" i="1"/>
  <c r="H66" i="1" s="1"/>
  <c r="G66" i="1"/>
  <c r="H65" i="1" s="1"/>
  <c r="G65" i="1"/>
  <c r="H64" i="1" s="1"/>
  <c r="G64" i="1"/>
  <c r="H63" i="1" s="1"/>
  <c r="G63" i="1"/>
  <c r="H62" i="1" s="1"/>
  <c r="G62" i="1"/>
  <c r="H61" i="1" s="1"/>
  <c r="G61" i="1"/>
  <c r="H60" i="1" s="1"/>
  <c r="G60" i="1"/>
  <c r="G59" i="1"/>
  <c r="H58" i="1" s="1"/>
  <c r="G58" i="1"/>
  <c r="H57" i="1" s="1"/>
  <c r="G57" i="1"/>
  <c r="H56" i="1" s="1"/>
  <c r="G56" i="1"/>
  <c r="H55" i="1" s="1"/>
  <c r="G55" i="1"/>
  <c r="H54" i="1" s="1"/>
  <c r="G54" i="1"/>
  <c r="H53" i="1" s="1"/>
  <c r="G53" i="1"/>
  <c r="H52" i="1" s="1"/>
  <c r="G52" i="1"/>
  <c r="G51" i="1"/>
  <c r="H50" i="1" s="1"/>
  <c r="G50" i="1"/>
  <c r="H49" i="1" s="1"/>
  <c r="G49" i="1"/>
  <c r="H48" i="1" s="1"/>
  <c r="G48" i="1"/>
  <c r="H47" i="1" s="1"/>
  <c r="G47" i="1"/>
  <c r="H46" i="1" s="1"/>
  <c r="G46" i="1"/>
  <c r="H45" i="1" s="1"/>
  <c r="G45" i="1"/>
  <c r="H44" i="1" s="1"/>
  <c r="G44" i="1"/>
  <c r="G43" i="1"/>
  <c r="H42" i="1" s="1"/>
  <c r="G42" i="1"/>
  <c r="H41" i="1" s="1"/>
  <c r="G41" i="1"/>
  <c r="H40" i="1" s="1"/>
  <c r="G40" i="1"/>
  <c r="H39" i="1" s="1"/>
  <c r="G39" i="1"/>
  <c r="H38" i="1" s="1"/>
  <c r="G38" i="1"/>
  <c r="H37" i="1" s="1"/>
  <c r="G37" i="1"/>
  <c r="H36" i="1" s="1"/>
  <c r="G36" i="1"/>
  <c r="G35" i="1"/>
  <c r="H34" i="1" s="1"/>
  <c r="G34" i="1"/>
  <c r="H33" i="1" s="1"/>
  <c r="G33" i="1"/>
  <c r="H32" i="1" s="1"/>
  <c r="G32" i="1"/>
  <c r="H31" i="1" s="1"/>
  <c r="G31" i="1"/>
  <c r="H30" i="1" s="1"/>
  <c r="G30" i="1"/>
  <c r="H29" i="1" s="1"/>
  <c r="G29" i="1"/>
  <c r="H28" i="1" s="1"/>
  <c r="G28" i="1"/>
  <c r="G27" i="1"/>
  <c r="H26" i="1" s="1"/>
  <c r="G26" i="1"/>
  <c r="H25" i="1" s="1"/>
  <c r="G25" i="1"/>
  <c r="H24" i="1" s="1"/>
  <c r="G24" i="1"/>
  <c r="H23" i="1" s="1"/>
  <c r="G23" i="1"/>
  <c r="H22" i="1" s="1"/>
  <c r="G22" i="1"/>
  <c r="H21" i="1" s="1"/>
  <c r="G21" i="1"/>
  <c r="H20" i="1" s="1"/>
  <c r="G20" i="1"/>
  <c r="G19" i="1"/>
  <c r="H18" i="1" s="1"/>
  <c r="G18" i="1"/>
  <c r="H17" i="1" s="1"/>
  <c r="G17" i="1"/>
  <c r="H16" i="1" s="1"/>
  <c r="G16" i="1"/>
  <c r="H15" i="1" s="1"/>
  <c r="G15" i="1"/>
  <c r="H14" i="1" s="1"/>
  <c r="G14" i="1"/>
  <c r="H13" i="1" s="1"/>
  <c r="G13" i="1"/>
  <c r="H12" i="1" s="1"/>
  <c r="G12" i="1"/>
  <c r="G11" i="1"/>
  <c r="E11" i="1"/>
  <c r="E12" i="1" s="1"/>
  <c r="K13" i="12" l="1"/>
  <c r="P13" i="12" s="1"/>
  <c r="L14" i="12"/>
  <c r="K14" i="12" s="1"/>
  <c r="E16" i="12"/>
  <c r="I15" i="12"/>
  <c r="K13" i="11"/>
  <c r="P13" i="11" s="1"/>
  <c r="L14" i="11"/>
  <c r="K14" i="11" s="1"/>
  <c r="E16" i="11"/>
  <c r="I15" i="11"/>
  <c r="J13" i="9"/>
  <c r="P13" i="9" s="1"/>
  <c r="I15" i="9"/>
  <c r="E16" i="9"/>
  <c r="L14" i="9"/>
  <c r="K14" i="9" s="1"/>
  <c r="J13" i="8"/>
  <c r="P13" i="8" s="1"/>
  <c r="E16" i="8"/>
  <c r="L14" i="8"/>
  <c r="J14" i="8" s="1"/>
  <c r="P14" i="7"/>
  <c r="E17" i="7"/>
  <c r="I16" i="7"/>
  <c r="E13" i="1"/>
  <c r="I12" i="1"/>
  <c r="H296" i="1"/>
  <c r="H304" i="1"/>
  <c r="H312" i="1"/>
  <c r="H320" i="1"/>
  <c r="H328" i="1"/>
  <c r="H321" i="1"/>
  <c r="H290" i="1"/>
  <c r="H298" i="1"/>
  <c r="H306" i="1"/>
  <c r="H314" i="1"/>
  <c r="H322" i="1"/>
  <c r="H330" i="1"/>
  <c r="H292" i="1"/>
  <c r="H300" i="1"/>
  <c r="H308" i="1"/>
  <c r="H316" i="1"/>
  <c r="H324" i="1"/>
  <c r="H332" i="1"/>
  <c r="H305" i="1"/>
  <c r="H334" i="1"/>
  <c r="N12" i="4"/>
  <c r="J12" i="4"/>
  <c r="P12" i="4" s="1"/>
  <c r="K12" i="4"/>
  <c r="P13" i="6"/>
  <c r="P12" i="6"/>
  <c r="I14" i="6"/>
  <c r="E15" i="6"/>
  <c r="N12" i="5"/>
  <c r="K12" i="5"/>
  <c r="J12" i="5"/>
  <c r="E14" i="5"/>
  <c r="I13" i="5"/>
  <c r="E13" i="4"/>
  <c r="E17" i="12" l="1"/>
  <c r="I16" i="12"/>
  <c r="L15" i="12"/>
  <c r="J15" i="12" s="1"/>
  <c r="J14" i="12"/>
  <c r="J14" i="11"/>
  <c r="P14" i="11" s="1"/>
  <c r="L15" i="11"/>
  <c r="K15" i="11" s="1"/>
  <c r="E17" i="11"/>
  <c r="I16" i="11"/>
  <c r="J14" i="9"/>
  <c r="I16" i="9"/>
  <c r="E17" i="9"/>
  <c r="L15" i="9"/>
  <c r="K15" i="9" s="1"/>
  <c r="K14" i="8"/>
  <c r="P14" i="8" s="1"/>
  <c r="E17" i="8"/>
  <c r="L15" i="8"/>
  <c r="J15" i="8" s="1"/>
  <c r="P15" i="7"/>
  <c r="E18" i="7"/>
  <c r="I17" i="7"/>
  <c r="J12" i="1"/>
  <c r="K12" i="1"/>
  <c r="E14" i="1"/>
  <c r="I13" i="1"/>
  <c r="E16" i="6"/>
  <c r="I15" i="6"/>
  <c r="K14" i="6"/>
  <c r="J14" i="6"/>
  <c r="P12" i="5"/>
  <c r="L12" i="5"/>
  <c r="J13" i="5"/>
  <c r="K13" i="5"/>
  <c r="I14" i="5"/>
  <c r="E15" i="5"/>
  <c r="E14" i="4"/>
  <c r="I13" i="4"/>
  <c r="K15" i="12" l="1"/>
  <c r="P15" i="12" s="1"/>
  <c r="P14" i="12"/>
  <c r="L16" i="12"/>
  <c r="K16" i="12" s="1"/>
  <c r="E18" i="12"/>
  <c r="I17" i="12"/>
  <c r="L16" i="11"/>
  <c r="K16" i="11" s="1"/>
  <c r="E18" i="11"/>
  <c r="I17" i="11"/>
  <c r="J15" i="11"/>
  <c r="P14" i="9"/>
  <c r="J15" i="9"/>
  <c r="P15" i="9" s="1"/>
  <c r="I17" i="9"/>
  <c r="E18" i="9"/>
  <c r="L16" i="9"/>
  <c r="J16" i="9" s="1"/>
  <c r="K15" i="8"/>
  <c r="P15" i="8" s="1"/>
  <c r="E18" i="8"/>
  <c r="L16" i="8"/>
  <c r="K16" i="8" s="1"/>
  <c r="P16" i="7"/>
  <c r="E19" i="7"/>
  <c r="I18" i="7"/>
  <c r="K13" i="4"/>
  <c r="J13" i="4"/>
  <c r="J13" i="1"/>
  <c r="K13" i="1"/>
  <c r="E15" i="1"/>
  <c r="I14" i="1"/>
  <c r="P14" i="6"/>
  <c r="K15" i="6"/>
  <c r="J15" i="6"/>
  <c r="E17" i="6"/>
  <c r="I16" i="6"/>
  <c r="P13" i="5"/>
  <c r="L13" i="5"/>
  <c r="I15" i="5"/>
  <c r="E16" i="5"/>
  <c r="J14" i="5"/>
  <c r="K14" i="5"/>
  <c r="I14" i="4"/>
  <c r="E15" i="4"/>
  <c r="L17" i="12" l="1"/>
  <c r="J17" i="12" s="1"/>
  <c r="E19" i="12"/>
  <c r="I18" i="12"/>
  <c r="J16" i="12"/>
  <c r="J16" i="11"/>
  <c r="P16" i="11" s="1"/>
  <c r="P15" i="11"/>
  <c r="L17" i="11"/>
  <c r="K17" i="11" s="1"/>
  <c r="I18" i="11"/>
  <c r="E19" i="11"/>
  <c r="K16" i="9"/>
  <c r="P16" i="9" s="1"/>
  <c r="I18" i="9"/>
  <c r="E19" i="9"/>
  <c r="L17" i="9"/>
  <c r="K17" i="9" s="1"/>
  <c r="J16" i="8"/>
  <c r="P16" i="8" s="1"/>
  <c r="L17" i="8"/>
  <c r="J17" i="8" s="1"/>
  <c r="E19" i="8"/>
  <c r="P17" i="7"/>
  <c r="I19" i="7"/>
  <c r="E20" i="7"/>
  <c r="J14" i="1"/>
  <c r="K14" i="1"/>
  <c r="E16" i="1"/>
  <c r="I15" i="1"/>
  <c r="J14" i="4"/>
  <c r="K14" i="4"/>
  <c r="P13" i="4"/>
  <c r="P15" i="6"/>
  <c r="J16" i="6"/>
  <c r="K16" i="6"/>
  <c r="E18" i="6"/>
  <c r="I17" i="6"/>
  <c r="L14" i="5"/>
  <c r="P14" i="5"/>
  <c r="I16" i="5"/>
  <c r="E17" i="5"/>
  <c r="K15" i="5"/>
  <c r="J15" i="5"/>
  <c r="E16" i="4"/>
  <c r="I15" i="4"/>
  <c r="K17" i="12" l="1"/>
  <c r="P17" i="12" s="1"/>
  <c r="P16" i="12"/>
  <c r="L18" i="12"/>
  <c r="K18" i="12" s="1"/>
  <c r="E20" i="12"/>
  <c r="I19" i="12"/>
  <c r="J17" i="11"/>
  <c r="P17" i="11" s="1"/>
  <c r="I19" i="11"/>
  <c r="E20" i="11"/>
  <c r="L18" i="11"/>
  <c r="K18" i="11" s="1"/>
  <c r="J17" i="9"/>
  <c r="I19" i="9"/>
  <c r="E20" i="9"/>
  <c r="L18" i="9"/>
  <c r="K18" i="9" s="1"/>
  <c r="E20" i="8"/>
  <c r="K17" i="8"/>
  <c r="P17" i="8" s="1"/>
  <c r="L18" i="8"/>
  <c r="J18" i="8" s="1"/>
  <c r="P18" i="7"/>
  <c r="I20" i="7"/>
  <c r="E21" i="7"/>
  <c r="P19" i="7"/>
  <c r="P14" i="4"/>
  <c r="J15" i="1"/>
  <c r="K15" i="1"/>
  <c r="J15" i="4"/>
  <c r="K15" i="4"/>
  <c r="E17" i="1"/>
  <c r="I16" i="1"/>
  <c r="P16" i="6"/>
  <c r="K17" i="6"/>
  <c r="J17" i="6"/>
  <c r="I18" i="6"/>
  <c r="E19" i="6"/>
  <c r="P15" i="5"/>
  <c r="L15" i="5"/>
  <c r="J16" i="5"/>
  <c r="K16" i="5"/>
  <c r="I17" i="5"/>
  <c r="E18" i="5"/>
  <c r="E17" i="4"/>
  <c r="I16" i="4"/>
  <c r="E21" i="12" l="1"/>
  <c r="I20" i="12"/>
  <c r="L19" i="12"/>
  <c r="K19" i="12" s="1"/>
  <c r="J18" i="12"/>
  <c r="J18" i="11"/>
  <c r="I20" i="11"/>
  <c r="E21" i="11"/>
  <c r="L19" i="11"/>
  <c r="K19" i="11" s="1"/>
  <c r="J18" i="9"/>
  <c r="P18" i="9" s="1"/>
  <c r="I20" i="9"/>
  <c r="E21" i="9"/>
  <c r="L19" i="9"/>
  <c r="K19" i="9" s="1"/>
  <c r="P17" i="9"/>
  <c r="K18" i="8"/>
  <c r="P18" i="8" s="1"/>
  <c r="L19" i="8"/>
  <c r="K19" i="8" s="1"/>
  <c r="E21" i="8"/>
  <c r="I21" i="7"/>
  <c r="E22" i="7"/>
  <c r="J16" i="4"/>
  <c r="P16" i="4" s="1"/>
  <c r="K16" i="4"/>
  <c r="J16" i="1"/>
  <c r="K16" i="1"/>
  <c r="P15" i="4"/>
  <c r="E18" i="1"/>
  <c r="I17" i="1"/>
  <c r="P17" i="6"/>
  <c r="I19" i="6"/>
  <c r="E20" i="6"/>
  <c r="J18" i="6"/>
  <c r="K18" i="6"/>
  <c r="P16" i="5"/>
  <c r="L16" i="5"/>
  <c r="I18" i="5"/>
  <c r="E19" i="5"/>
  <c r="J17" i="5"/>
  <c r="K17" i="5"/>
  <c r="E18" i="4"/>
  <c r="I17" i="4"/>
  <c r="J19" i="12" l="1"/>
  <c r="P19" i="12" s="1"/>
  <c r="P18" i="12"/>
  <c r="L20" i="12"/>
  <c r="K20" i="12" s="1"/>
  <c r="E22" i="12"/>
  <c r="I21" i="12"/>
  <c r="J19" i="11"/>
  <c r="P19" i="11" s="1"/>
  <c r="I21" i="11"/>
  <c r="E22" i="11"/>
  <c r="L20" i="11"/>
  <c r="K20" i="11" s="1"/>
  <c r="P18" i="11"/>
  <c r="J19" i="9"/>
  <c r="P19" i="9" s="1"/>
  <c r="I21" i="9"/>
  <c r="E22" i="9"/>
  <c r="L20" i="9"/>
  <c r="J20" i="9" s="1"/>
  <c r="E22" i="8"/>
  <c r="J19" i="8"/>
  <c r="P19" i="8" s="1"/>
  <c r="L20" i="8"/>
  <c r="K20" i="8" s="1"/>
  <c r="P20" i="7"/>
  <c r="I22" i="7"/>
  <c r="E23" i="7"/>
  <c r="J17" i="1"/>
  <c r="K17" i="1"/>
  <c r="E19" i="1"/>
  <c r="I18" i="1"/>
  <c r="K17" i="4"/>
  <c r="J17" i="4"/>
  <c r="P17" i="4" s="1"/>
  <c r="P18" i="6"/>
  <c r="I20" i="6"/>
  <c r="E21" i="6"/>
  <c r="J19" i="6"/>
  <c r="K19" i="6"/>
  <c r="L17" i="5"/>
  <c r="P17" i="5"/>
  <c r="E20" i="5"/>
  <c r="I19" i="5"/>
  <c r="K18" i="5"/>
  <c r="J18" i="5"/>
  <c r="I18" i="4"/>
  <c r="E19" i="4"/>
  <c r="J20" i="12" l="1"/>
  <c r="E23" i="12"/>
  <c r="I22" i="12"/>
  <c r="L21" i="12"/>
  <c r="K21" i="12" s="1"/>
  <c r="J20" i="11"/>
  <c r="P20" i="11" s="1"/>
  <c r="I22" i="11"/>
  <c r="E23" i="11"/>
  <c r="L21" i="11"/>
  <c r="K21" i="11" s="1"/>
  <c r="K20" i="9"/>
  <c r="P20" i="9" s="1"/>
  <c r="I22" i="9"/>
  <c r="E23" i="9"/>
  <c r="L21" i="9"/>
  <c r="K21" i="9" s="1"/>
  <c r="J20" i="8"/>
  <c r="P20" i="8" s="1"/>
  <c r="L21" i="8"/>
  <c r="K21" i="8" s="1"/>
  <c r="E23" i="8"/>
  <c r="P21" i="7"/>
  <c r="E24" i="7"/>
  <c r="I23" i="7"/>
  <c r="P22" i="7"/>
  <c r="J18" i="1"/>
  <c r="K18" i="1"/>
  <c r="K18" i="4"/>
  <c r="J18" i="4"/>
  <c r="P18" i="4" s="1"/>
  <c r="E20" i="1"/>
  <c r="I19" i="1"/>
  <c r="P19" i="6"/>
  <c r="I21" i="6"/>
  <c r="E22" i="6"/>
  <c r="J20" i="6"/>
  <c r="K20" i="6"/>
  <c r="P18" i="5"/>
  <c r="L18" i="5"/>
  <c r="K19" i="5"/>
  <c r="J19" i="5"/>
  <c r="E21" i="5"/>
  <c r="I20" i="5"/>
  <c r="E20" i="4"/>
  <c r="I19" i="4"/>
  <c r="J21" i="12" l="1"/>
  <c r="P21" i="12" s="1"/>
  <c r="L22" i="12"/>
  <c r="K22" i="12" s="1"/>
  <c r="P20" i="12"/>
  <c r="E24" i="12"/>
  <c r="I23" i="12"/>
  <c r="J21" i="11"/>
  <c r="P21" i="11" s="1"/>
  <c r="I23" i="11"/>
  <c r="E24" i="11"/>
  <c r="L22" i="11"/>
  <c r="K22" i="11" s="1"/>
  <c r="J21" i="9"/>
  <c r="P21" i="9" s="1"/>
  <c r="I23" i="9"/>
  <c r="E24" i="9"/>
  <c r="L22" i="9"/>
  <c r="K22" i="9" s="1"/>
  <c r="J21" i="8"/>
  <c r="P21" i="8" s="1"/>
  <c r="E24" i="8"/>
  <c r="L22" i="8"/>
  <c r="K22" i="8" s="1"/>
  <c r="E25" i="7"/>
  <c r="I24" i="7"/>
  <c r="K19" i="1"/>
  <c r="J19" i="1"/>
  <c r="E21" i="1"/>
  <c r="I20" i="1"/>
  <c r="K19" i="4"/>
  <c r="J19" i="4"/>
  <c r="P19" i="4" s="1"/>
  <c r="P20" i="6"/>
  <c r="E23" i="6"/>
  <c r="I22" i="6"/>
  <c r="K21" i="6"/>
  <c r="J21" i="6"/>
  <c r="P19" i="5"/>
  <c r="L19" i="5"/>
  <c r="K20" i="5"/>
  <c r="J20" i="5"/>
  <c r="E22" i="5"/>
  <c r="I21" i="5"/>
  <c r="I20" i="4"/>
  <c r="E21" i="4"/>
  <c r="J22" i="12" l="1"/>
  <c r="P22" i="12" s="1"/>
  <c r="E25" i="12"/>
  <c r="I24" i="12"/>
  <c r="L23" i="12"/>
  <c r="K23" i="12" s="1"/>
  <c r="J22" i="11"/>
  <c r="P22" i="11" s="1"/>
  <c r="I24" i="11"/>
  <c r="E25" i="11"/>
  <c r="L23" i="11"/>
  <c r="K23" i="11" s="1"/>
  <c r="I24" i="9"/>
  <c r="E25" i="9"/>
  <c r="J22" i="9"/>
  <c r="P22" i="9" s="1"/>
  <c r="L23" i="9"/>
  <c r="J23" i="9" s="1"/>
  <c r="J22" i="8"/>
  <c r="P22" i="8" s="1"/>
  <c r="L23" i="8"/>
  <c r="K23" i="8" s="1"/>
  <c r="E25" i="8"/>
  <c r="P23" i="7"/>
  <c r="E26" i="7"/>
  <c r="I25" i="7"/>
  <c r="J20" i="1"/>
  <c r="K20" i="1"/>
  <c r="E22" i="1"/>
  <c r="I21" i="1"/>
  <c r="K20" i="4"/>
  <c r="J20" i="4"/>
  <c r="P20" i="4" s="1"/>
  <c r="P21" i="6"/>
  <c r="K22" i="6"/>
  <c r="J22" i="6"/>
  <c r="E24" i="6"/>
  <c r="I23" i="6"/>
  <c r="P20" i="5"/>
  <c r="L20" i="5"/>
  <c r="K21" i="5"/>
  <c r="J21" i="5"/>
  <c r="E23" i="5"/>
  <c r="I22" i="5"/>
  <c r="E22" i="4"/>
  <c r="I21" i="4"/>
  <c r="J23" i="12" l="1"/>
  <c r="P23" i="12" s="1"/>
  <c r="L24" i="12"/>
  <c r="K24" i="12" s="1"/>
  <c r="E26" i="12"/>
  <c r="I25" i="12"/>
  <c r="J23" i="11"/>
  <c r="P23" i="11" s="1"/>
  <c r="I25" i="11"/>
  <c r="E26" i="11"/>
  <c r="L24" i="11"/>
  <c r="K24" i="11" s="1"/>
  <c r="K23" i="9"/>
  <c r="P23" i="9" s="1"/>
  <c r="I25" i="9"/>
  <c r="E26" i="9"/>
  <c r="L24" i="9"/>
  <c r="J24" i="9" s="1"/>
  <c r="J23" i="8"/>
  <c r="P23" i="8" s="1"/>
  <c r="E26" i="8"/>
  <c r="L24" i="8"/>
  <c r="K24" i="8" s="1"/>
  <c r="P24" i="7"/>
  <c r="E27" i="7"/>
  <c r="I26" i="7"/>
  <c r="J21" i="1"/>
  <c r="K21" i="1"/>
  <c r="K21" i="4"/>
  <c r="J21" i="4"/>
  <c r="P21" i="4" s="1"/>
  <c r="E23" i="1"/>
  <c r="I22" i="1"/>
  <c r="P22" i="6"/>
  <c r="K23" i="6"/>
  <c r="J23" i="6"/>
  <c r="E25" i="6"/>
  <c r="I24" i="6"/>
  <c r="P21" i="5"/>
  <c r="L21" i="5"/>
  <c r="K22" i="5"/>
  <c r="J22" i="5"/>
  <c r="I23" i="5"/>
  <c r="E24" i="5"/>
  <c r="I22" i="4"/>
  <c r="E23" i="4"/>
  <c r="J24" i="12" l="1"/>
  <c r="P24" i="12" s="1"/>
  <c r="L25" i="12"/>
  <c r="K25" i="12" s="1"/>
  <c r="E27" i="12"/>
  <c r="I26" i="12"/>
  <c r="J24" i="11"/>
  <c r="P24" i="11" s="1"/>
  <c r="I26" i="11"/>
  <c r="E27" i="11"/>
  <c r="L25" i="11"/>
  <c r="K25" i="11" s="1"/>
  <c r="K24" i="9"/>
  <c r="P24" i="9" s="1"/>
  <c r="I26" i="9"/>
  <c r="E27" i="9"/>
  <c r="L25" i="9"/>
  <c r="K25" i="9" s="1"/>
  <c r="J24" i="8"/>
  <c r="P24" i="8" s="1"/>
  <c r="L25" i="8"/>
  <c r="K25" i="8" s="1"/>
  <c r="E27" i="8"/>
  <c r="P25" i="7"/>
  <c r="I27" i="7"/>
  <c r="E28" i="7"/>
  <c r="E24" i="1"/>
  <c r="I23" i="1"/>
  <c r="J22" i="1"/>
  <c r="K22" i="1"/>
  <c r="J22" i="4"/>
  <c r="P22" i="4" s="1"/>
  <c r="K22" i="4"/>
  <c r="P23" i="6"/>
  <c r="J24" i="6"/>
  <c r="K24" i="6"/>
  <c r="E26" i="6"/>
  <c r="I25" i="6"/>
  <c r="P22" i="5"/>
  <c r="L22" i="5"/>
  <c r="I24" i="5"/>
  <c r="E25" i="5"/>
  <c r="K23" i="5"/>
  <c r="J23" i="5"/>
  <c r="E24" i="4"/>
  <c r="I23" i="4"/>
  <c r="J25" i="12" l="1"/>
  <c r="P25" i="12" s="1"/>
  <c r="L26" i="12"/>
  <c r="K26" i="12" s="1"/>
  <c r="E28" i="12"/>
  <c r="I27" i="12"/>
  <c r="J25" i="11"/>
  <c r="P25" i="11" s="1"/>
  <c r="I27" i="11"/>
  <c r="E28" i="11"/>
  <c r="L26" i="11"/>
  <c r="K26" i="11" s="1"/>
  <c r="J25" i="9"/>
  <c r="P25" i="9" s="1"/>
  <c r="I27" i="9"/>
  <c r="E28" i="9"/>
  <c r="L26" i="9"/>
  <c r="K26" i="9" s="1"/>
  <c r="E28" i="8"/>
  <c r="L26" i="8"/>
  <c r="K26" i="8" s="1"/>
  <c r="J25" i="8"/>
  <c r="P25" i="8" s="1"/>
  <c r="P26" i="7"/>
  <c r="I28" i="7"/>
  <c r="E29" i="7"/>
  <c r="P27" i="7"/>
  <c r="J23" i="4"/>
  <c r="K23" i="4"/>
  <c r="J23" i="1"/>
  <c r="K23" i="1"/>
  <c r="E25" i="1"/>
  <c r="I24" i="1"/>
  <c r="K25" i="6"/>
  <c r="J25" i="6"/>
  <c r="I26" i="6"/>
  <c r="E27" i="6"/>
  <c r="P24" i="6"/>
  <c r="P23" i="5"/>
  <c r="L23" i="5"/>
  <c r="I25" i="5"/>
  <c r="E26" i="5"/>
  <c r="K24" i="5"/>
  <c r="J24" i="5"/>
  <c r="E25" i="4"/>
  <c r="I24" i="4"/>
  <c r="J26" i="12" l="1"/>
  <c r="P26" i="12" s="1"/>
  <c r="L27" i="12"/>
  <c r="K27" i="12" s="1"/>
  <c r="E29" i="12"/>
  <c r="I28" i="12"/>
  <c r="J26" i="11"/>
  <c r="P26" i="11" s="1"/>
  <c r="I28" i="11"/>
  <c r="E29" i="11"/>
  <c r="L27" i="11"/>
  <c r="K27" i="11" s="1"/>
  <c r="J26" i="9"/>
  <c r="P26" i="9" s="1"/>
  <c r="I28" i="9"/>
  <c r="E29" i="9"/>
  <c r="L27" i="9"/>
  <c r="K27" i="9" s="1"/>
  <c r="J26" i="8"/>
  <c r="P26" i="8" s="1"/>
  <c r="L27" i="8"/>
  <c r="K27" i="8" s="1"/>
  <c r="E29" i="8"/>
  <c r="I29" i="7"/>
  <c r="E30" i="7"/>
  <c r="P28" i="7"/>
  <c r="E26" i="1"/>
  <c r="I25" i="1"/>
  <c r="J24" i="1"/>
  <c r="K24" i="1"/>
  <c r="J24" i="4"/>
  <c r="K24" i="4"/>
  <c r="P23" i="4"/>
  <c r="P25" i="6"/>
  <c r="I27" i="6"/>
  <c r="E28" i="6"/>
  <c r="J26" i="6"/>
  <c r="K26" i="6"/>
  <c r="P24" i="5"/>
  <c r="L24" i="5"/>
  <c r="I26" i="5"/>
  <c r="E27" i="5"/>
  <c r="J25" i="5"/>
  <c r="K25" i="5"/>
  <c r="E26" i="4"/>
  <c r="I25" i="4"/>
  <c r="L28" i="12" l="1"/>
  <c r="J28" i="12" s="1"/>
  <c r="E30" i="12"/>
  <c r="I29" i="12"/>
  <c r="J27" i="12"/>
  <c r="P27" i="12" s="1"/>
  <c r="J27" i="11"/>
  <c r="P27" i="11" s="1"/>
  <c r="I29" i="11"/>
  <c r="E30" i="11"/>
  <c r="L28" i="11"/>
  <c r="K28" i="11" s="1"/>
  <c r="I29" i="9"/>
  <c r="E30" i="9"/>
  <c r="J27" i="9"/>
  <c r="P27" i="9" s="1"/>
  <c r="L28" i="9"/>
  <c r="K28" i="9" s="1"/>
  <c r="J27" i="8"/>
  <c r="P27" i="8" s="1"/>
  <c r="L28" i="8"/>
  <c r="K28" i="8" s="1"/>
  <c r="E30" i="8"/>
  <c r="I30" i="7"/>
  <c r="E31" i="7"/>
  <c r="P24" i="4"/>
  <c r="J25" i="1"/>
  <c r="K25" i="1"/>
  <c r="K25" i="4"/>
  <c r="J25" i="4"/>
  <c r="P25" i="4" s="1"/>
  <c r="E27" i="1"/>
  <c r="I26" i="1"/>
  <c r="P26" i="6"/>
  <c r="I28" i="6"/>
  <c r="E29" i="6"/>
  <c r="K27" i="6"/>
  <c r="J27" i="6"/>
  <c r="P25" i="5"/>
  <c r="L25" i="5"/>
  <c r="K26" i="5"/>
  <c r="J26" i="5"/>
  <c r="I27" i="5"/>
  <c r="E28" i="5"/>
  <c r="I26" i="4"/>
  <c r="E27" i="4"/>
  <c r="K28" i="12" l="1"/>
  <c r="P28" i="12" s="1"/>
  <c r="L29" i="12"/>
  <c r="K29" i="12" s="1"/>
  <c r="E31" i="12"/>
  <c r="I30" i="12"/>
  <c r="J28" i="11"/>
  <c r="P28" i="11" s="1"/>
  <c r="I30" i="11"/>
  <c r="E31" i="11"/>
  <c r="L29" i="11"/>
  <c r="K29" i="11" s="1"/>
  <c r="J28" i="9"/>
  <c r="P28" i="9" s="1"/>
  <c r="I30" i="9"/>
  <c r="E31" i="9"/>
  <c r="L29" i="9"/>
  <c r="K29" i="9" s="1"/>
  <c r="J28" i="8"/>
  <c r="P28" i="8" s="1"/>
  <c r="E31" i="8"/>
  <c r="L29" i="8"/>
  <c r="K29" i="8" s="1"/>
  <c r="P29" i="7"/>
  <c r="E32" i="7"/>
  <c r="I31" i="7"/>
  <c r="E28" i="1"/>
  <c r="I27" i="1"/>
  <c r="K26" i="4"/>
  <c r="J26" i="4"/>
  <c r="P26" i="4" s="1"/>
  <c r="J26" i="1"/>
  <c r="K26" i="1"/>
  <c r="P27" i="6"/>
  <c r="I29" i="6"/>
  <c r="E30" i="6"/>
  <c r="J28" i="6"/>
  <c r="K28" i="6"/>
  <c r="P26" i="5"/>
  <c r="L26" i="5"/>
  <c r="E29" i="5"/>
  <c r="I28" i="5"/>
  <c r="K27" i="5"/>
  <c r="J27" i="5"/>
  <c r="E28" i="4"/>
  <c r="I27" i="4"/>
  <c r="J29" i="12" l="1"/>
  <c r="P29" i="12" s="1"/>
  <c r="L30" i="12"/>
  <c r="K30" i="12" s="1"/>
  <c r="E32" i="12"/>
  <c r="I31" i="12"/>
  <c r="J29" i="11"/>
  <c r="P29" i="11" s="1"/>
  <c r="I31" i="11"/>
  <c r="E32" i="11"/>
  <c r="L30" i="11"/>
  <c r="K30" i="11" s="1"/>
  <c r="J29" i="9"/>
  <c r="P29" i="9" s="1"/>
  <c r="I31" i="9"/>
  <c r="E32" i="9"/>
  <c r="L30" i="9"/>
  <c r="J30" i="9" s="1"/>
  <c r="J29" i="8"/>
  <c r="P29" i="8" s="1"/>
  <c r="L30" i="8"/>
  <c r="K30" i="8" s="1"/>
  <c r="E32" i="8"/>
  <c r="P30" i="7"/>
  <c r="E33" i="7"/>
  <c r="I32" i="7"/>
  <c r="K27" i="1"/>
  <c r="J27" i="1"/>
  <c r="K27" i="4"/>
  <c r="J27" i="4"/>
  <c r="P27" i="4" s="1"/>
  <c r="E29" i="1"/>
  <c r="I28" i="1"/>
  <c r="P28" i="6"/>
  <c r="E31" i="6"/>
  <c r="I30" i="6"/>
  <c r="K29" i="6"/>
  <c r="J29" i="6"/>
  <c r="P27" i="5"/>
  <c r="L27" i="5"/>
  <c r="K28" i="5"/>
  <c r="J28" i="5"/>
  <c r="E30" i="5"/>
  <c r="I29" i="5"/>
  <c r="I28" i="4"/>
  <c r="E29" i="4"/>
  <c r="J30" i="12" l="1"/>
  <c r="P30" i="12" s="1"/>
  <c r="L31" i="12"/>
  <c r="J31" i="12" s="1"/>
  <c r="E33" i="12"/>
  <c r="I32" i="12"/>
  <c r="J30" i="11"/>
  <c r="P30" i="11" s="1"/>
  <c r="I32" i="11"/>
  <c r="E33" i="11"/>
  <c r="L31" i="11"/>
  <c r="K31" i="11" s="1"/>
  <c r="K30" i="9"/>
  <c r="P30" i="9" s="1"/>
  <c r="I32" i="9"/>
  <c r="E33" i="9"/>
  <c r="L31" i="9"/>
  <c r="K31" i="9" s="1"/>
  <c r="J30" i="8"/>
  <c r="P30" i="8" s="1"/>
  <c r="E33" i="8"/>
  <c r="L31" i="8"/>
  <c r="K31" i="8" s="1"/>
  <c r="P31" i="7"/>
  <c r="E34" i="7"/>
  <c r="I33" i="7"/>
  <c r="J28" i="1"/>
  <c r="K28" i="1"/>
  <c r="E30" i="1"/>
  <c r="I29" i="1"/>
  <c r="K28" i="4"/>
  <c r="J28" i="4"/>
  <c r="P28" i="4" s="1"/>
  <c r="P29" i="6"/>
  <c r="K30" i="6"/>
  <c r="J30" i="6"/>
  <c r="E32" i="6"/>
  <c r="I31" i="6"/>
  <c r="P28" i="5"/>
  <c r="L28" i="5"/>
  <c r="K29" i="5"/>
  <c r="J29" i="5"/>
  <c r="E31" i="5"/>
  <c r="I30" i="5"/>
  <c r="E30" i="4"/>
  <c r="I29" i="4"/>
  <c r="K31" i="12" l="1"/>
  <c r="P31" i="12" s="1"/>
  <c r="L32" i="12"/>
  <c r="J32" i="12" s="1"/>
  <c r="E34" i="12"/>
  <c r="I33" i="12"/>
  <c r="J31" i="11"/>
  <c r="P31" i="11" s="1"/>
  <c r="I33" i="11"/>
  <c r="E34" i="11"/>
  <c r="L32" i="11"/>
  <c r="K32" i="11" s="1"/>
  <c r="J31" i="9"/>
  <c r="P31" i="9" s="1"/>
  <c r="I33" i="9"/>
  <c r="E34" i="9"/>
  <c r="L32" i="9"/>
  <c r="K32" i="9" s="1"/>
  <c r="J31" i="8"/>
  <c r="P31" i="8" s="1"/>
  <c r="L32" i="8"/>
  <c r="K32" i="8" s="1"/>
  <c r="E34" i="8"/>
  <c r="P32" i="7"/>
  <c r="E35" i="7"/>
  <c r="I34" i="7"/>
  <c r="J29" i="1"/>
  <c r="K29" i="1"/>
  <c r="K29" i="4"/>
  <c r="J29" i="4"/>
  <c r="P29" i="4" s="1"/>
  <c r="E31" i="1"/>
  <c r="I30" i="1"/>
  <c r="P30" i="6"/>
  <c r="E33" i="6"/>
  <c r="I32" i="6"/>
  <c r="K31" i="6"/>
  <c r="J31" i="6"/>
  <c r="P29" i="5"/>
  <c r="L29" i="5"/>
  <c r="K30" i="5"/>
  <c r="J30" i="5"/>
  <c r="E32" i="5"/>
  <c r="I31" i="5"/>
  <c r="I30" i="4"/>
  <c r="E31" i="4"/>
  <c r="K32" i="12" l="1"/>
  <c r="P32" i="12" s="1"/>
  <c r="L33" i="12"/>
  <c r="K33" i="12" s="1"/>
  <c r="E35" i="12"/>
  <c r="I34" i="12"/>
  <c r="J32" i="11"/>
  <c r="P32" i="11" s="1"/>
  <c r="I34" i="11"/>
  <c r="E35" i="11"/>
  <c r="L33" i="11"/>
  <c r="K33" i="11" s="1"/>
  <c r="J32" i="9"/>
  <c r="P32" i="9" s="1"/>
  <c r="I34" i="9"/>
  <c r="E35" i="9"/>
  <c r="L33" i="9"/>
  <c r="J33" i="9" s="1"/>
  <c r="J32" i="8"/>
  <c r="P32" i="8" s="1"/>
  <c r="L33" i="8"/>
  <c r="K33" i="8" s="1"/>
  <c r="E35" i="8"/>
  <c r="P33" i="7"/>
  <c r="I35" i="7"/>
  <c r="E36" i="7"/>
  <c r="E32" i="1"/>
  <c r="I31" i="1"/>
  <c r="J30" i="1"/>
  <c r="K30" i="1"/>
  <c r="J30" i="4"/>
  <c r="P30" i="4" s="1"/>
  <c r="K30" i="4"/>
  <c r="P31" i="6"/>
  <c r="J32" i="6"/>
  <c r="K32" i="6"/>
  <c r="E34" i="6"/>
  <c r="I33" i="6"/>
  <c r="P30" i="5"/>
  <c r="L30" i="5"/>
  <c r="K31" i="5"/>
  <c r="J31" i="5"/>
  <c r="I32" i="5"/>
  <c r="E33" i="5"/>
  <c r="E32" i="4"/>
  <c r="I31" i="4"/>
  <c r="J33" i="12" l="1"/>
  <c r="P33" i="12" s="1"/>
  <c r="L34" i="12"/>
  <c r="K34" i="12" s="1"/>
  <c r="E36" i="12"/>
  <c r="I35" i="12"/>
  <c r="J33" i="11"/>
  <c r="P33" i="11" s="1"/>
  <c r="I35" i="11"/>
  <c r="E36" i="11"/>
  <c r="L34" i="11"/>
  <c r="K34" i="11" s="1"/>
  <c r="K33" i="9"/>
  <c r="P33" i="9" s="1"/>
  <c r="I35" i="9"/>
  <c r="E36" i="9"/>
  <c r="L34" i="9"/>
  <c r="K34" i="9" s="1"/>
  <c r="J33" i="8"/>
  <c r="P33" i="8" s="1"/>
  <c r="E36" i="8"/>
  <c r="L34" i="8"/>
  <c r="K34" i="8" s="1"/>
  <c r="P34" i="7"/>
  <c r="E37" i="7"/>
  <c r="I36" i="7"/>
  <c r="P35" i="7"/>
  <c r="J31" i="4"/>
  <c r="K31" i="4"/>
  <c r="J31" i="1"/>
  <c r="K31" i="1"/>
  <c r="E33" i="1"/>
  <c r="I32" i="1"/>
  <c r="K33" i="6"/>
  <c r="J33" i="6"/>
  <c r="E35" i="6"/>
  <c r="I34" i="6"/>
  <c r="P32" i="6"/>
  <c r="P31" i="5"/>
  <c r="L31" i="5"/>
  <c r="I33" i="5"/>
  <c r="E34" i="5"/>
  <c r="K32" i="5"/>
  <c r="J32" i="5"/>
  <c r="E33" i="4"/>
  <c r="I32" i="4"/>
  <c r="J34" i="12" l="1"/>
  <c r="P34" i="12" s="1"/>
  <c r="L35" i="12"/>
  <c r="K35" i="12" s="1"/>
  <c r="E37" i="12"/>
  <c r="I36" i="12"/>
  <c r="J34" i="11"/>
  <c r="P34" i="11" s="1"/>
  <c r="I36" i="11"/>
  <c r="E37" i="11"/>
  <c r="L35" i="11"/>
  <c r="K35" i="11" s="1"/>
  <c r="J34" i="9"/>
  <c r="P34" i="9" s="1"/>
  <c r="I36" i="9"/>
  <c r="E37" i="9"/>
  <c r="L35" i="9"/>
  <c r="K35" i="9" s="1"/>
  <c r="J34" i="8"/>
  <c r="P34" i="8" s="1"/>
  <c r="L35" i="8"/>
  <c r="K35" i="8" s="1"/>
  <c r="E37" i="8"/>
  <c r="I37" i="7"/>
  <c r="E38" i="7"/>
  <c r="J32" i="1"/>
  <c r="K32" i="1"/>
  <c r="E34" i="1"/>
  <c r="I33" i="1"/>
  <c r="J32" i="4"/>
  <c r="K32" i="4"/>
  <c r="P31" i="4"/>
  <c r="P33" i="6"/>
  <c r="K34" i="6"/>
  <c r="J34" i="6"/>
  <c r="I35" i="6"/>
  <c r="E36" i="6"/>
  <c r="P32" i="5"/>
  <c r="L32" i="5"/>
  <c r="I34" i="5"/>
  <c r="E35" i="5"/>
  <c r="J33" i="5"/>
  <c r="K33" i="5"/>
  <c r="E34" i="4"/>
  <c r="I33" i="4"/>
  <c r="J35" i="12" l="1"/>
  <c r="P35" i="12" s="1"/>
  <c r="L36" i="12"/>
  <c r="K36" i="12" s="1"/>
  <c r="E38" i="12"/>
  <c r="I37" i="12"/>
  <c r="J35" i="11"/>
  <c r="P35" i="11" s="1"/>
  <c r="I37" i="11"/>
  <c r="E38" i="11"/>
  <c r="L36" i="11"/>
  <c r="K36" i="11" s="1"/>
  <c r="J35" i="9"/>
  <c r="P35" i="9" s="1"/>
  <c r="I37" i="9"/>
  <c r="E38" i="9"/>
  <c r="L36" i="9"/>
  <c r="K36" i="9" s="1"/>
  <c r="J35" i="8"/>
  <c r="P35" i="8" s="1"/>
  <c r="L36" i="8"/>
  <c r="K36" i="8" s="1"/>
  <c r="E38" i="8"/>
  <c r="E39" i="7"/>
  <c r="I38" i="7"/>
  <c r="P37" i="7"/>
  <c r="P36" i="7"/>
  <c r="P32" i="4"/>
  <c r="J33" i="1"/>
  <c r="K33" i="1"/>
  <c r="K33" i="4"/>
  <c r="J33" i="4"/>
  <c r="P33" i="4" s="1"/>
  <c r="E35" i="1"/>
  <c r="I34" i="1"/>
  <c r="P34" i="6"/>
  <c r="I36" i="6"/>
  <c r="E37" i="6"/>
  <c r="K35" i="6"/>
  <c r="J35" i="6"/>
  <c r="L33" i="5"/>
  <c r="P33" i="5"/>
  <c r="E36" i="5"/>
  <c r="I35" i="5"/>
  <c r="K34" i="5"/>
  <c r="J34" i="5"/>
  <c r="I34" i="4"/>
  <c r="E35" i="4"/>
  <c r="J36" i="12" l="1"/>
  <c r="P36" i="12" s="1"/>
  <c r="L37" i="12"/>
  <c r="K37" i="12" s="1"/>
  <c r="E39" i="12"/>
  <c r="I38" i="12"/>
  <c r="J36" i="11"/>
  <c r="P36" i="11" s="1"/>
  <c r="I38" i="11"/>
  <c r="E39" i="11"/>
  <c r="L37" i="11"/>
  <c r="K37" i="11" s="1"/>
  <c r="J36" i="9"/>
  <c r="P36" i="9" s="1"/>
  <c r="I38" i="9"/>
  <c r="E39" i="9"/>
  <c r="L37" i="9"/>
  <c r="K37" i="9" s="1"/>
  <c r="J36" i="8"/>
  <c r="P36" i="8" s="1"/>
  <c r="E39" i="8"/>
  <c r="L37" i="8"/>
  <c r="K37" i="8" s="1"/>
  <c r="E40" i="7"/>
  <c r="I39" i="7"/>
  <c r="J34" i="1"/>
  <c r="K34" i="1"/>
  <c r="E36" i="1"/>
  <c r="I35" i="1"/>
  <c r="K34" i="4"/>
  <c r="J34" i="4"/>
  <c r="P34" i="4" s="1"/>
  <c r="P35" i="6"/>
  <c r="I37" i="6"/>
  <c r="E38" i="6"/>
  <c r="J36" i="6"/>
  <c r="K36" i="6"/>
  <c r="P34" i="5"/>
  <c r="L34" i="5"/>
  <c r="K35" i="5"/>
  <c r="J35" i="5"/>
  <c r="E37" i="5"/>
  <c r="I36" i="5"/>
  <c r="E36" i="4"/>
  <c r="I35" i="4"/>
  <c r="J37" i="12" l="1"/>
  <c r="P37" i="12" s="1"/>
  <c r="L38" i="12"/>
  <c r="K38" i="12" s="1"/>
  <c r="E40" i="12"/>
  <c r="I39" i="12"/>
  <c r="J37" i="11"/>
  <c r="P37" i="11" s="1"/>
  <c r="I39" i="11"/>
  <c r="E40" i="11"/>
  <c r="L38" i="11"/>
  <c r="K38" i="11" s="1"/>
  <c r="J37" i="9"/>
  <c r="P37" i="9" s="1"/>
  <c r="I39" i="9"/>
  <c r="E40" i="9"/>
  <c r="L38" i="9"/>
  <c r="K38" i="9" s="1"/>
  <c r="J37" i="8"/>
  <c r="P37" i="8" s="1"/>
  <c r="E40" i="8"/>
  <c r="L38" i="8"/>
  <c r="K38" i="8" s="1"/>
  <c r="I40" i="7"/>
  <c r="E41" i="7"/>
  <c r="P38" i="7"/>
  <c r="K35" i="1"/>
  <c r="J35" i="1"/>
  <c r="E37" i="1"/>
  <c r="I36" i="1"/>
  <c r="K35" i="4"/>
  <c r="J35" i="4"/>
  <c r="P35" i="4" s="1"/>
  <c r="I38" i="6"/>
  <c r="E39" i="6"/>
  <c r="P36" i="6"/>
  <c r="K37" i="6"/>
  <c r="J37" i="6"/>
  <c r="P35" i="5"/>
  <c r="L35" i="5"/>
  <c r="K36" i="5"/>
  <c r="J36" i="5"/>
  <c r="E38" i="5"/>
  <c r="I37" i="5"/>
  <c r="I36" i="4"/>
  <c r="E37" i="4"/>
  <c r="J38" i="12" l="1"/>
  <c r="P38" i="12" s="1"/>
  <c r="L39" i="12"/>
  <c r="K39" i="12" s="1"/>
  <c r="E41" i="12"/>
  <c r="I40" i="12"/>
  <c r="J38" i="11"/>
  <c r="P38" i="11" s="1"/>
  <c r="I40" i="11"/>
  <c r="E41" i="11"/>
  <c r="L39" i="11"/>
  <c r="K39" i="11" s="1"/>
  <c r="J38" i="9"/>
  <c r="P38" i="9" s="1"/>
  <c r="I40" i="9"/>
  <c r="E41" i="9"/>
  <c r="L39" i="9"/>
  <c r="J39" i="9" s="1"/>
  <c r="J38" i="8"/>
  <c r="P38" i="8" s="1"/>
  <c r="E41" i="8"/>
  <c r="L39" i="8"/>
  <c r="K39" i="8" s="1"/>
  <c r="P39" i="7"/>
  <c r="E42" i="7"/>
  <c r="I41" i="7"/>
  <c r="J36" i="1"/>
  <c r="K36" i="1"/>
  <c r="E38" i="1"/>
  <c r="I37" i="1"/>
  <c r="K36" i="4"/>
  <c r="J36" i="4"/>
  <c r="P36" i="4" s="1"/>
  <c r="P37" i="6"/>
  <c r="E40" i="6"/>
  <c r="I39" i="6"/>
  <c r="K38" i="6"/>
  <c r="J38" i="6"/>
  <c r="P36" i="5"/>
  <c r="L36" i="5"/>
  <c r="J37" i="5"/>
  <c r="K37" i="5"/>
  <c r="I38" i="5"/>
  <c r="E39" i="5"/>
  <c r="E38" i="4"/>
  <c r="I37" i="4"/>
  <c r="J39" i="12" l="1"/>
  <c r="P39" i="12" s="1"/>
  <c r="L40" i="12"/>
  <c r="K40" i="12" s="1"/>
  <c r="E42" i="12"/>
  <c r="I41" i="12"/>
  <c r="J39" i="11"/>
  <c r="P39" i="11" s="1"/>
  <c r="I41" i="11"/>
  <c r="E42" i="11"/>
  <c r="L40" i="11"/>
  <c r="K40" i="11" s="1"/>
  <c r="K39" i="9"/>
  <c r="P39" i="9" s="1"/>
  <c r="I41" i="9"/>
  <c r="E42" i="9"/>
  <c r="L40" i="9"/>
  <c r="K40" i="9" s="1"/>
  <c r="J39" i="8"/>
  <c r="P39" i="8" s="1"/>
  <c r="L40" i="8"/>
  <c r="K40" i="8" s="1"/>
  <c r="E42" i="8"/>
  <c r="I42" i="7"/>
  <c r="E43" i="7"/>
  <c r="P40" i="7"/>
  <c r="J37" i="1"/>
  <c r="K37" i="1"/>
  <c r="E39" i="1"/>
  <c r="I38" i="1"/>
  <c r="K37" i="4"/>
  <c r="J37" i="4"/>
  <c r="P37" i="4" s="1"/>
  <c r="P38" i="6"/>
  <c r="K39" i="6"/>
  <c r="J39" i="6"/>
  <c r="E41" i="6"/>
  <c r="I40" i="6"/>
  <c r="P37" i="5"/>
  <c r="L37" i="5"/>
  <c r="I39" i="5"/>
  <c r="E40" i="5"/>
  <c r="K38" i="5"/>
  <c r="J38" i="5"/>
  <c r="I38" i="4"/>
  <c r="E39" i="4"/>
  <c r="J40" i="12" l="1"/>
  <c r="P40" i="12" s="1"/>
  <c r="L41" i="12"/>
  <c r="K41" i="12" s="1"/>
  <c r="E43" i="12"/>
  <c r="I42" i="12"/>
  <c r="J40" i="11"/>
  <c r="P40" i="11" s="1"/>
  <c r="I42" i="11"/>
  <c r="E43" i="11"/>
  <c r="L41" i="11"/>
  <c r="K41" i="11" s="1"/>
  <c r="J40" i="9"/>
  <c r="P40" i="9" s="1"/>
  <c r="I42" i="9"/>
  <c r="E43" i="9"/>
  <c r="L41" i="9"/>
  <c r="K41" i="9" s="1"/>
  <c r="J40" i="8"/>
  <c r="P40" i="8" s="1"/>
  <c r="L41" i="8"/>
  <c r="K41" i="8" s="1"/>
  <c r="E43" i="8"/>
  <c r="I43" i="7"/>
  <c r="E44" i="7"/>
  <c r="P42" i="7"/>
  <c r="P41" i="7"/>
  <c r="J38" i="1"/>
  <c r="K38" i="1"/>
  <c r="E40" i="1"/>
  <c r="I39" i="1"/>
  <c r="J38" i="4"/>
  <c r="P38" i="4" s="1"/>
  <c r="K38" i="4"/>
  <c r="P39" i="6"/>
  <c r="E42" i="6"/>
  <c r="I41" i="6"/>
  <c r="J40" i="6"/>
  <c r="K40" i="6"/>
  <c r="P38" i="5"/>
  <c r="L38" i="5"/>
  <c r="I40" i="5"/>
  <c r="E41" i="5"/>
  <c r="K39" i="5"/>
  <c r="J39" i="5"/>
  <c r="E40" i="4"/>
  <c r="I39" i="4"/>
  <c r="J41" i="12" l="1"/>
  <c r="P41" i="12" s="1"/>
  <c r="L42" i="12"/>
  <c r="K42" i="12" s="1"/>
  <c r="E44" i="12"/>
  <c r="I43" i="12"/>
  <c r="J41" i="11"/>
  <c r="P41" i="11" s="1"/>
  <c r="I43" i="11"/>
  <c r="E44" i="11"/>
  <c r="L42" i="11"/>
  <c r="K42" i="11" s="1"/>
  <c r="J41" i="9"/>
  <c r="P41" i="9" s="1"/>
  <c r="L42" i="9"/>
  <c r="K42" i="9" s="1"/>
  <c r="I43" i="9"/>
  <c r="E44" i="9"/>
  <c r="J41" i="8"/>
  <c r="P41" i="8" s="1"/>
  <c r="E44" i="8"/>
  <c r="L42" i="8"/>
  <c r="K42" i="8" s="1"/>
  <c r="E45" i="7"/>
  <c r="I44" i="7"/>
  <c r="J39" i="1"/>
  <c r="K39" i="1"/>
  <c r="J39" i="4"/>
  <c r="K39" i="4"/>
  <c r="E41" i="1"/>
  <c r="I40" i="1"/>
  <c r="P40" i="6"/>
  <c r="K41" i="6"/>
  <c r="J41" i="6"/>
  <c r="E43" i="6"/>
  <c r="I42" i="6"/>
  <c r="P39" i="5"/>
  <c r="L39" i="5"/>
  <c r="I41" i="5"/>
  <c r="E42" i="5"/>
  <c r="J40" i="5"/>
  <c r="K40" i="5"/>
  <c r="E41" i="4"/>
  <c r="I40" i="4"/>
  <c r="J42" i="12" l="1"/>
  <c r="P42" i="12" s="1"/>
  <c r="L43" i="12"/>
  <c r="K43" i="12" s="1"/>
  <c r="E45" i="12"/>
  <c r="I44" i="12"/>
  <c r="J42" i="11"/>
  <c r="P42" i="11" s="1"/>
  <c r="I44" i="11"/>
  <c r="E45" i="11"/>
  <c r="L43" i="11"/>
  <c r="K43" i="11" s="1"/>
  <c r="J42" i="9"/>
  <c r="P42" i="9" s="1"/>
  <c r="I44" i="9"/>
  <c r="E45" i="9"/>
  <c r="L43" i="9"/>
  <c r="K43" i="9" s="1"/>
  <c r="J42" i="8"/>
  <c r="P42" i="8" s="1"/>
  <c r="L43" i="8"/>
  <c r="K43" i="8" s="1"/>
  <c r="E45" i="8"/>
  <c r="P43" i="7"/>
  <c r="I45" i="7"/>
  <c r="E46" i="7"/>
  <c r="P44" i="7"/>
  <c r="E42" i="1"/>
  <c r="I41" i="1"/>
  <c r="P39" i="4"/>
  <c r="J40" i="1"/>
  <c r="K40" i="1"/>
  <c r="J40" i="4"/>
  <c r="P40" i="4" s="1"/>
  <c r="K40" i="4"/>
  <c r="P41" i="6"/>
  <c r="K42" i="6"/>
  <c r="J42" i="6"/>
  <c r="I43" i="6"/>
  <c r="E44" i="6"/>
  <c r="L40" i="5"/>
  <c r="P40" i="5"/>
  <c r="E43" i="5"/>
  <c r="I42" i="5"/>
  <c r="J41" i="5"/>
  <c r="K41" i="5"/>
  <c r="E42" i="4"/>
  <c r="I41" i="4"/>
  <c r="J43" i="12" l="1"/>
  <c r="P43" i="12" s="1"/>
  <c r="L44" i="12"/>
  <c r="K44" i="12" s="1"/>
  <c r="E46" i="12"/>
  <c r="I45" i="12"/>
  <c r="J43" i="11"/>
  <c r="P43" i="11" s="1"/>
  <c r="I45" i="11"/>
  <c r="E46" i="11"/>
  <c r="L44" i="11"/>
  <c r="K44" i="11" s="1"/>
  <c r="J43" i="9"/>
  <c r="P43" i="9" s="1"/>
  <c r="I45" i="9"/>
  <c r="E46" i="9"/>
  <c r="L44" i="9"/>
  <c r="K44" i="9" s="1"/>
  <c r="J43" i="8"/>
  <c r="P43" i="8" s="1"/>
  <c r="E46" i="8"/>
  <c r="L44" i="8"/>
  <c r="K44" i="8" s="1"/>
  <c r="I46" i="7"/>
  <c r="E47" i="7"/>
  <c r="K41" i="4"/>
  <c r="J41" i="4"/>
  <c r="P41" i="4" s="1"/>
  <c r="J41" i="1"/>
  <c r="K41" i="1"/>
  <c r="E43" i="1"/>
  <c r="I42" i="1"/>
  <c r="P42" i="6"/>
  <c r="I44" i="6"/>
  <c r="E45" i="6"/>
  <c r="J43" i="6"/>
  <c r="K43" i="6"/>
  <c r="L41" i="5"/>
  <c r="P41" i="5"/>
  <c r="E44" i="5"/>
  <c r="I43" i="5"/>
  <c r="K42" i="5"/>
  <c r="J42" i="5"/>
  <c r="I42" i="4"/>
  <c r="E43" i="4"/>
  <c r="J44" i="12" l="1"/>
  <c r="P44" i="12" s="1"/>
  <c r="L45" i="12"/>
  <c r="K45" i="12" s="1"/>
  <c r="E47" i="12"/>
  <c r="I46" i="12"/>
  <c r="J44" i="11"/>
  <c r="P44" i="11" s="1"/>
  <c r="I46" i="11"/>
  <c r="E47" i="11"/>
  <c r="L45" i="11"/>
  <c r="K45" i="11" s="1"/>
  <c r="J44" i="9"/>
  <c r="P44" i="9" s="1"/>
  <c r="I46" i="9"/>
  <c r="E47" i="9"/>
  <c r="L45" i="9"/>
  <c r="J45" i="9" s="1"/>
  <c r="J44" i="8"/>
  <c r="P44" i="8" s="1"/>
  <c r="E47" i="8"/>
  <c r="L45" i="8"/>
  <c r="K45" i="8" s="1"/>
  <c r="P45" i="7"/>
  <c r="E48" i="7"/>
  <c r="I47" i="7"/>
  <c r="J42" i="1"/>
  <c r="K42" i="1"/>
  <c r="E44" i="1"/>
  <c r="I43" i="1"/>
  <c r="K42" i="4"/>
  <c r="J42" i="4"/>
  <c r="P42" i="4" s="1"/>
  <c r="P43" i="6"/>
  <c r="I45" i="6"/>
  <c r="E46" i="6"/>
  <c r="J44" i="6"/>
  <c r="K44" i="6"/>
  <c r="P42" i="5"/>
  <c r="L42" i="5"/>
  <c r="K43" i="5"/>
  <c r="J43" i="5"/>
  <c r="E45" i="5"/>
  <c r="I44" i="5"/>
  <c r="E44" i="4"/>
  <c r="I43" i="4"/>
  <c r="J45" i="12" l="1"/>
  <c r="P45" i="12" s="1"/>
  <c r="L46" i="12"/>
  <c r="K46" i="12" s="1"/>
  <c r="E48" i="12"/>
  <c r="I47" i="12"/>
  <c r="J45" i="11"/>
  <c r="P45" i="11" s="1"/>
  <c r="I47" i="11"/>
  <c r="E48" i="11"/>
  <c r="L46" i="11"/>
  <c r="K46" i="11" s="1"/>
  <c r="K45" i="9"/>
  <c r="P45" i="9" s="1"/>
  <c r="I47" i="9"/>
  <c r="E48" i="9"/>
  <c r="L46" i="9"/>
  <c r="K46" i="9" s="1"/>
  <c r="J45" i="8"/>
  <c r="P45" i="8" s="1"/>
  <c r="L46" i="8"/>
  <c r="K46" i="8" s="1"/>
  <c r="E48" i="8"/>
  <c r="I48" i="7"/>
  <c r="E49" i="7"/>
  <c r="P46" i="7"/>
  <c r="K43" i="1"/>
  <c r="J43" i="1"/>
  <c r="E45" i="1"/>
  <c r="I44" i="1"/>
  <c r="K43" i="4"/>
  <c r="J43" i="4"/>
  <c r="P43" i="4" s="1"/>
  <c r="P44" i="6"/>
  <c r="K45" i="6"/>
  <c r="J45" i="6"/>
  <c r="E47" i="6"/>
  <c r="I46" i="6"/>
  <c r="P43" i="5"/>
  <c r="L43" i="5"/>
  <c r="K44" i="5"/>
  <c r="J44" i="5"/>
  <c r="I45" i="5"/>
  <c r="E46" i="5"/>
  <c r="I44" i="4"/>
  <c r="E45" i="4"/>
  <c r="J46" i="12" l="1"/>
  <c r="P46" i="12" s="1"/>
  <c r="L47" i="12"/>
  <c r="K47" i="12" s="1"/>
  <c r="E49" i="12"/>
  <c r="I48" i="12"/>
  <c r="J46" i="11"/>
  <c r="P46" i="11" s="1"/>
  <c r="I48" i="11"/>
  <c r="E49" i="11"/>
  <c r="L47" i="11"/>
  <c r="K47" i="11" s="1"/>
  <c r="J46" i="9"/>
  <c r="P46" i="9" s="1"/>
  <c r="I48" i="9"/>
  <c r="E49" i="9"/>
  <c r="L47" i="9"/>
  <c r="K47" i="9" s="1"/>
  <c r="J46" i="8"/>
  <c r="P46" i="8" s="1"/>
  <c r="E49" i="8"/>
  <c r="L47" i="8"/>
  <c r="K47" i="8" s="1"/>
  <c r="P47" i="7"/>
  <c r="E50" i="7"/>
  <c r="I49" i="7"/>
  <c r="J44" i="1"/>
  <c r="K44" i="1"/>
  <c r="E46" i="1"/>
  <c r="I45" i="1"/>
  <c r="K44" i="4"/>
  <c r="J44" i="4"/>
  <c r="P44" i="4" s="1"/>
  <c r="P45" i="6"/>
  <c r="E48" i="6"/>
  <c r="I47" i="6"/>
  <c r="K46" i="6"/>
  <c r="J46" i="6"/>
  <c r="P44" i="5"/>
  <c r="L44" i="5"/>
  <c r="E47" i="5"/>
  <c r="I46" i="5"/>
  <c r="J45" i="5"/>
  <c r="K45" i="5"/>
  <c r="E46" i="4"/>
  <c r="I45" i="4"/>
  <c r="J47" i="12" l="1"/>
  <c r="P47" i="12" s="1"/>
  <c r="L48" i="12"/>
  <c r="K48" i="12" s="1"/>
  <c r="E50" i="12"/>
  <c r="I49" i="12"/>
  <c r="J47" i="11"/>
  <c r="P47" i="11" s="1"/>
  <c r="I49" i="11"/>
  <c r="E50" i="11"/>
  <c r="L48" i="11"/>
  <c r="K48" i="11" s="1"/>
  <c r="J47" i="9"/>
  <c r="P47" i="9" s="1"/>
  <c r="I49" i="9"/>
  <c r="E50" i="9"/>
  <c r="L48" i="9"/>
  <c r="K48" i="9" s="1"/>
  <c r="J47" i="8"/>
  <c r="P47" i="8" s="1"/>
  <c r="E50" i="8"/>
  <c r="L48" i="8"/>
  <c r="K48" i="8" s="1"/>
  <c r="P48" i="7"/>
  <c r="E51" i="7"/>
  <c r="I50" i="7"/>
  <c r="J45" i="1"/>
  <c r="K45" i="1"/>
  <c r="E47" i="1"/>
  <c r="I46" i="1"/>
  <c r="K45" i="4"/>
  <c r="J45" i="4"/>
  <c r="P45" i="4" s="1"/>
  <c r="P46" i="6"/>
  <c r="K47" i="6"/>
  <c r="J47" i="6"/>
  <c r="E49" i="6"/>
  <c r="I48" i="6"/>
  <c r="L45" i="5"/>
  <c r="P45" i="5"/>
  <c r="K46" i="5"/>
  <c r="J46" i="5"/>
  <c r="E48" i="5"/>
  <c r="I47" i="5"/>
  <c r="I46" i="4"/>
  <c r="E47" i="4"/>
  <c r="J48" i="12" l="1"/>
  <c r="P48" i="12" s="1"/>
  <c r="L49" i="12"/>
  <c r="K49" i="12" s="1"/>
  <c r="E51" i="12"/>
  <c r="I50" i="12"/>
  <c r="J48" i="11"/>
  <c r="P48" i="11" s="1"/>
  <c r="I50" i="11"/>
  <c r="E51" i="11"/>
  <c r="L49" i="11"/>
  <c r="K49" i="11" s="1"/>
  <c r="J48" i="9"/>
  <c r="P48" i="9" s="1"/>
  <c r="I50" i="9"/>
  <c r="E51" i="9"/>
  <c r="L49" i="9"/>
  <c r="K49" i="9" s="1"/>
  <c r="J48" i="8"/>
  <c r="P48" i="8" s="1"/>
  <c r="L49" i="8"/>
  <c r="K49" i="8" s="1"/>
  <c r="E51" i="8"/>
  <c r="P49" i="7"/>
  <c r="E52" i="7"/>
  <c r="I51" i="7"/>
  <c r="J46" i="1"/>
  <c r="K46" i="1"/>
  <c r="E48" i="1"/>
  <c r="I47" i="1"/>
  <c r="J46" i="4"/>
  <c r="K46" i="4"/>
  <c r="P47" i="6"/>
  <c r="E50" i="6"/>
  <c r="I49" i="6"/>
  <c r="J48" i="6"/>
  <c r="K48" i="6"/>
  <c r="P46" i="5"/>
  <c r="L46" i="5"/>
  <c r="K47" i="5"/>
  <c r="J47" i="5"/>
  <c r="I48" i="5"/>
  <c r="E49" i="5"/>
  <c r="E48" i="4"/>
  <c r="I47" i="4"/>
  <c r="J49" i="12" l="1"/>
  <c r="P49" i="12" s="1"/>
  <c r="L50" i="12"/>
  <c r="K50" i="12" s="1"/>
  <c r="E52" i="12"/>
  <c r="I51" i="12"/>
  <c r="J49" i="11"/>
  <c r="P49" i="11" s="1"/>
  <c r="I51" i="11"/>
  <c r="E52" i="11"/>
  <c r="L50" i="11"/>
  <c r="K50" i="11" s="1"/>
  <c r="J49" i="9"/>
  <c r="P49" i="9" s="1"/>
  <c r="I51" i="9"/>
  <c r="E52" i="9"/>
  <c r="L50" i="9"/>
  <c r="K50" i="9" s="1"/>
  <c r="J49" i="8"/>
  <c r="P49" i="8" s="1"/>
  <c r="L50" i="8"/>
  <c r="K50" i="8" s="1"/>
  <c r="E52" i="8"/>
  <c r="P50" i="7"/>
  <c r="E53" i="7"/>
  <c r="I52" i="7"/>
  <c r="J47" i="1"/>
  <c r="K47" i="1"/>
  <c r="E49" i="1"/>
  <c r="I48" i="1"/>
  <c r="P46" i="4"/>
  <c r="J47" i="4"/>
  <c r="K47" i="4"/>
  <c r="P48" i="6"/>
  <c r="K49" i="6"/>
  <c r="J49" i="6"/>
  <c r="E51" i="6"/>
  <c r="I50" i="6"/>
  <c r="P47" i="5"/>
  <c r="L47" i="5"/>
  <c r="I49" i="5"/>
  <c r="E50" i="5"/>
  <c r="K48" i="5"/>
  <c r="J48" i="5"/>
  <c r="E49" i="4"/>
  <c r="I48" i="4"/>
  <c r="J50" i="12" l="1"/>
  <c r="P50" i="12" s="1"/>
  <c r="L51" i="12"/>
  <c r="K51" i="12" s="1"/>
  <c r="I52" i="12"/>
  <c r="E53" i="12"/>
  <c r="J50" i="11"/>
  <c r="P50" i="11" s="1"/>
  <c r="I52" i="11"/>
  <c r="E53" i="11"/>
  <c r="L51" i="11"/>
  <c r="K51" i="11" s="1"/>
  <c r="J50" i="9"/>
  <c r="P50" i="9" s="1"/>
  <c r="I52" i="9"/>
  <c r="E53" i="9"/>
  <c r="L51" i="9"/>
  <c r="K51" i="9" s="1"/>
  <c r="J50" i="8"/>
  <c r="P50" i="8" s="1"/>
  <c r="L51" i="8"/>
  <c r="K51" i="8" s="1"/>
  <c r="E53" i="8"/>
  <c r="I53" i="7"/>
  <c r="E54" i="7"/>
  <c r="P51" i="7"/>
  <c r="P47" i="4"/>
  <c r="J48" i="1"/>
  <c r="K48" i="1"/>
  <c r="J48" i="4"/>
  <c r="K48" i="4"/>
  <c r="E50" i="1"/>
  <c r="I49" i="1"/>
  <c r="P49" i="6"/>
  <c r="I51" i="6"/>
  <c r="E52" i="6"/>
  <c r="K50" i="6"/>
  <c r="J50" i="6"/>
  <c r="L48" i="5"/>
  <c r="I50" i="5"/>
  <c r="E51" i="5"/>
  <c r="P48" i="5"/>
  <c r="J49" i="5"/>
  <c r="K49" i="5"/>
  <c r="E50" i="4"/>
  <c r="I49" i="4"/>
  <c r="J51" i="12" l="1"/>
  <c r="P51" i="12" s="1"/>
  <c r="I53" i="12"/>
  <c r="E54" i="12"/>
  <c r="L52" i="12"/>
  <c r="K52" i="12" s="1"/>
  <c r="J51" i="11"/>
  <c r="P51" i="11" s="1"/>
  <c r="I53" i="11"/>
  <c r="E54" i="11"/>
  <c r="L52" i="11"/>
  <c r="K52" i="11" s="1"/>
  <c r="J51" i="9"/>
  <c r="P51" i="9" s="1"/>
  <c r="L52" i="9"/>
  <c r="K52" i="9" s="1"/>
  <c r="I53" i="9"/>
  <c r="E54" i="9"/>
  <c r="J51" i="8"/>
  <c r="P51" i="8" s="1"/>
  <c r="E54" i="8"/>
  <c r="L52" i="8"/>
  <c r="K52" i="8" s="1"/>
  <c r="I54" i="7"/>
  <c r="E55" i="7"/>
  <c r="P52" i="7"/>
  <c r="J49" i="1"/>
  <c r="K49" i="1"/>
  <c r="E51" i="1"/>
  <c r="I50" i="1"/>
  <c r="P48" i="4"/>
  <c r="K49" i="4"/>
  <c r="J49" i="4"/>
  <c r="P49" i="4" s="1"/>
  <c r="P50" i="6"/>
  <c r="I52" i="6"/>
  <c r="E53" i="6"/>
  <c r="K51" i="6"/>
  <c r="J51" i="6"/>
  <c r="L49" i="5"/>
  <c r="P49" i="5"/>
  <c r="E52" i="5"/>
  <c r="I51" i="5"/>
  <c r="K50" i="5"/>
  <c r="J50" i="5"/>
  <c r="I50" i="4"/>
  <c r="E51" i="4"/>
  <c r="J52" i="12" l="1"/>
  <c r="P52" i="12" s="1"/>
  <c r="I54" i="12"/>
  <c r="E55" i="12"/>
  <c r="L53" i="12"/>
  <c r="K53" i="12" s="1"/>
  <c r="J52" i="11"/>
  <c r="P52" i="11" s="1"/>
  <c r="I54" i="11"/>
  <c r="E55" i="11"/>
  <c r="L53" i="11"/>
  <c r="K53" i="11" s="1"/>
  <c r="J52" i="9"/>
  <c r="P52" i="9" s="1"/>
  <c r="L53" i="9"/>
  <c r="K53" i="9" s="1"/>
  <c r="I54" i="9"/>
  <c r="E55" i="9"/>
  <c r="J52" i="8"/>
  <c r="P52" i="8" s="1"/>
  <c r="E55" i="8"/>
  <c r="L53" i="8"/>
  <c r="K53" i="8" s="1"/>
  <c r="P53" i="7"/>
  <c r="I55" i="7"/>
  <c r="E56" i="7"/>
  <c r="J50" i="1"/>
  <c r="K50" i="1"/>
  <c r="E52" i="1"/>
  <c r="I51" i="1"/>
  <c r="K50" i="4"/>
  <c r="J50" i="4"/>
  <c r="P51" i="6"/>
  <c r="I53" i="6"/>
  <c r="E54" i="6"/>
  <c r="J52" i="6"/>
  <c r="K52" i="6"/>
  <c r="L50" i="5"/>
  <c r="P50" i="5"/>
  <c r="J51" i="5"/>
  <c r="K51" i="5"/>
  <c r="E53" i="5"/>
  <c r="I52" i="5"/>
  <c r="E52" i="4"/>
  <c r="I51" i="4"/>
  <c r="J53" i="12" l="1"/>
  <c r="P53" i="12" s="1"/>
  <c r="I55" i="12"/>
  <c r="E56" i="12"/>
  <c r="L54" i="12"/>
  <c r="K54" i="12" s="1"/>
  <c r="J53" i="11"/>
  <c r="P53" i="11" s="1"/>
  <c r="I55" i="11"/>
  <c r="E56" i="11"/>
  <c r="L54" i="11"/>
  <c r="K54" i="11" s="1"/>
  <c r="J53" i="9"/>
  <c r="P53" i="9" s="1"/>
  <c r="I55" i="9"/>
  <c r="E56" i="9"/>
  <c r="L54" i="9"/>
  <c r="K54" i="9" s="1"/>
  <c r="J53" i="8"/>
  <c r="P53" i="8" s="1"/>
  <c r="E56" i="8"/>
  <c r="L54" i="8"/>
  <c r="K54" i="8" s="1"/>
  <c r="I56" i="7"/>
  <c r="E57" i="7"/>
  <c r="P54" i="7"/>
  <c r="P50" i="4"/>
  <c r="J51" i="1"/>
  <c r="K51" i="1"/>
  <c r="E53" i="1"/>
  <c r="I52" i="1"/>
  <c r="K51" i="4"/>
  <c r="J51" i="4"/>
  <c r="P51" i="4" s="1"/>
  <c r="P52" i="6"/>
  <c r="I54" i="6"/>
  <c r="E55" i="6"/>
  <c r="K53" i="6"/>
  <c r="J53" i="6"/>
  <c r="L51" i="5"/>
  <c r="E54" i="5"/>
  <c r="I53" i="5"/>
  <c r="K52" i="5"/>
  <c r="J52" i="5"/>
  <c r="P51" i="5"/>
  <c r="E53" i="4"/>
  <c r="I52" i="4"/>
  <c r="J54" i="12" l="1"/>
  <c r="P54" i="12" s="1"/>
  <c r="I56" i="12"/>
  <c r="E57" i="12"/>
  <c r="L55" i="12"/>
  <c r="K55" i="12" s="1"/>
  <c r="J54" i="11"/>
  <c r="P54" i="11" s="1"/>
  <c r="I56" i="11"/>
  <c r="E57" i="11"/>
  <c r="L55" i="11"/>
  <c r="K55" i="11" s="1"/>
  <c r="J54" i="9"/>
  <c r="P54" i="9" s="1"/>
  <c r="I56" i="9"/>
  <c r="E57" i="9"/>
  <c r="L55" i="9"/>
  <c r="K55" i="9" s="1"/>
  <c r="J54" i="8"/>
  <c r="P54" i="8" s="1"/>
  <c r="E57" i="8"/>
  <c r="L55" i="8"/>
  <c r="K55" i="8" s="1"/>
  <c r="E58" i="7"/>
  <c r="I57" i="7"/>
  <c r="P55" i="7"/>
  <c r="J52" i="1"/>
  <c r="K52" i="1"/>
  <c r="E54" i="1"/>
  <c r="I53" i="1"/>
  <c r="K52" i="4"/>
  <c r="J52" i="4"/>
  <c r="P53" i="6"/>
  <c r="E56" i="6"/>
  <c r="I55" i="6"/>
  <c r="K54" i="6"/>
  <c r="J54" i="6"/>
  <c r="L52" i="5"/>
  <c r="P52" i="5"/>
  <c r="J53" i="5"/>
  <c r="K53" i="5"/>
  <c r="E55" i="5"/>
  <c r="I54" i="5"/>
  <c r="E54" i="4"/>
  <c r="I53" i="4"/>
  <c r="J55" i="12" l="1"/>
  <c r="P55" i="12" s="1"/>
  <c r="I57" i="12"/>
  <c r="E58" i="12"/>
  <c r="L56" i="12"/>
  <c r="K56" i="12" s="1"/>
  <c r="J55" i="11"/>
  <c r="P55" i="11" s="1"/>
  <c r="I57" i="11"/>
  <c r="E58" i="11"/>
  <c r="L56" i="11"/>
  <c r="K56" i="11" s="1"/>
  <c r="J55" i="9"/>
  <c r="P55" i="9" s="1"/>
  <c r="I57" i="9"/>
  <c r="E58" i="9"/>
  <c r="L56" i="9"/>
  <c r="K56" i="9" s="1"/>
  <c r="J55" i="8"/>
  <c r="P55" i="8" s="1"/>
  <c r="L56" i="8"/>
  <c r="K56" i="8" s="1"/>
  <c r="E58" i="8"/>
  <c r="P56" i="7"/>
  <c r="E59" i="7"/>
  <c r="I58" i="7"/>
  <c r="P52" i="4"/>
  <c r="J53" i="1"/>
  <c r="K53" i="1"/>
  <c r="E55" i="1"/>
  <c r="I54" i="1"/>
  <c r="K53" i="4"/>
  <c r="J53" i="4"/>
  <c r="P53" i="4" s="1"/>
  <c r="P54" i="6"/>
  <c r="J55" i="6"/>
  <c r="K55" i="6"/>
  <c r="E57" i="6"/>
  <c r="I56" i="6"/>
  <c r="L53" i="5"/>
  <c r="I55" i="5"/>
  <c r="E56" i="5"/>
  <c r="K54" i="5"/>
  <c r="J54" i="5"/>
  <c r="P53" i="5"/>
  <c r="I54" i="4"/>
  <c r="E55" i="4"/>
  <c r="J56" i="12" l="1"/>
  <c r="P56" i="12" s="1"/>
  <c r="I58" i="12"/>
  <c r="E59" i="12"/>
  <c r="L57" i="12"/>
  <c r="K57" i="12" s="1"/>
  <c r="J56" i="11"/>
  <c r="P56" i="11" s="1"/>
  <c r="I58" i="11"/>
  <c r="E59" i="11"/>
  <c r="L57" i="11"/>
  <c r="K57" i="11" s="1"/>
  <c r="J56" i="9"/>
  <c r="P56" i="9" s="1"/>
  <c r="I58" i="9"/>
  <c r="E59" i="9"/>
  <c r="L57" i="9"/>
  <c r="K57" i="9" s="1"/>
  <c r="J56" i="8"/>
  <c r="P56" i="8" s="1"/>
  <c r="L57" i="8"/>
  <c r="K57" i="8" s="1"/>
  <c r="E59" i="8"/>
  <c r="E60" i="7"/>
  <c r="I59" i="7"/>
  <c r="P57" i="7"/>
  <c r="K54" i="1"/>
  <c r="J54" i="1"/>
  <c r="E56" i="1"/>
  <c r="I55" i="1"/>
  <c r="J54" i="4"/>
  <c r="K54" i="4"/>
  <c r="P55" i="6"/>
  <c r="K56" i="6"/>
  <c r="J56" i="6"/>
  <c r="E58" i="6"/>
  <c r="I57" i="6"/>
  <c r="P54" i="5"/>
  <c r="L54" i="5"/>
  <c r="I56" i="5"/>
  <c r="E57" i="5"/>
  <c r="K55" i="5"/>
  <c r="J55" i="5"/>
  <c r="E56" i="4"/>
  <c r="I55" i="4"/>
  <c r="J57" i="12" l="1"/>
  <c r="P57" i="12" s="1"/>
  <c r="I59" i="12"/>
  <c r="E60" i="12"/>
  <c r="L58" i="12"/>
  <c r="K58" i="12" s="1"/>
  <c r="J57" i="11"/>
  <c r="P57" i="11" s="1"/>
  <c r="I59" i="11"/>
  <c r="E60" i="11"/>
  <c r="L58" i="11"/>
  <c r="K58" i="11" s="1"/>
  <c r="J57" i="9"/>
  <c r="P57" i="9" s="1"/>
  <c r="I59" i="9"/>
  <c r="E60" i="9"/>
  <c r="L58" i="9"/>
  <c r="K58" i="9" s="1"/>
  <c r="J57" i="8"/>
  <c r="P57" i="8" s="1"/>
  <c r="E60" i="8"/>
  <c r="L58" i="8"/>
  <c r="K58" i="8" s="1"/>
  <c r="P58" i="7"/>
  <c r="E61" i="7"/>
  <c r="I60" i="7"/>
  <c r="P54" i="4"/>
  <c r="J55" i="4"/>
  <c r="K55" i="4"/>
  <c r="J55" i="1"/>
  <c r="K55" i="1"/>
  <c r="E57" i="1"/>
  <c r="I56" i="1"/>
  <c r="K57" i="6"/>
  <c r="J57" i="6"/>
  <c r="E59" i="6"/>
  <c r="I58" i="6"/>
  <c r="P56" i="6"/>
  <c r="P55" i="5"/>
  <c r="L55" i="5"/>
  <c r="I57" i="5"/>
  <c r="E58" i="5"/>
  <c r="J56" i="5"/>
  <c r="K56" i="5"/>
  <c r="E57" i="4"/>
  <c r="I56" i="4"/>
  <c r="J58" i="12" l="1"/>
  <c r="P58" i="12" s="1"/>
  <c r="I60" i="12"/>
  <c r="E61" i="12"/>
  <c r="L59" i="12"/>
  <c r="K59" i="12" s="1"/>
  <c r="J58" i="11"/>
  <c r="P58" i="11" s="1"/>
  <c r="I60" i="11"/>
  <c r="E61" i="11"/>
  <c r="L59" i="11"/>
  <c r="K59" i="11" s="1"/>
  <c r="J58" i="9"/>
  <c r="P58" i="9" s="1"/>
  <c r="E61" i="9"/>
  <c r="I60" i="9"/>
  <c r="L59" i="9"/>
  <c r="K59" i="9" s="1"/>
  <c r="J58" i="8"/>
  <c r="P58" i="8" s="1"/>
  <c r="E61" i="8"/>
  <c r="L59" i="8"/>
  <c r="K59" i="8" s="1"/>
  <c r="P59" i="7"/>
  <c r="I61" i="7"/>
  <c r="E62" i="7"/>
  <c r="E58" i="1"/>
  <c r="I57" i="1"/>
  <c r="J56" i="1"/>
  <c r="K56" i="1"/>
  <c r="J56" i="4"/>
  <c r="K56" i="4"/>
  <c r="P55" i="4"/>
  <c r="P57" i="6"/>
  <c r="K58" i="6"/>
  <c r="J58" i="6"/>
  <c r="I59" i="6"/>
  <c r="E60" i="6"/>
  <c r="P56" i="5"/>
  <c r="L56" i="5"/>
  <c r="I58" i="5"/>
  <c r="E59" i="5"/>
  <c r="J57" i="5"/>
  <c r="K57" i="5"/>
  <c r="E58" i="4"/>
  <c r="I57" i="4"/>
  <c r="J59" i="12" l="1"/>
  <c r="P59" i="12" s="1"/>
  <c r="I61" i="12"/>
  <c r="E62" i="12"/>
  <c r="L60" i="12"/>
  <c r="K60" i="12" s="1"/>
  <c r="J59" i="11"/>
  <c r="P59" i="11" s="1"/>
  <c r="I61" i="11"/>
  <c r="E62" i="11"/>
  <c r="L60" i="11"/>
  <c r="K60" i="11" s="1"/>
  <c r="J59" i="9"/>
  <c r="P59" i="9" s="1"/>
  <c r="L60" i="9"/>
  <c r="K60" i="9" s="1"/>
  <c r="I61" i="9"/>
  <c r="E62" i="9"/>
  <c r="J59" i="8"/>
  <c r="P59" i="8" s="1"/>
  <c r="L60" i="8"/>
  <c r="K60" i="8" s="1"/>
  <c r="E62" i="8"/>
  <c r="P60" i="7"/>
  <c r="I62" i="7"/>
  <c r="E63" i="7"/>
  <c r="P56" i="4"/>
  <c r="K57" i="4"/>
  <c r="J57" i="4"/>
  <c r="P57" i="4" s="1"/>
  <c r="J57" i="1"/>
  <c r="K57" i="1"/>
  <c r="E59" i="1"/>
  <c r="I58" i="1"/>
  <c r="P58" i="6"/>
  <c r="I60" i="6"/>
  <c r="E61" i="6"/>
  <c r="K59" i="6"/>
  <c r="J59" i="6"/>
  <c r="L57" i="5"/>
  <c r="P57" i="5"/>
  <c r="I59" i="5"/>
  <c r="E60" i="5"/>
  <c r="K58" i="5"/>
  <c r="J58" i="5"/>
  <c r="I58" i="4"/>
  <c r="E59" i="4"/>
  <c r="J60" i="12" l="1"/>
  <c r="P60" i="12" s="1"/>
  <c r="I62" i="12"/>
  <c r="E63" i="12"/>
  <c r="L61" i="12"/>
  <c r="K61" i="12" s="1"/>
  <c r="J60" i="11"/>
  <c r="P60" i="11" s="1"/>
  <c r="I62" i="11"/>
  <c r="E63" i="11"/>
  <c r="L61" i="11"/>
  <c r="K61" i="11" s="1"/>
  <c r="J60" i="9"/>
  <c r="P60" i="9" s="1"/>
  <c r="I62" i="9"/>
  <c r="E63" i="9"/>
  <c r="L61" i="9"/>
  <c r="K61" i="9" s="1"/>
  <c r="J60" i="8"/>
  <c r="P60" i="8" s="1"/>
  <c r="E63" i="8"/>
  <c r="L61" i="8"/>
  <c r="K61" i="8" s="1"/>
  <c r="P61" i="7"/>
  <c r="I63" i="7"/>
  <c r="E64" i="7"/>
  <c r="J58" i="1"/>
  <c r="K58" i="1"/>
  <c r="E60" i="1"/>
  <c r="I59" i="1"/>
  <c r="K58" i="4"/>
  <c r="J58" i="4"/>
  <c r="P58" i="4" s="1"/>
  <c r="P59" i="6"/>
  <c r="I61" i="6"/>
  <c r="E62" i="6"/>
  <c r="J60" i="6"/>
  <c r="K60" i="6"/>
  <c r="P58" i="5"/>
  <c r="L58" i="5"/>
  <c r="E61" i="5"/>
  <c r="I60" i="5"/>
  <c r="J59" i="5"/>
  <c r="K59" i="5"/>
  <c r="E60" i="4"/>
  <c r="I59" i="4"/>
  <c r="J61" i="12" l="1"/>
  <c r="P61" i="12" s="1"/>
  <c r="I63" i="12"/>
  <c r="E64" i="12"/>
  <c r="L62" i="12"/>
  <c r="K62" i="12" s="1"/>
  <c r="J61" i="11"/>
  <c r="P61" i="11" s="1"/>
  <c r="I63" i="11"/>
  <c r="E64" i="11"/>
  <c r="L62" i="11"/>
  <c r="K62" i="11" s="1"/>
  <c r="J61" i="9"/>
  <c r="P61" i="9" s="1"/>
  <c r="I63" i="9"/>
  <c r="E64" i="9"/>
  <c r="L62" i="9"/>
  <c r="K62" i="9" s="1"/>
  <c r="J61" i="8"/>
  <c r="P61" i="8" s="1"/>
  <c r="E64" i="8"/>
  <c r="L62" i="8"/>
  <c r="K62" i="8" s="1"/>
  <c r="P62" i="7"/>
  <c r="I64" i="7"/>
  <c r="E65" i="7"/>
  <c r="K59" i="1"/>
  <c r="J59" i="1"/>
  <c r="E61" i="1"/>
  <c r="I60" i="1"/>
  <c r="K59" i="4"/>
  <c r="J59" i="4"/>
  <c r="P59" i="4" s="1"/>
  <c r="P60" i="6"/>
  <c r="I62" i="6"/>
  <c r="E63" i="6"/>
  <c r="K61" i="6"/>
  <c r="J61" i="6"/>
  <c r="P59" i="5"/>
  <c r="L59" i="5"/>
  <c r="K60" i="5"/>
  <c r="J60" i="5"/>
  <c r="E62" i="5"/>
  <c r="I61" i="5"/>
  <c r="I60" i="4"/>
  <c r="E61" i="4"/>
  <c r="J62" i="12" l="1"/>
  <c r="P62" i="12" s="1"/>
  <c r="I64" i="12"/>
  <c r="E65" i="12"/>
  <c r="L63" i="12"/>
  <c r="K63" i="12" s="1"/>
  <c r="J62" i="11"/>
  <c r="P62" i="11" s="1"/>
  <c r="I64" i="11"/>
  <c r="E65" i="11"/>
  <c r="L63" i="11"/>
  <c r="K63" i="11" s="1"/>
  <c r="J62" i="9"/>
  <c r="P62" i="9" s="1"/>
  <c r="I64" i="9"/>
  <c r="E65" i="9"/>
  <c r="L63" i="9"/>
  <c r="K63" i="9" s="1"/>
  <c r="J62" i="8"/>
  <c r="P62" i="8" s="1"/>
  <c r="L63" i="8"/>
  <c r="K63" i="8" s="1"/>
  <c r="E65" i="8"/>
  <c r="P63" i="7"/>
  <c r="E66" i="7"/>
  <c r="I65" i="7"/>
  <c r="J60" i="1"/>
  <c r="K60" i="1"/>
  <c r="E62" i="1"/>
  <c r="I61" i="1"/>
  <c r="K60" i="4"/>
  <c r="J60" i="4"/>
  <c r="P60" i="4" s="1"/>
  <c r="P61" i="6"/>
  <c r="K62" i="6"/>
  <c r="J62" i="6"/>
  <c r="E64" i="6"/>
  <c r="I63" i="6"/>
  <c r="P60" i="5"/>
  <c r="L60" i="5"/>
  <c r="J61" i="5"/>
  <c r="K61" i="5"/>
  <c r="E63" i="5"/>
  <c r="I62" i="5"/>
  <c r="E62" i="4"/>
  <c r="I61" i="4"/>
  <c r="J63" i="12" l="1"/>
  <c r="P63" i="12" s="1"/>
  <c r="I65" i="12"/>
  <c r="E66" i="12"/>
  <c r="L64" i="12"/>
  <c r="K64" i="12" s="1"/>
  <c r="J63" i="11"/>
  <c r="P63" i="11" s="1"/>
  <c r="I65" i="11"/>
  <c r="E66" i="11"/>
  <c r="L64" i="11"/>
  <c r="K64" i="11" s="1"/>
  <c r="J63" i="9"/>
  <c r="P63" i="9" s="1"/>
  <c r="I65" i="9"/>
  <c r="E66" i="9"/>
  <c r="L64" i="9"/>
  <c r="K64" i="9" s="1"/>
  <c r="J63" i="8"/>
  <c r="P63" i="8" s="1"/>
  <c r="L64" i="8"/>
  <c r="K64" i="8" s="1"/>
  <c r="E66" i="8"/>
  <c r="P64" i="7"/>
  <c r="E67" i="7"/>
  <c r="I66" i="7"/>
  <c r="J61" i="1"/>
  <c r="K61" i="1"/>
  <c r="E63" i="1"/>
  <c r="I62" i="1"/>
  <c r="K61" i="4"/>
  <c r="J61" i="4"/>
  <c r="P61" i="4" s="1"/>
  <c r="P62" i="6"/>
  <c r="J63" i="6"/>
  <c r="K63" i="6"/>
  <c r="E65" i="6"/>
  <c r="I64" i="6"/>
  <c r="L61" i="5"/>
  <c r="K62" i="5"/>
  <c r="J62" i="5"/>
  <c r="I63" i="5"/>
  <c r="E64" i="5"/>
  <c r="P61" i="5"/>
  <c r="I62" i="4"/>
  <c r="E63" i="4"/>
  <c r="J64" i="12" l="1"/>
  <c r="P64" i="12" s="1"/>
  <c r="I66" i="12"/>
  <c r="E67" i="12"/>
  <c r="L65" i="12"/>
  <c r="K65" i="12" s="1"/>
  <c r="J64" i="11"/>
  <c r="P64" i="11" s="1"/>
  <c r="I66" i="11"/>
  <c r="E67" i="11"/>
  <c r="L65" i="11"/>
  <c r="K65" i="11" s="1"/>
  <c r="J64" i="9"/>
  <c r="P64" i="9" s="1"/>
  <c r="I66" i="9"/>
  <c r="E67" i="9"/>
  <c r="L65" i="9"/>
  <c r="K65" i="9" s="1"/>
  <c r="J64" i="8"/>
  <c r="P64" i="8" s="1"/>
  <c r="L65" i="8"/>
  <c r="K65" i="8" s="1"/>
  <c r="E67" i="8"/>
  <c r="P65" i="7"/>
  <c r="E68" i="7"/>
  <c r="I67" i="7"/>
  <c r="J62" i="1"/>
  <c r="K62" i="1"/>
  <c r="E64" i="1"/>
  <c r="I63" i="1"/>
  <c r="J62" i="4"/>
  <c r="K62" i="4"/>
  <c r="K64" i="6"/>
  <c r="J64" i="6"/>
  <c r="I65" i="6"/>
  <c r="E66" i="6"/>
  <c r="P63" i="6"/>
  <c r="P62" i="5"/>
  <c r="L62" i="5"/>
  <c r="I64" i="5"/>
  <c r="E65" i="5"/>
  <c r="K63" i="5"/>
  <c r="J63" i="5"/>
  <c r="E64" i="4"/>
  <c r="I63" i="4"/>
  <c r="J65" i="12" l="1"/>
  <c r="P65" i="12" s="1"/>
  <c r="I67" i="12"/>
  <c r="E68" i="12"/>
  <c r="L66" i="12"/>
  <c r="K66" i="12" s="1"/>
  <c r="J65" i="11"/>
  <c r="P65" i="11" s="1"/>
  <c r="I67" i="11"/>
  <c r="E68" i="11"/>
  <c r="L66" i="11"/>
  <c r="K66" i="11" s="1"/>
  <c r="J65" i="9"/>
  <c r="P65" i="9" s="1"/>
  <c r="I67" i="9"/>
  <c r="E68" i="9"/>
  <c r="L66" i="9"/>
  <c r="K66" i="9" s="1"/>
  <c r="J65" i="8"/>
  <c r="P65" i="8" s="1"/>
  <c r="E68" i="8"/>
  <c r="L66" i="8"/>
  <c r="K66" i="8" s="1"/>
  <c r="E69" i="7"/>
  <c r="I68" i="7"/>
  <c r="P66" i="7"/>
  <c r="J63" i="1"/>
  <c r="K63" i="1"/>
  <c r="P62" i="4"/>
  <c r="J63" i="4"/>
  <c r="P63" i="4" s="1"/>
  <c r="K63" i="4"/>
  <c r="E65" i="1"/>
  <c r="I64" i="1"/>
  <c r="P64" i="6"/>
  <c r="K65" i="6"/>
  <c r="J65" i="6"/>
  <c r="I66" i="6"/>
  <c r="E67" i="6"/>
  <c r="P63" i="5"/>
  <c r="L63" i="5"/>
  <c r="I65" i="5"/>
  <c r="E66" i="5"/>
  <c r="K64" i="5"/>
  <c r="J64" i="5"/>
  <c r="E65" i="4"/>
  <c r="I64" i="4"/>
  <c r="J66" i="12" l="1"/>
  <c r="P66" i="12" s="1"/>
  <c r="I68" i="12"/>
  <c r="E69" i="12"/>
  <c r="L67" i="12"/>
  <c r="K67" i="12" s="1"/>
  <c r="J66" i="11"/>
  <c r="P66" i="11" s="1"/>
  <c r="I68" i="11"/>
  <c r="E69" i="11"/>
  <c r="L67" i="11"/>
  <c r="K67" i="11" s="1"/>
  <c r="J66" i="9"/>
  <c r="P66" i="9" s="1"/>
  <c r="I68" i="9"/>
  <c r="E69" i="9"/>
  <c r="L67" i="9"/>
  <c r="K67" i="9" s="1"/>
  <c r="J66" i="8"/>
  <c r="P66" i="8" s="1"/>
  <c r="E69" i="8"/>
  <c r="L67" i="8"/>
  <c r="K67" i="8" s="1"/>
  <c r="P67" i="7"/>
  <c r="I69" i="7"/>
  <c r="E70" i="7"/>
  <c r="J64" i="1"/>
  <c r="K64" i="1"/>
  <c r="E66" i="1"/>
  <c r="I65" i="1"/>
  <c r="J64" i="4"/>
  <c r="K64" i="4"/>
  <c r="P65" i="6"/>
  <c r="I67" i="6"/>
  <c r="E68" i="6"/>
  <c r="K66" i="6"/>
  <c r="J66" i="6"/>
  <c r="P64" i="5"/>
  <c r="L64" i="5"/>
  <c r="I66" i="5"/>
  <c r="E67" i="5"/>
  <c r="J65" i="5"/>
  <c r="K65" i="5"/>
  <c r="E66" i="4"/>
  <c r="I65" i="4"/>
  <c r="J67" i="12" l="1"/>
  <c r="P67" i="12" s="1"/>
  <c r="I69" i="12"/>
  <c r="E70" i="12"/>
  <c r="L68" i="12"/>
  <c r="K68" i="12" s="1"/>
  <c r="J67" i="11"/>
  <c r="P67" i="11" s="1"/>
  <c r="I69" i="11"/>
  <c r="E70" i="11"/>
  <c r="L68" i="11"/>
  <c r="K68" i="11" s="1"/>
  <c r="J67" i="9"/>
  <c r="P67" i="9" s="1"/>
  <c r="I69" i="9"/>
  <c r="E70" i="9"/>
  <c r="L68" i="9"/>
  <c r="K68" i="9" s="1"/>
  <c r="J67" i="8"/>
  <c r="P67" i="8" s="1"/>
  <c r="L68" i="8"/>
  <c r="K68" i="8" s="1"/>
  <c r="E70" i="8"/>
  <c r="P68" i="7"/>
  <c r="I70" i="7"/>
  <c r="E71" i="7"/>
  <c r="P64" i="4"/>
  <c r="J65" i="1"/>
  <c r="K65" i="1"/>
  <c r="K65" i="4"/>
  <c r="J65" i="4"/>
  <c r="P65" i="4" s="1"/>
  <c r="E67" i="1"/>
  <c r="I66" i="1"/>
  <c r="P66" i="6"/>
  <c r="I68" i="6"/>
  <c r="E69" i="6"/>
  <c r="J67" i="6"/>
  <c r="K67" i="6"/>
  <c r="P65" i="5"/>
  <c r="L65" i="5"/>
  <c r="E68" i="5"/>
  <c r="I67" i="5"/>
  <c r="K66" i="5"/>
  <c r="J66" i="5"/>
  <c r="I66" i="4"/>
  <c r="E67" i="4"/>
  <c r="J68" i="12" l="1"/>
  <c r="P68" i="12" s="1"/>
  <c r="I70" i="12"/>
  <c r="E71" i="12"/>
  <c r="L69" i="12"/>
  <c r="K69" i="12" s="1"/>
  <c r="J68" i="11"/>
  <c r="P68" i="11" s="1"/>
  <c r="I70" i="11"/>
  <c r="E71" i="11"/>
  <c r="L69" i="11"/>
  <c r="J69" i="11" s="1"/>
  <c r="J68" i="9"/>
  <c r="P68" i="9" s="1"/>
  <c r="I70" i="9"/>
  <c r="E71" i="9"/>
  <c r="L69" i="9"/>
  <c r="J69" i="9" s="1"/>
  <c r="J68" i="8"/>
  <c r="P68" i="8" s="1"/>
  <c r="L69" i="8"/>
  <c r="K69" i="8" s="1"/>
  <c r="E71" i="8"/>
  <c r="P69" i="7"/>
  <c r="E72" i="7"/>
  <c r="I71" i="7"/>
  <c r="J66" i="1"/>
  <c r="K66" i="1"/>
  <c r="E68" i="1"/>
  <c r="I67" i="1"/>
  <c r="K66" i="4"/>
  <c r="J66" i="4"/>
  <c r="P66" i="4" s="1"/>
  <c r="P67" i="6"/>
  <c r="I69" i="6"/>
  <c r="E70" i="6"/>
  <c r="K68" i="6"/>
  <c r="J68" i="6"/>
  <c r="P66" i="5"/>
  <c r="L66" i="5"/>
  <c r="K67" i="5"/>
  <c r="J67" i="5"/>
  <c r="E69" i="5"/>
  <c r="I68" i="5"/>
  <c r="E68" i="4"/>
  <c r="I67" i="4"/>
  <c r="J69" i="12" l="1"/>
  <c r="P69" i="12" s="1"/>
  <c r="L70" i="12"/>
  <c r="K70" i="12" s="1"/>
  <c r="I71" i="12"/>
  <c r="E72" i="12"/>
  <c r="K69" i="11"/>
  <c r="P69" i="11" s="1"/>
  <c r="I71" i="11"/>
  <c r="E72" i="11"/>
  <c r="L70" i="11"/>
  <c r="K70" i="11" s="1"/>
  <c r="K69" i="9"/>
  <c r="P69" i="9" s="1"/>
  <c r="I71" i="9"/>
  <c r="E72" i="9"/>
  <c r="L70" i="9"/>
  <c r="K70" i="9" s="1"/>
  <c r="J69" i="8"/>
  <c r="P69" i="8" s="1"/>
  <c r="E72" i="8"/>
  <c r="L70" i="8"/>
  <c r="K70" i="8" s="1"/>
  <c r="I72" i="7"/>
  <c r="E73" i="7"/>
  <c r="P70" i="7"/>
  <c r="K67" i="1"/>
  <c r="J67" i="1"/>
  <c r="E69" i="1"/>
  <c r="I68" i="1"/>
  <c r="K67" i="4"/>
  <c r="J67" i="4"/>
  <c r="P67" i="4" s="1"/>
  <c r="P68" i="6"/>
  <c r="E71" i="6"/>
  <c r="I70" i="6"/>
  <c r="K69" i="6"/>
  <c r="J69" i="6"/>
  <c r="P67" i="5"/>
  <c r="L67" i="5"/>
  <c r="E70" i="5"/>
  <c r="I69" i="5"/>
  <c r="K68" i="5"/>
  <c r="J68" i="5"/>
  <c r="E69" i="4"/>
  <c r="I68" i="4"/>
  <c r="J70" i="12" l="1"/>
  <c r="P70" i="12" s="1"/>
  <c r="I72" i="12"/>
  <c r="E73" i="12"/>
  <c r="L71" i="12"/>
  <c r="K71" i="12" s="1"/>
  <c r="J70" i="11"/>
  <c r="P70" i="11" s="1"/>
  <c r="I72" i="11"/>
  <c r="E73" i="11"/>
  <c r="L71" i="11"/>
  <c r="K71" i="11" s="1"/>
  <c r="J70" i="9"/>
  <c r="P70" i="9" s="1"/>
  <c r="I72" i="9"/>
  <c r="E73" i="9"/>
  <c r="L71" i="9"/>
  <c r="J71" i="9" s="1"/>
  <c r="J70" i="8"/>
  <c r="P70" i="8" s="1"/>
  <c r="E73" i="8"/>
  <c r="L71" i="8"/>
  <c r="K71" i="8" s="1"/>
  <c r="P71" i="7"/>
  <c r="E74" i="7"/>
  <c r="I73" i="7"/>
  <c r="J68" i="1"/>
  <c r="K68" i="1"/>
  <c r="E70" i="1"/>
  <c r="I69" i="1"/>
  <c r="K68" i="4"/>
  <c r="J68" i="4"/>
  <c r="P68" i="4" s="1"/>
  <c r="P69" i="6"/>
  <c r="K70" i="6"/>
  <c r="J70" i="6"/>
  <c r="E72" i="6"/>
  <c r="I71" i="6"/>
  <c r="P68" i="5"/>
  <c r="L68" i="5"/>
  <c r="K69" i="5"/>
  <c r="J69" i="5"/>
  <c r="E71" i="5"/>
  <c r="I70" i="5"/>
  <c r="E70" i="4"/>
  <c r="I69" i="4"/>
  <c r="J71" i="12" l="1"/>
  <c r="P71" i="12" s="1"/>
  <c r="I73" i="12"/>
  <c r="E74" i="12"/>
  <c r="L72" i="12"/>
  <c r="K72" i="12" s="1"/>
  <c r="J71" i="11"/>
  <c r="P71" i="11" s="1"/>
  <c r="I73" i="11"/>
  <c r="E74" i="11"/>
  <c r="L72" i="11"/>
  <c r="K72" i="11" s="1"/>
  <c r="K71" i="9"/>
  <c r="P71" i="9" s="1"/>
  <c r="I73" i="9"/>
  <c r="E74" i="9"/>
  <c r="L72" i="9"/>
  <c r="K72" i="9" s="1"/>
  <c r="J71" i="8"/>
  <c r="P71" i="8" s="1"/>
  <c r="L72" i="8"/>
  <c r="K72" i="8" s="1"/>
  <c r="E74" i="8"/>
  <c r="P72" i="7"/>
  <c r="E75" i="7"/>
  <c r="I74" i="7"/>
  <c r="K69" i="4"/>
  <c r="J69" i="4"/>
  <c r="P69" i="4" s="1"/>
  <c r="E71" i="1"/>
  <c r="I70" i="1"/>
  <c r="J69" i="1"/>
  <c r="K69" i="1"/>
  <c r="P70" i="6"/>
  <c r="J71" i="6"/>
  <c r="K71" i="6"/>
  <c r="E73" i="6"/>
  <c r="I72" i="6"/>
  <c r="P69" i="5"/>
  <c r="L69" i="5"/>
  <c r="K70" i="5"/>
  <c r="J70" i="5"/>
  <c r="I71" i="5"/>
  <c r="E72" i="5"/>
  <c r="I70" i="4"/>
  <c r="E71" i="4"/>
  <c r="J72" i="12" l="1"/>
  <c r="P72" i="12" s="1"/>
  <c r="I74" i="12"/>
  <c r="E75" i="12"/>
  <c r="L73" i="12"/>
  <c r="K73" i="12" s="1"/>
  <c r="J72" i="11"/>
  <c r="P72" i="11" s="1"/>
  <c r="I74" i="11"/>
  <c r="E75" i="11"/>
  <c r="L73" i="11"/>
  <c r="K73" i="11" s="1"/>
  <c r="J72" i="9"/>
  <c r="P72" i="9" s="1"/>
  <c r="I74" i="9"/>
  <c r="E75" i="9"/>
  <c r="L73" i="9"/>
  <c r="K73" i="9" s="1"/>
  <c r="J72" i="8"/>
  <c r="P72" i="8" s="1"/>
  <c r="E75" i="8"/>
  <c r="L73" i="8"/>
  <c r="K73" i="8" s="1"/>
  <c r="P73" i="7"/>
  <c r="I75" i="7"/>
  <c r="E76" i="7"/>
  <c r="J70" i="1"/>
  <c r="K70" i="1"/>
  <c r="E72" i="1"/>
  <c r="I71" i="1"/>
  <c r="J70" i="4"/>
  <c r="K70" i="4"/>
  <c r="K72" i="6"/>
  <c r="J72" i="6"/>
  <c r="I73" i="6"/>
  <c r="E74" i="6"/>
  <c r="P71" i="6"/>
  <c r="P70" i="5"/>
  <c r="L70" i="5"/>
  <c r="I72" i="5"/>
  <c r="E73" i="5"/>
  <c r="J71" i="5"/>
  <c r="K71" i="5"/>
  <c r="E72" i="4"/>
  <c r="I71" i="4"/>
  <c r="J73" i="12" l="1"/>
  <c r="P73" i="12" s="1"/>
  <c r="I75" i="12"/>
  <c r="E76" i="12"/>
  <c r="L74" i="12"/>
  <c r="K74" i="12" s="1"/>
  <c r="J73" i="11"/>
  <c r="P73" i="11" s="1"/>
  <c r="I75" i="11"/>
  <c r="E76" i="11"/>
  <c r="L74" i="11"/>
  <c r="K74" i="11" s="1"/>
  <c r="J73" i="9"/>
  <c r="P73" i="9" s="1"/>
  <c r="I75" i="9"/>
  <c r="E76" i="9"/>
  <c r="L74" i="9"/>
  <c r="K74" i="9" s="1"/>
  <c r="J73" i="8"/>
  <c r="P73" i="8" s="1"/>
  <c r="E76" i="8"/>
  <c r="L74" i="8"/>
  <c r="K74" i="8" s="1"/>
  <c r="P74" i="7"/>
  <c r="E77" i="7"/>
  <c r="I76" i="7"/>
  <c r="P70" i="4"/>
  <c r="J71" i="4"/>
  <c r="K71" i="4"/>
  <c r="E73" i="1"/>
  <c r="I72" i="1"/>
  <c r="J71" i="1"/>
  <c r="K71" i="1"/>
  <c r="P72" i="6"/>
  <c r="I74" i="6"/>
  <c r="E75" i="6"/>
  <c r="J73" i="6"/>
  <c r="K73" i="6"/>
  <c r="L71" i="5"/>
  <c r="P71" i="5"/>
  <c r="I73" i="5"/>
  <c r="E74" i="5"/>
  <c r="K72" i="5"/>
  <c r="J72" i="5"/>
  <c r="E73" i="4"/>
  <c r="I72" i="4"/>
  <c r="J74" i="12" l="1"/>
  <c r="P74" i="12" s="1"/>
  <c r="I76" i="12"/>
  <c r="E77" i="12"/>
  <c r="L75" i="12"/>
  <c r="K75" i="12" s="1"/>
  <c r="J74" i="11"/>
  <c r="P74" i="11" s="1"/>
  <c r="I76" i="11"/>
  <c r="E77" i="11"/>
  <c r="L75" i="11"/>
  <c r="K75" i="11" s="1"/>
  <c r="J74" i="9"/>
  <c r="P74" i="9" s="1"/>
  <c r="I76" i="9"/>
  <c r="E77" i="9"/>
  <c r="L75" i="9"/>
  <c r="K75" i="9" s="1"/>
  <c r="J74" i="8"/>
  <c r="P74" i="8" s="1"/>
  <c r="L75" i="8"/>
  <c r="K75" i="8" s="1"/>
  <c r="E77" i="8"/>
  <c r="P75" i="7"/>
  <c r="I77" i="7"/>
  <c r="E78" i="7"/>
  <c r="J72" i="1"/>
  <c r="K72" i="1"/>
  <c r="E74" i="1"/>
  <c r="I73" i="1"/>
  <c r="J72" i="4"/>
  <c r="K72" i="4"/>
  <c r="P71" i="4"/>
  <c r="P73" i="6"/>
  <c r="I75" i="6"/>
  <c r="E76" i="6"/>
  <c r="K74" i="6"/>
  <c r="J74" i="6"/>
  <c r="P72" i="5"/>
  <c r="L72" i="5"/>
  <c r="I74" i="5"/>
  <c r="E75" i="5"/>
  <c r="J73" i="5"/>
  <c r="K73" i="5"/>
  <c r="E74" i="4"/>
  <c r="I73" i="4"/>
  <c r="J75" i="12" l="1"/>
  <c r="P75" i="12" s="1"/>
  <c r="I77" i="12"/>
  <c r="E78" i="12"/>
  <c r="L76" i="12"/>
  <c r="K76" i="12" s="1"/>
  <c r="J75" i="11"/>
  <c r="P75" i="11" s="1"/>
  <c r="I77" i="11"/>
  <c r="E78" i="11"/>
  <c r="L76" i="11"/>
  <c r="K76" i="11" s="1"/>
  <c r="J75" i="9"/>
  <c r="P75" i="9" s="1"/>
  <c r="I77" i="9"/>
  <c r="E78" i="9"/>
  <c r="L76" i="9"/>
  <c r="K76" i="9" s="1"/>
  <c r="J75" i="8"/>
  <c r="P75" i="8" s="1"/>
  <c r="L76" i="8"/>
  <c r="K76" i="8" s="1"/>
  <c r="E78" i="8"/>
  <c r="I78" i="7"/>
  <c r="E79" i="7"/>
  <c r="P76" i="7"/>
  <c r="P72" i="4"/>
  <c r="J73" i="1"/>
  <c r="K73" i="1"/>
  <c r="E75" i="1"/>
  <c r="I74" i="1"/>
  <c r="K73" i="4"/>
  <c r="J73" i="4"/>
  <c r="P73" i="4" s="1"/>
  <c r="P74" i="6"/>
  <c r="I76" i="6"/>
  <c r="E77" i="6"/>
  <c r="J75" i="6"/>
  <c r="K75" i="6"/>
  <c r="L73" i="5"/>
  <c r="P73" i="5"/>
  <c r="I75" i="5"/>
  <c r="E76" i="5"/>
  <c r="K74" i="5"/>
  <c r="J74" i="5"/>
  <c r="I74" i="4"/>
  <c r="E75" i="4"/>
  <c r="J76" i="12" l="1"/>
  <c r="P76" i="12" s="1"/>
  <c r="I78" i="12"/>
  <c r="E79" i="12"/>
  <c r="L77" i="12"/>
  <c r="K77" i="12" s="1"/>
  <c r="J76" i="11"/>
  <c r="P76" i="11" s="1"/>
  <c r="I78" i="11"/>
  <c r="E79" i="11"/>
  <c r="L77" i="11"/>
  <c r="K77" i="11" s="1"/>
  <c r="J76" i="9"/>
  <c r="P76" i="9" s="1"/>
  <c r="I78" i="9"/>
  <c r="E79" i="9"/>
  <c r="L77" i="9"/>
  <c r="K77" i="9" s="1"/>
  <c r="J76" i="8"/>
  <c r="P76" i="8" s="1"/>
  <c r="E79" i="8"/>
  <c r="L77" i="8"/>
  <c r="K77" i="8" s="1"/>
  <c r="P77" i="7"/>
  <c r="E80" i="7"/>
  <c r="I79" i="7"/>
  <c r="J74" i="1"/>
  <c r="K74" i="1"/>
  <c r="E76" i="1"/>
  <c r="I75" i="1"/>
  <c r="K74" i="4"/>
  <c r="J74" i="4"/>
  <c r="P74" i="4" s="1"/>
  <c r="P75" i="6"/>
  <c r="I77" i="6"/>
  <c r="E78" i="6"/>
  <c r="K76" i="6"/>
  <c r="J76" i="6"/>
  <c r="P74" i="5"/>
  <c r="L74" i="5"/>
  <c r="E77" i="5"/>
  <c r="I76" i="5"/>
  <c r="K75" i="5"/>
  <c r="J75" i="5"/>
  <c r="I75" i="4"/>
  <c r="E76" i="4"/>
  <c r="J77" i="12" l="1"/>
  <c r="P77" i="12" s="1"/>
  <c r="I79" i="12"/>
  <c r="E80" i="12"/>
  <c r="L78" i="12"/>
  <c r="K78" i="12" s="1"/>
  <c r="J77" i="11"/>
  <c r="P77" i="11" s="1"/>
  <c r="I79" i="11"/>
  <c r="E80" i="11"/>
  <c r="L78" i="11"/>
  <c r="K78" i="11" s="1"/>
  <c r="J77" i="9"/>
  <c r="P77" i="9" s="1"/>
  <c r="I79" i="9"/>
  <c r="E80" i="9"/>
  <c r="L78" i="9"/>
  <c r="J78" i="9" s="1"/>
  <c r="J77" i="8"/>
  <c r="P77" i="8" s="1"/>
  <c r="L78" i="8"/>
  <c r="K78" i="8" s="1"/>
  <c r="E80" i="8"/>
  <c r="P78" i="7"/>
  <c r="I80" i="7"/>
  <c r="E81" i="7"/>
  <c r="J75" i="1"/>
  <c r="K75" i="1"/>
  <c r="E77" i="1"/>
  <c r="I76" i="1"/>
  <c r="K75" i="4"/>
  <c r="J75" i="4"/>
  <c r="P75" i="4" s="1"/>
  <c r="P76" i="6"/>
  <c r="E79" i="6"/>
  <c r="I78" i="6"/>
  <c r="K77" i="6"/>
  <c r="J77" i="6"/>
  <c r="P75" i="5"/>
  <c r="L75" i="5"/>
  <c r="K76" i="5"/>
  <c r="J76" i="5"/>
  <c r="E78" i="5"/>
  <c r="I77" i="5"/>
  <c r="I76" i="4"/>
  <c r="E77" i="4"/>
  <c r="J78" i="12" l="1"/>
  <c r="P78" i="12" s="1"/>
  <c r="I80" i="12"/>
  <c r="E81" i="12"/>
  <c r="L79" i="12"/>
  <c r="K79" i="12" s="1"/>
  <c r="J78" i="11"/>
  <c r="P78" i="11" s="1"/>
  <c r="I80" i="11"/>
  <c r="E81" i="11"/>
  <c r="L79" i="11"/>
  <c r="K79" i="11" s="1"/>
  <c r="K78" i="9"/>
  <c r="P78" i="9" s="1"/>
  <c r="I80" i="9"/>
  <c r="E81" i="9"/>
  <c r="L79" i="9"/>
  <c r="K79" i="9" s="1"/>
  <c r="J78" i="8"/>
  <c r="P78" i="8" s="1"/>
  <c r="E81" i="8"/>
  <c r="L79" i="8"/>
  <c r="K79" i="8" s="1"/>
  <c r="E82" i="7"/>
  <c r="I81" i="7"/>
  <c r="P79" i="7"/>
  <c r="J76" i="1"/>
  <c r="K76" i="1"/>
  <c r="E78" i="1"/>
  <c r="I77" i="1"/>
  <c r="K76" i="4"/>
  <c r="J76" i="4"/>
  <c r="P76" i="4" s="1"/>
  <c r="P77" i="6"/>
  <c r="K78" i="6"/>
  <c r="J78" i="6"/>
  <c r="E80" i="6"/>
  <c r="I79" i="6"/>
  <c r="P76" i="5"/>
  <c r="L76" i="5"/>
  <c r="K77" i="5"/>
  <c r="J77" i="5"/>
  <c r="E79" i="5"/>
  <c r="I78" i="5"/>
  <c r="E78" i="4"/>
  <c r="I77" i="4"/>
  <c r="J79" i="12" l="1"/>
  <c r="P79" i="12" s="1"/>
  <c r="I81" i="12"/>
  <c r="E82" i="12"/>
  <c r="L80" i="12"/>
  <c r="K80" i="12" s="1"/>
  <c r="J79" i="11"/>
  <c r="P79" i="11" s="1"/>
  <c r="I81" i="11"/>
  <c r="E82" i="11"/>
  <c r="L80" i="11"/>
  <c r="K80" i="11" s="1"/>
  <c r="J79" i="9"/>
  <c r="P79" i="9" s="1"/>
  <c r="I81" i="9"/>
  <c r="E82" i="9"/>
  <c r="L80" i="9"/>
  <c r="K80" i="9" s="1"/>
  <c r="E82" i="8"/>
  <c r="J79" i="8"/>
  <c r="P79" i="8" s="1"/>
  <c r="L80" i="8"/>
  <c r="K80" i="8" s="1"/>
  <c r="P80" i="7"/>
  <c r="E83" i="7"/>
  <c r="I82" i="7"/>
  <c r="K77" i="1"/>
  <c r="J77" i="1"/>
  <c r="E79" i="1"/>
  <c r="I78" i="1"/>
  <c r="K77" i="4"/>
  <c r="J77" i="4"/>
  <c r="P77" i="4" s="1"/>
  <c r="P78" i="6"/>
  <c r="E81" i="6"/>
  <c r="I80" i="6"/>
  <c r="J79" i="6"/>
  <c r="K79" i="6"/>
  <c r="P77" i="5"/>
  <c r="L77" i="5"/>
  <c r="K78" i="5"/>
  <c r="J78" i="5"/>
  <c r="E80" i="5"/>
  <c r="I79" i="5"/>
  <c r="I78" i="4"/>
  <c r="E79" i="4"/>
  <c r="J80" i="12" l="1"/>
  <c r="P80" i="12" s="1"/>
  <c r="I82" i="12"/>
  <c r="E83" i="12"/>
  <c r="L81" i="12"/>
  <c r="K81" i="12" s="1"/>
  <c r="J80" i="11"/>
  <c r="P80" i="11" s="1"/>
  <c r="I82" i="11"/>
  <c r="E83" i="11"/>
  <c r="L81" i="11"/>
  <c r="K81" i="11" s="1"/>
  <c r="J80" i="9"/>
  <c r="P80" i="9" s="1"/>
  <c r="L81" i="9"/>
  <c r="K81" i="9" s="1"/>
  <c r="I82" i="9"/>
  <c r="E83" i="9"/>
  <c r="J80" i="8"/>
  <c r="P80" i="8" s="1"/>
  <c r="E83" i="8"/>
  <c r="L81" i="8"/>
  <c r="K81" i="8" s="1"/>
  <c r="P81" i="7"/>
  <c r="E84" i="7"/>
  <c r="I83" i="7"/>
  <c r="J78" i="1"/>
  <c r="K78" i="1"/>
  <c r="E80" i="1"/>
  <c r="I79" i="1"/>
  <c r="J78" i="4"/>
  <c r="K78" i="4"/>
  <c r="P79" i="6"/>
  <c r="K80" i="6"/>
  <c r="J80" i="6"/>
  <c r="I81" i="6"/>
  <c r="E82" i="6"/>
  <c r="P78" i="5"/>
  <c r="L78" i="5"/>
  <c r="J79" i="5"/>
  <c r="K79" i="5"/>
  <c r="I80" i="5"/>
  <c r="E81" i="5"/>
  <c r="I79" i="4"/>
  <c r="E80" i="4"/>
  <c r="J81" i="12" l="1"/>
  <c r="P81" i="12" s="1"/>
  <c r="I83" i="12"/>
  <c r="E84" i="12"/>
  <c r="L82" i="12"/>
  <c r="K82" i="12" s="1"/>
  <c r="J81" i="11"/>
  <c r="P81" i="11" s="1"/>
  <c r="I83" i="11"/>
  <c r="E84" i="11"/>
  <c r="L82" i="11"/>
  <c r="K82" i="11" s="1"/>
  <c r="J81" i="9"/>
  <c r="P81" i="9" s="1"/>
  <c r="I83" i="9"/>
  <c r="E84" i="9"/>
  <c r="L82" i="9"/>
  <c r="K82" i="9" s="1"/>
  <c r="J81" i="8"/>
  <c r="P81" i="8" s="1"/>
  <c r="E84" i="8"/>
  <c r="L82" i="8"/>
  <c r="K82" i="8" s="1"/>
  <c r="E85" i="7"/>
  <c r="I84" i="7"/>
  <c r="P82" i="7"/>
  <c r="J79" i="1"/>
  <c r="K79" i="1"/>
  <c r="E81" i="1"/>
  <c r="I80" i="1"/>
  <c r="P78" i="4"/>
  <c r="J79" i="4"/>
  <c r="K79" i="4"/>
  <c r="P80" i="6"/>
  <c r="I82" i="6"/>
  <c r="E83" i="6"/>
  <c r="J81" i="6"/>
  <c r="K81" i="6"/>
  <c r="L79" i="5"/>
  <c r="I81" i="5"/>
  <c r="E82" i="5"/>
  <c r="K80" i="5"/>
  <c r="J80" i="5"/>
  <c r="P79" i="5"/>
  <c r="I80" i="4"/>
  <c r="E81" i="4"/>
  <c r="J82" i="12" l="1"/>
  <c r="P82" i="12" s="1"/>
  <c r="I84" i="12"/>
  <c r="E85" i="12"/>
  <c r="L83" i="12"/>
  <c r="K83" i="12" s="1"/>
  <c r="J82" i="11"/>
  <c r="P82" i="11" s="1"/>
  <c r="I84" i="11"/>
  <c r="E85" i="11"/>
  <c r="L83" i="11"/>
  <c r="K83" i="11" s="1"/>
  <c r="J82" i="9"/>
  <c r="P82" i="9" s="1"/>
  <c r="I84" i="9"/>
  <c r="E85" i="9"/>
  <c r="L83" i="9"/>
  <c r="K83" i="9" s="1"/>
  <c r="J82" i="8"/>
  <c r="P82" i="8" s="1"/>
  <c r="E85" i="8"/>
  <c r="L83" i="8"/>
  <c r="K83" i="8" s="1"/>
  <c r="I85" i="7"/>
  <c r="E86" i="7"/>
  <c r="P83" i="7"/>
  <c r="P79" i="4"/>
  <c r="J80" i="1"/>
  <c r="K80" i="1"/>
  <c r="E82" i="1"/>
  <c r="I81" i="1"/>
  <c r="J80" i="4"/>
  <c r="K80" i="4"/>
  <c r="P81" i="6"/>
  <c r="I83" i="6"/>
  <c r="E84" i="6"/>
  <c r="K82" i="6"/>
  <c r="J82" i="6"/>
  <c r="P80" i="5"/>
  <c r="L80" i="5"/>
  <c r="I82" i="5"/>
  <c r="E83" i="5"/>
  <c r="J81" i="5"/>
  <c r="K81" i="5"/>
  <c r="I81" i="4"/>
  <c r="E82" i="4"/>
  <c r="J83" i="12" l="1"/>
  <c r="P83" i="12" s="1"/>
  <c r="I85" i="12"/>
  <c r="E86" i="12"/>
  <c r="L84" i="12"/>
  <c r="K84" i="12" s="1"/>
  <c r="J83" i="11"/>
  <c r="P83" i="11" s="1"/>
  <c r="I85" i="11"/>
  <c r="E86" i="11"/>
  <c r="L84" i="11"/>
  <c r="K84" i="11" s="1"/>
  <c r="J83" i="9"/>
  <c r="P83" i="9" s="1"/>
  <c r="I85" i="9"/>
  <c r="E86" i="9"/>
  <c r="L84" i="9"/>
  <c r="K84" i="9" s="1"/>
  <c r="J83" i="8"/>
  <c r="P83" i="8" s="1"/>
  <c r="E86" i="8"/>
  <c r="L84" i="8"/>
  <c r="K84" i="8" s="1"/>
  <c r="I86" i="7"/>
  <c r="E87" i="7"/>
  <c r="P84" i="7"/>
  <c r="J81" i="1"/>
  <c r="K81" i="1"/>
  <c r="E83" i="1"/>
  <c r="I82" i="1"/>
  <c r="P80" i="4"/>
  <c r="K81" i="4"/>
  <c r="J81" i="4"/>
  <c r="P81" i="4" s="1"/>
  <c r="P82" i="6"/>
  <c r="I84" i="6"/>
  <c r="E85" i="6"/>
  <c r="J83" i="6"/>
  <c r="K83" i="6"/>
  <c r="L81" i="5"/>
  <c r="P81" i="5"/>
  <c r="I83" i="5"/>
  <c r="E84" i="5"/>
  <c r="K82" i="5"/>
  <c r="J82" i="5"/>
  <c r="I82" i="4"/>
  <c r="E83" i="4"/>
  <c r="J84" i="12" l="1"/>
  <c r="P84" i="12" s="1"/>
  <c r="I86" i="12"/>
  <c r="E87" i="12"/>
  <c r="L85" i="12"/>
  <c r="K85" i="12" s="1"/>
  <c r="J84" i="11"/>
  <c r="P84" i="11" s="1"/>
  <c r="I86" i="11"/>
  <c r="E87" i="11"/>
  <c r="L85" i="11"/>
  <c r="K85" i="11" s="1"/>
  <c r="J84" i="9"/>
  <c r="P84" i="9" s="1"/>
  <c r="I86" i="9"/>
  <c r="E87" i="9"/>
  <c r="L85" i="9"/>
  <c r="K85" i="9" s="1"/>
  <c r="J84" i="8"/>
  <c r="P84" i="8" s="1"/>
  <c r="E87" i="8"/>
  <c r="L85" i="8"/>
  <c r="K85" i="8" s="1"/>
  <c r="P85" i="7"/>
  <c r="E88" i="7"/>
  <c r="I87" i="7"/>
  <c r="J82" i="1"/>
  <c r="K82" i="1"/>
  <c r="E84" i="1"/>
  <c r="I83" i="1"/>
  <c r="K82" i="4"/>
  <c r="J82" i="4"/>
  <c r="P82" i="4" s="1"/>
  <c r="P83" i="6"/>
  <c r="I85" i="6"/>
  <c r="E86" i="6"/>
  <c r="K84" i="6"/>
  <c r="J84" i="6"/>
  <c r="P82" i="5"/>
  <c r="L82" i="5"/>
  <c r="E85" i="5"/>
  <c r="I84" i="5"/>
  <c r="K83" i="5"/>
  <c r="J83" i="5"/>
  <c r="I83" i="4"/>
  <c r="E84" i="4"/>
  <c r="J85" i="12" l="1"/>
  <c r="P85" i="12" s="1"/>
  <c r="I87" i="12"/>
  <c r="E88" i="12"/>
  <c r="L86" i="12"/>
  <c r="K86" i="12" s="1"/>
  <c r="J85" i="11"/>
  <c r="P85" i="11" s="1"/>
  <c r="I87" i="11"/>
  <c r="E88" i="11"/>
  <c r="L86" i="11"/>
  <c r="K86" i="11" s="1"/>
  <c r="J85" i="9"/>
  <c r="P85" i="9" s="1"/>
  <c r="I87" i="9"/>
  <c r="E88" i="9"/>
  <c r="L86" i="9"/>
  <c r="K86" i="9" s="1"/>
  <c r="J85" i="8"/>
  <c r="P85" i="8" s="1"/>
  <c r="L86" i="8"/>
  <c r="K86" i="8" s="1"/>
  <c r="E88" i="8"/>
  <c r="P86" i="7"/>
  <c r="I88" i="7"/>
  <c r="E89" i="7"/>
  <c r="K83" i="1"/>
  <c r="J83" i="1"/>
  <c r="E85" i="1"/>
  <c r="I84" i="1"/>
  <c r="K83" i="4"/>
  <c r="J83" i="4"/>
  <c r="P83" i="4" s="1"/>
  <c r="P84" i="6"/>
  <c r="E87" i="6"/>
  <c r="I86" i="6"/>
  <c r="K85" i="6"/>
  <c r="J85" i="6"/>
  <c r="P83" i="5"/>
  <c r="L83" i="5"/>
  <c r="K84" i="5"/>
  <c r="J84" i="5"/>
  <c r="E86" i="5"/>
  <c r="I85" i="5"/>
  <c r="I84" i="4"/>
  <c r="E85" i="4"/>
  <c r="J86" i="12" l="1"/>
  <c r="P86" i="12" s="1"/>
  <c r="I88" i="12"/>
  <c r="E89" i="12"/>
  <c r="L87" i="12"/>
  <c r="K87" i="12" s="1"/>
  <c r="J86" i="11"/>
  <c r="P86" i="11" s="1"/>
  <c r="I88" i="11"/>
  <c r="E89" i="11"/>
  <c r="L87" i="11"/>
  <c r="K87" i="11" s="1"/>
  <c r="J86" i="9"/>
  <c r="P86" i="9" s="1"/>
  <c r="I88" i="9"/>
  <c r="E89" i="9"/>
  <c r="L87" i="9"/>
  <c r="K87" i="9" s="1"/>
  <c r="J86" i="8"/>
  <c r="P86" i="8" s="1"/>
  <c r="E89" i="8"/>
  <c r="L87" i="8"/>
  <c r="K87" i="8" s="1"/>
  <c r="E90" i="7"/>
  <c r="I89" i="7"/>
  <c r="P87" i="7"/>
  <c r="J84" i="1"/>
  <c r="K84" i="1"/>
  <c r="E86" i="1"/>
  <c r="I85" i="1"/>
  <c r="K84" i="4"/>
  <c r="J84" i="4"/>
  <c r="P84" i="4" s="1"/>
  <c r="P85" i="6"/>
  <c r="K86" i="6"/>
  <c r="J86" i="6"/>
  <c r="E88" i="6"/>
  <c r="I87" i="6"/>
  <c r="P84" i="5"/>
  <c r="L84" i="5"/>
  <c r="K85" i="5"/>
  <c r="J85" i="5"/>
  <c r="E87" i="5"/>
  <c r="I86" i="5"/>
  <c r="E86" i="4"/>
  <c r="I85" i="4"/>
  <c r="J87" i="12" l="1"/>
  <c r="P87" i="12" s="1"/>
  <c r="I89" i="12"/>
  <c r="E90" i="12"/>
  <c r="L88" i="12"/>
  <c r="K88" i="12" s="1"/>
  <c r="J87" i="11"/>
  <c r="P87" i="11" s="1"/>
  <c r="I89" i="11"/>
  <c r="E90" i="11"/>
  <c r="L88" i="11"/>
  <c r="K88" i="11" s="1"/>
  <c r="J87" i="9"/>
  <c r="P87" i="9" s="1"/>
  <c r="I89" i="9"/>
  <c r="E90" i="9"/>
  <c r="L88" i="9"/>
  <c r="K88" i="9" s="1"/>
  <c r="J87" i="8"/>
  <c r="P87" i="8" s="1"/>
  <c r="E90" i="8"/>
  <c r="L88" i="8"/>
  <c r="K88" i="8" s="1"/>
  <c r="P88" i="7"/>
  <c r="E91" i="7"/>
  <c r="I90" i="7"/>
  <c r="K85" i="1"/>
  <c r="J85" i="1"/>
  <c r="K85" i="4"/>
  <c r="J85" i="4"/>
  <c r="P85" i="4" s="1"/>
  <c r="E87" i="1"/>
  <c r="I86" i="1"/>
  <c r="P86" i="6"/>
  <c r="E89" i="6"/>
  <c r="I88" i="6"/>
  <c r="J87" i="6"/>
  <c r="K87" i="6"/>
  <c r="P85" i="5"/>
  <c r="L85" i="5"/>
  <c r="K86" i="5"/>
  <c r="J86" i="5"/>
  <c r="E88" i="5"/>
  <c r="I87" i="5"/>
  <c r="I86" i="4"/>
  <c r="E87" i="4"/>
  <c r="J88" i="12" l="1"/>
  <c r="P88" i="12" s="1"/>
  <c r="I90" i="12"/>
  <c r="E91" i="12"/>
  <c r="L89" i="12"/>
  <c r="K89" i="12" s="1"/>
  <c r="J88" i="11"/>
  <c r="P88" i="11" s="1"/>
  <c r="I90" i="11"/>
  <c r="E91" i="11"/>
  <c r="L89" i="11"/>
  <c r="K89" i="11" s="1"/>
  <c r="J88" i="9"/>
  <c r="P88" i="9" s="1"/>
  <c r="I90" i="9"/>
  <c r="E91" i="9"/>
  <c r="L89" i="9"/>
  <c r="K89" i="9" s="1"/>
  <c r="J88" i="8"/>
  <c r="P88" i="8" s="1"/>
  <c r="E91" i="8"/>
  <c r="L89" i="8"/>
  <c r="K89" i="8" s="1"/>
  <c r="P89" i="7"/>
  <c r="E92" i="7"/>
  <c r="I91" i="7"/>
  <c r="K86" i="1"/>
  <c r="J86" i="1"/>
  <c r="E88" i="1"/>
  <c r="I87" i="1"/>
  <c r="J86" i="4"/>
  <c r="K86" i="4"/>
  <c r="P87" i="6"/>
  <c r="K88" i="6"/>
  <c r="J88" i="6"/>
  <c r="I89" i="6"/>
  <c r="E90" i="6"/>
  <c r="P86" i="5"/>
  <c r="L86" i="5"/>
  <c r="K87" i="5"/>
  <c r="J87" i="5"/>
  <c r="I88" i="5"/>
  <c r="E89" i="5"/>
  <c r="I87" i="4"/>
  <c r="E88" i="4"/>
  <c r="J89" i="12" l="1"/>
  <c r="P89" i="12" s="1"/>
  <c r="I91" i="12"/>
  <c r="E92" i="12"/>
  <c r="L90" i="12"/>
  <c r="K90" i="12" s="1"/>
  <c r="J89" i="11"/>
  <c r="P89" i="11" s="1"/>
  <c r="I91" i="11"/>
  <c r="E92" i="11"/>
  <c r="L90" i="11"/>
  <c r="K90" i="11" s="1"/>
  <c r="J89" i="9"/>
  <c r="P89" i="9" s="1"/>
  <c r="I91" i="9"/>
  <c r="E92" i="9"/>
  <c r="L90" i="9"/>
  <c r="K90" i="9" s="1"/>
  <c r="J89" i="8"/>
  <c r="P89" i="8" s="1"/>
  <c r="L90" i="8"/>
  <c r="K90" i="8" s="1"/>
  <c r="E92" i="8"/>
  <c r="E93" i="7"/>
  <c r="I92" i="7"/>
  <c r="P90" i="7"/>
  <c r="J87" i="1"/>
  <c r="K87" i="1"/>
  <c r="E89" i="1"/>
  <c r="I88" i="1"/>
  <c r="P86" i="4"/>
  <c r="J87" i="4"/>
  <c r="P87" i="4" s="1"/>
  <c r="K87" i="4"/>
  <c r="P88" i="6"/>
  <c r="J89" i="6"/>
  <c r="K89" i="6"/>
  <c r="I90" i="6"/>
  <c r="E91" i="6"/>
  <c r="P87" i="5"/>
  <c r="L87" i="5"/>
  <c r="I89" i="5"/>
  <c r="E90" i="5"/>
  <c r="J88" i="5"/>
  <c r="K88" i="5"/>
  <c r="I88" i="4"/>
  <c r="E89" i="4"/>
  <c r="J90" i="12" l="1"/>
  <c r="P90" i="12" s="1"/>
  <c r="I92" i="12"/>
  <c r="E93" i="12"/>
  <c r="L91" i="12"/>
  <c r="K91" i="12" s="1"/>
  <c r="J90" i="11"/>
  <c r="P90" i="11" s="1"/>
  <c r="I92" i="11"/>
  <c r="E93" i="11"/>
  <c r="L91" i="11"/>
  <c r="K91" i="11" s="1"/>
  <c r="J90" i="9"/>
  <c r="P90" i="9" s="1"/>
  <c r="I92" i="9"/>
  <c r="E93" i="9"/>
  <c r="L91" i="9"/>
  <c r="K91" i="9" s="1"/>
  <c r="J90" i="8"/>
  <c r="P90" i="8" s="1"/>
  <c r="E93" i="8"/>
  <c r="L91" i="8"/>
  <c r="K91" i="8" s="1"/>
  <c r="I93" i="7"/>
  <c r="E94" i="7"/>
  <c r="P91" i="7"/>
  <c r="J88" i="1"/>
  <c r="K88" i="1"/>
  <c r="J88" i="4"/>
  <c r="K88" i="4"/>
  <c r="E90" i="1"/>
  <c r="I89" i="1"/>
  <c r="I91" i="6"/>
  <c r="E92" i="6"/>
  <c r="K90" i="6"/>
  <c r="J90" i="6"/>
  <c r="P89" i="6"/>
  <c r="L88" i="5"/>
  <c r="P88" i="5"/>
  <c r="I90" i="5"/>
  <c r="E91" i="5"/>
  <c r="J89" i="5"/>
  <c r="K89" i="5"/>
  <c r="I89" i="4"/>
  <c r="E90" i="4"/>
  <c r="J91" i="12" l="1"/>
  <c r="P91" i="12" s="1"/>
  <c r="I93" i="12"/>
  <c r="E94" i="12"/>
  <c r="L92" i="12"/>
  <c r="K92" i="12" s="1"/>
  <c r="J91" i="11"/>
  <c r="P91" i="11" s="1"/>
  <c r="I93" i="11"/>
  <c r="E94" i="11"/>
  <c r="L92" i="11"/>
  <c r="K92" i="11" s="1"/>
  <c r="J91" i="9"/>
  <c r="P91" i="9" s="1"/>
  <c r="I93" i="9"/>
  <c r="E94" i="9"/>
  <c r="L92" i="9"/>
  <c r="J92" i="9" s="1"/>
  <c r="J91" i="8"/>
  <c r="P91" i="8" s="1"/>
  <c r="E94" i="8"/>
  <c r="L92" i="8"/>
  <c r="K92" i="8" s="1"/>
  <c r="P92" i="7"/>
  <c r="I94" i="7"/>
  <c r="E95" i="7"/>
  <c r="E91" i="1"/>
  <c r="I90" i="1"/>
  <c r="J89" i="1"/>
  <c r="K89" i="1"/>
  <c r="P88" i="4"/>
  <c r="K89" i="4"/>
  <c r="J89" i="4"/>
  <c r="P90" i="6"/>
  <c r="I92" i="6"/>
  <c r="E93" i="6"/>
  <c r="J91" i="6"/>
  <c r="K91" i="6"/>
  <c r="P89" i="5"/>
  <c r="L89" i="5"/>
  <c r="I91" i="5"/>
  <c r="E92" i="5"/>
  <c r="K90" i="5"/>
  <c r="J90" i="5"/>
  <c r="I90" i="4"/>
  <c r="E91" i="4"/>
  <c r="J92" i="12" l="1"/>
  <c r="P92" i="12" s="1"/>
  <c r="I94" i="12"/>
  <c r="E95" i="12"/>
  <c r="L93" i="12"/>
  <c r="K93" i="12" s="1"/>
  <c r="J92" i="11"/>
  <c r="P92" i="11" s="1"/>
  <c r="I94" i="11"/>
  <c r="E95" i="11"/>
  <c r="L93" i="11"/>
  <c r="K93" i="11" s="1"/>
  <c r="K92" i="9"/>
  <c r="P92" i="9" s="1"/>
  <c r="I94" i="9"/>
  <c r="E95" i="9"/>
  <c r="L93" i="9"/>
  <c r="K93" i="9" s="1"/>
  <c r="J92" i="8"/>
  <c r="P92" i="8" s="1"/>
  <c r="L93" i="8"/>
  <c r="K93" i="8" s="1"/>
  <c r="E95" i="8"/>
  <c r="P93" i="7"/>
  <c r="I95" i="7"/>
  <c r="E96" i="7"/>
  <c r="P89" i="4"/>
  <c r="J90" i="1"/>
  <c r="K90" i="1"/>
  <c r="K90" i="4"/>
  <c r="J90" i="4"/>
  <c r="P90" i="4" s="1"/>
  <c r="E92" i="1"/>
  <c r="I91" i="1"/>
  <c r="P91" i="6"/>
  <c r="I93" i="6"/>
  <c r="E94" i="6"/>
  <c r="K92" i="6"/>
  <c r="J92" i="6"/>
  <c r="P90" i="5"/>
  <c r="L90" i="5"/>
  <c r="E93" i="5"/>
  <c r="I92" i="5"/>
  <c r="K91" i="5"/>
  <c r="J91" i="5"/>
  <c r="I91" i="4"/>
  <c r="E92" i="4"/>
  <c r="J93" i="12" l="1"/>
  <c r="P93" i="12" s="1"/>
  <c r="I95" i="12"/>
  <c r="E96" i="12"/>
  <c r="L94" i="12"/>
  <c r="K94" i="12" s="1"/>
  <c r="J93" i="11"/>
  <c r="P93" i="11" s="1"/>
  <c r="I95" i="11"/>
  <c r="E96" i="11"/>
  <c r="L94" i="11"/>
  <c r="K94" i="11" s="1"/>
  <c r="J93" i="9"/>
  <c r="P93" i="9" s="1"/>
  <c r="I95" i="9"/>
  <c r="E96" i="9"/>
  <c r="L94" i="9"/>
  <c r="K94" i="9" s="1"/>
  <c r="J93" i="8"/>
  <c r="P93" i="8" s="1"/>
  <c r="L94" i="8"/>
  <c r="K94" i="8" s="1"/>
  <c r="E96" i="8"/>
  <c r="P94" i="7"/>
  <c r="I96" i="7"/>
  <c r="E97" i="7"/>
  <c r="K91" i="1"/>
  <c r="J91" i="1"/>
  <c r="E93" i="1"/>
  <c r="I92" i="1"/>
  <c r="K91" i="4"/>
  <c r="J91" i="4"/>
  <c r="P91" i="4" s="1"/>
  <c r="P92" i="6"/>
  <c r="E95" i="6"/>
  <c r="I94" i="6"/>
  <c r="K93" i="6"/>
  <c r="J93" i="6"/>
  <c r="P91" i="5"/>
  <c r="L91" i="5"/>
  <c r="K92" i="5"/>
  <c r="J92" i="5"/>
  <c r="E94" i="5"/>
  <c r="I93" i="5"/>
  <c r="I92" i="4"/>
  <c r="E93" i="4"/>
  <c r="J94" i="12" l="1"/>
  <c r="P94" i="12" s="1"/>
  <c r="I96" i="12"/>
  <c r="E97" i="12"/>
  <c r="L95" i="12"/>
  <c r="K95" i="12" s="1"/>
  <c r="J94" i="11"/>
  <c r="P94" i="11" s="1"/>
  <c r="I96" i="11"/>
  <c r="E97" i="11"/>
  <c r="L95" i="11"/>
  <c r="K95" i="11" s="1"/>
  <c r="J94" i="9"/>
  <c r="P94" i="9" s="1"/>
  <c r="I96" i="9"/>
  <c r="E97" i="9"/>
  <c r="L95" i="9"/>
  <c r="K95" i="9" s="1"/>
  <c r="J94" i="8"/>
  <c r="P94" i="8" s="1"/>
  <c r="E97" i="8"/>
  <c r="L95" i="8"/>
  <c r="K95" i="8" s="1"/>
  <c r="P95" i="7"/>
  <c r="E98" i="7"/>
  <c r="I97" i="7"/>
  <c r="J92" i="1"/>
  <c r="K92" i="1"/>
  <c r="E94" i="1"/>
  <c r="I93" i="1"/>
  <c r="K92" i="4"/>
  <c r="J92" i="4"/>
  <c r="P92" i="4" s="1"/>
  <c r="P93" i="6"/>
  <c r="K94" i="6"/>
  <c r="J94" i="6"/>
  <c r="E96" i="6"/>
  <c r="I95" i="6"/>
  <c r="P92" i="5"/>
  <c r="L92" i="5"/>
  <c r="K93" i="5"/>
  <c r="J93" i="5"/>
  <c r="E95" i="5"/>
  <c r="I94" i="5"/>
  <c r="E94" i="4"/>
  <c r="I93" i="4"/>
  <c r="J95" i="12" l="1"/>
  <c r="P95" i="12" s="1"/>
  <c r="I97" i="12"/>
  <c r="E98" i="12"/>
  <c r="L96" i="12"/>
  <c r="K96" i="12" s="1"/>
  <c r="J95" i="11"/>
  <c r="P95" i="11" s="1"/>
  <c r="I97" i="11"/>
  <c r="E98" i="11"/>
  <c r="L96" i="11"/>
  <c r="K96" i="11" s="1"/>
  <c r="J95" i="9"/>
  <c r="P95" i="9" s="1"/>
  <c r="I97" i="9"/>
  <c r="E98" i="9"/>
  <c r="L96" i="9"/>
  <c r="J96" i="9" s="1"/>
  <c r="J95" i="8"/>
  <c r="P95" i="8" s="1"/>
  <c r="E98" i="8"/>
  <c r="L96" i="8"/>
  <c r="K96" i="8" s="1"/>
  <c r="P96" i="7"/>
  <c r="E99" i="7"/>
  <c r="I98" i="7"/>
  <c r="J93" i="1"/>
  <c r="K93" i="1"/>
  <c r="K93" i="4"/>
  <c r="J93" i="4"/>
  <c r="P93" i="4" s="1"/>
  <c r="E95" i="1"/>
  <c r="I94" i="1"/>
  <c r="P94" i="6"/>
  <c r="E97" i="6"/>
  <c r="I96" i="6"/>
  <c r="J95" i="6"/>
  <c r="K95" i="6"/>
  <c r="P93" i="5"/>
  <c r="L93" i="5"/>
  <c r="J94" i="5"/>
  <c r="K94" i="5"/>
  <c r="E96" i="5"/>
  <c r="I95" i="5"/>
  <c r="I94" i="4"/>
  <c r="E95" i="4"/>
  <c r="J96" i="12" l="1"/>
  <c r="P96" i="12" s="1"/>
  <c r="E99" i="12"/>
  <c r="I98" i="12"/>
  <c r="L97" i="12"/>
  <c r="K97" i="12" s="1"/>
  <c r="J96" i="11"/>
  <c r="P96" i="11" s="1"/>
  <c r="I98" i="11"/>
  <c r="E99" i="11"/>
  <c r="L97" i="11"/>
  <c r="K97" i="11" s="1"/>
  <c r="K96" i="9"/>
  <c r="P96" i="9" s="1"/>
  <c r="I98" i="9"/>
  <c r="E99" i="9"/>
  <c r="L97" i="9"/>
  <c r="K97" i="9" s="1"/>
  <c r="J96" i="8"/>
  <c r="P96" i="8" s="1"/>
  <c r="L97" i="8"/>
  <c r="K97" i="8" s="1"/>
  <c r="E99" i="8"/>
  <c r="P97" i="7"/>
  <c r="E100" i="7"/>
  <c r="I99" i="7"/>
  <c r="J94" i="1"/>
  <c r="K94" i="1"/>
  <c r="E96" i="1"/>
  <c r="I95" i="1"/>
  <c r="J94" i="4"/>
  <c r="P94" i="4" s="1"/>
  <c r="K94" i="4"/>
  <c r="P95" i="6"/>
  <c r="K96" i="6"/>
  <c r="J96" i="6"/>
  <c r="I97" i="6"/>
  <c r="E98" i="6"/>
  <c r="L94" i="5"/>
  <c r="K95" i="5"/>
  <c r="J95" i="5"/>
  <c r="I96" i="5"/>
  <c r="E97" i="5"/>
  <c r="P94" i="5"/>
  <c r="I95" i="4"/>
  <c r="E96" i="4"/>
  <c r="J97" i="12" l="1"/>
  <c r="P97" i="12" s="1"/>
  <c r="L98" i="12"/>
  <c r="K98" i="12" s="1"/>
  <c r="E100" i="12"/>
  <c r="I99" i="12"/>
  <c r="J97" i="11"/>
  <c r="P97" i="11" s="1"/>
  <c r="I99" i="11"/>
  <c r="E100" i="11"/>
  <c r="L98" i="11"/>
  <c r="K98" i="11" s="1"/>
  <c r="J97" i="9"/>
  <c r="P97" i="9" s="1"/>
  <c r="I99" i="9"/>
  <c r="E100" i="9"/>
  <c r="L98" i="9"/>
  <c r="K98" i="9" s="1"/>
  <c r="J97" i="8"/>
  <c r="P97" i="8" s="1"/>
  <c r="E100" i="8"/>
  <c r="L98" i="8"/>
  <c r="K98" i="8" s="1"/>
  <c r="I100" i="7"/>
  <c r="E101" i="7"/>
  <c r="P98" i="7"/>
  <c r="J95" i="1"/>
  <c r="K95" i="1"/>
  <c r="E97" i="1"/>
  <c r="I96" i="1"/>
  <c r="J95" i="4"/>
  <c r="K95" i="4"/>
  <c r="P96" i="6"/>
  <c r="J97" i="6"/>
  <c r="K97" i="6"/>
  <c r="I98" i="6"/>
  <c r="E99" i="6"/>
  <c r="P95" i="5"/>
  <c r="L95" i="5"/>
  <c r="I97" i="5"/>
  <c r="E98" i="5"/>
  <c r="K96" i="5"/>
  <c r="J96" i="5"/>
  <c r="I96" i="4"/>
  <c r="E97" i="4"/>
  <c r="J98" i="12" l="1"/>
  <c r="P98" i="12" s="1"/>
  <c r="L99" i="12"/>
  <c r="K99" i="12" s="1"/>
  <c r="E101" i="12"/>
  <c r="I100" i="12"/>
  <c r="J98" i="11"/>
  <c r="P98" i="11" s="1"/>
  <c r="I100" i="11"/>
  <c r="E101" i="11"/>
  <c r="L99" i="11"/>
  <c r="K99" i="11" s="1"/>
  <c r="J98" i="9"/>
  <c r="P98" i="9" s="1"/>
  <c r="I100" i="9"/>
  <c r="E101" i="9"/>
  <c r="L99" i="9"/>
  <c r="K99" i="9" s="1"/>
  <c r="J98" i="8"/>
  <c r="P98" i="8" s="1"/>
  <c r="E101" i="8"/>
  <c r="L99" i="8"/>
  <c r="K99" i="8" s="1"/>
  <c r="I101" i="7"/>
  <c r="E102" i="7"/>
  <c r="P99" i="7"/>
  <c r="J96" i="1"/>
  <c r="K96" i="1"/>
  <c r="E98" i="1"/>
  <c r="I97" i="1"/>
  <c r="P95" i="4"/>
  <c r="J96" i="4"/>
  <c r="P96" i="4" s="1"/>
  <c r="K96" i="4"/>
  <c r="I99" i="6"/>
  <c r="E100" i="6"/>
  <c r="K98" i="6"/>
  <c r="J98" i="6"/>
  <c r="P97" i="6"/>
  <c r="P96" i="5"/>
  <c r="L96" i="5"/>
  <c r="I98" i="5"/>
  <c r="E99" i="5"/>
  <c r="J97" i="5"/>
  <c r="K97" i="5"/>
  <c r="I97" i="4"/>
  <c r="E98" i="4"/>
  <c r="J99" i="12" l="1"/>
  <c r="P99" i="12" s="1"/>
  <c r="L100" i="12"/>
  <c r="K100" i="12" s="1"/>
  <c r="E102" i="12"/>
  <c r="I101" i="12"/>
  <c r="J99" i="11"/>
  <c r="P99" i="11" s="1"/>
  <c r="I101" i="11"/>
  <c r="E102" i="11"/>
  <c r="L100" i="11"/>
  <c r="K100" i="11" s="1"/>
  <c r="J99" i="9"/>
  <c r="P99" i="9" s="1"/>
  <c r="I101" i="9"/>
  <c r="E102" i="9"/>
  <c r="L100" i="9"/>
  <c r="K100" i="9" s="1"/>
  <c r="J99" i="8"/>
  <c r="P99" i="8" s="1"/>
  <c r="E102" i="8"/>
  <c r="L100" i="8"/>
  <c r="K100" i="8" s="1"/>
  <c r="P100" i="7"/>
  <c r="I102" i="7"/>
  <c r="E103" i="7"/>
  <c r="J97" i="1"/>
  <c r="K97" i="1"/>
  <c r="K97" i="4"/>
  <c r="J97" i="4"/>
  <c r="P97" i="4" s="1"/>
  <c r="E99" i="1"/>
  <c r="I98" i="1"/>
  <c r="P98" i="6"/>
  <c r="I100" i="6"/>
  <c r="E101" i="6"/>
  <c r="J99" i="6"/>
  <c r="K99" i="6"/>
  <c r="P97" i="5"/>
  <c r="L97" i="5"/>
  <c r="I99" i="5"/>
  <c r="E100" i="5"/>
  <c r="K98" i="5"/>
  <c r="J98" i="5"/>
  <c r="I98" i="4"/>
  <c r="E99" i="4"/>
  <c r="J100" i="12" l="1"/>
  <c r="P100" i="12" s="1"/>
  <c r="L101" i="12"/>
  <c r="K101" i="12" s="1"/>
  <c r="I102" i="12"/>
  <c r="E103" i="12"/>
  <c r="J100" i="11"/>
  <c r="P100" i="11" s="1"/>
  <c r="I102" i="11"/>
  <c r="E103" i="11"/>
  <c r="L101" i="11"/>
  <c r="K101" i="11" s="1"/>
  <c r="J100" i="9"/>
  <c r="P100" i="9" s="1"/>
  <c r="I102" i="9"/>
  <c r="E103" i="9"/>
  <c r="L101" i="9"/>
  <c r="K101" i="9" s="1"/>
  <c r="J100" i="8"/>
  <c r="P100" i="8" s="1"/>
  <c r="E103" i="8"/>
  <c r="L101" i="8"/>
  <c r="K101" i="8" s="1"/>
  <c r="P101" i="7"/>
  <c r="E104" i="7"/>
  <c r="I103" i="7"/>
  <c r="J98" i="1"/>
  <c r="K98" i="1"/>
  <c r="E100" i="1"/>
  <c r="I99" i="1"/>
  <c r="K98" i="4"/>
  <c r="J98" i="4"/>
  <c r="P98" i="4" s="1"/>
  <c r="P99" i="6"/>
  <c r="I101" i="6"/>
  <c r="E102" i="6"/>
  <c r="K100" i="6"/>
  <c r="J100" i="6"/>
  <c r="P98" i="5"/>
  <c r="L98" i="5"/>
  <c r="E101" i="5"/>
  <c r="I100" i="5"/>
  <c r="K99" i="5"/>
  <c r="J99" i="5"/>
  <c r="I99" i="4"/>
  <c r="E100" i="4"/>
  <c r="J101" i="12" l="1"/>
  <c r="P101" i="12" s="1"/>
  <c r="I103" i="12"/>
  <c r="E104" i="12"/>
  <c r="L102" i="12"/>
  <c r="K102" i="12" s="1"/>
  <c r="J101" i="11"/>
  <c r="P101" i="11" s="1"/>
  <c r="I103" i="11"/>
  <c r="E104" i="11"/>
  <c r="L102" i="11"/>
  <c r="K102" i="11" s="1"/>
  <c r="J101" i="9"/>
  <c r="P101" i="9" s="1"/>
  <c r="I103" i="9"/>
  <c r="E104" i="9"/>
  <c r="L102" i="9"/>
  <c r="K102" i="9" s="1"/>
  <c r="J101" i="8"/>
  <c r="P101" i="8" s="1"/>
  <c r="L102" i="8"/>
  <c r="K102" i="8" s="1"/>
  <c r="E104" i="8"/>
  <c r="E105" i="7"/>
  <c r="I104" i="7"/>
  <c r="P102" i="7"/>
  <c r="K99" i="1"/>
  <c r="J99" i="1"/>
  <c r="E101" i="1"/>
  <c r="I100" i="1"/>
  <c r="K99" i="4"/>
  <c r="J99" i="4"/>
  <c r="P99" i="4" s="1"/>
  <c r="P100" i="6"/>
  <c r="E103" i="6"/>
  <c r="I102" i="6"/>
  <c r="K101" i="6"/>
  <c r="J101" i="6"/>
  <c r="P99" i="5"/>
  <c r="L99" i="5"/>
  <c r="K100" i="5"/>
  <c r="J100" i="5"/>
  <c r="E102" i="5"/>
  <c r="I101" i="5"/>
  <c r="I100" i="4"/>
  <c r="E101" i="4"/>
  <c r="J102" i="12" l="1"/>
  <c r="P102" i="12" s="1"/>
  <c r="E105" i="12"/>
  <c r="I104" i="12"/>
  <c r="L103" i="12"/>
  <c r="K103" i="12" s="1"/>
  <c r="J102" i="11"/>
  <c r="P102" i="11" s="1"/>
  <c r="I104" i="11"/>
  <c r="E105" i="11"/>
  <c r="L103" i="11"/>
  <c r="K103" i="11" s="1"/>
  <c r="J102" i="9"/>
  <c r="P102" i="9" s="1"/>
  <c r="I104" i="9"/>
  <c r="E105" i="9"/>
  <c r="L103" i="9"/>
  <c r="K103" i="9" s="1"/>
  <c r="J102" i="8"/>
  <c r="P102" i="8" s="1"/>
  <c r="E105" i="8"/>
  <c r="L103" i="8"/>
  <c r="K103" i="8" s="1"/>
  <c r="P103" i="7"/>
  <c r="E106" i="7"/>
  <c r="I105" i="7"/>
  <c r="J100" i="1"/>
  <c r="K100" i="1"/>
  <c r="E102" i="1"/>
  <c r="I101" i="1"/>
  <c r="K100" i="4"/>
  <c r="J100" i="4"/>
  <c r="P100" i="4" s="1"/>
  <c r="P101" i="6"/>
  <c r="K102" i="6"/>
  <c r="J102" i="6"/>
  <c r="E104" i="6"/>
  <c r="I103" i="6"/>
  <c r="P100" i="5"/>
  <c r="L100" i="5"/>
  <c r="K101" i="5"/>
  <c r="J101" i="5"/>
  <c r="E103" i="5"/>
  <c r="I102" i="5"/>
  <c r="E102" i="4"/>
  <c r="I101" i="4"/>
  <c r="J103" i="12" l="1"/>
  <c r="P103" i="12" s="1"/>
  <c r="L104" i="12"/>
  <c r="K104" i="12" s="1"/>
  <c r="I105" i="12"/>
  <c r="E106" i="12"/>
  <c r="J103" i="11"/>
  <c r="P103" i="11" s="1"/>
  <c r="I105" i="11"/>
  <c r="E106" i="11"/>
  <c r="L104" i="11"/>
  <c r="K104" i="11" s="1"/>
  <c r="J103" i="9"/>
  <c r="P103" i="9" s="1"/>
  <c r="I105" i="9"/>
  <c r="E106" i="9"/>
  <c r="L104" i="9"/>
  <c r="K104" i="9" s="1"/>
  <c r="J103" i="8"/>
  <c r="P103" i="8" s="1"/>
  <c r="L104" i="8"/>
  <c r="K104" i="8" s="1"/>
  <c r="E106" i="8"/>
  <c r="I106" i="7"/>
  <c r="E107" i="7"/>
  <c r="P104" i="7"/>
  <c r="K101" i="1"/>
  <c r="J101" i="1"/>
  <c r="K101" i="4"/>
  <c r="J101" i="4"/>
  <c r="P101" i="4" s="1"/>
  <c r="E103" i="1"/>
  <c r="I102" i="1"/>
  <c r="P102" i="6"/>
  <c r="E105" i="6"/>
  <c r="I104" i="6"/>
  <c r="J103" i="6"/>
  <c r="K103" i="6"/>
  <c r="P101" i="5"/>
  <c r="L101" i="5"/>
  <c r="K102" i="5"/>
  <c r="J102" i="5"/>
  <c r="E104" i="5"/>
  <c r="I103" i="5"/>
  <c r="I102" i="4"/>
  <c r="E103" i="4"/>
  <c r="J104" i="12" l="1"/>
  <c r="P104" i="12" s="1"/>
  <c r="E107" i="12"/>
  <c r="I106" i="12"/>
  <c r="L105" i="12"/>
  <c r="K105" i="12" s="1"/>
  <c r="J104" i="11"/>
  <c r="P104" i="11" s="1"/>
  <c r="I106" i="11"/>
  <c r="E107" i="11"/>
  <c r="L105" i="11"/>
  <c r="K105" i="11" s="1"/>
  <c r="J104" i="9"/>
  <c r="P104" i="9" s="1"/>
  <c r="I106" i="9"/>
  <c r="E107" i="9"/>
  <c r="L105" i="9"/>
  <c r="K105" i="9" s="1"/>
  <c r="J104" i="8"/>
  <c r="P104" i="8" s="1"/>
  <c r="E107" i="8"/>
  <c r="L105" i="8"/>
  <c r="K105" i="8" s="1"/>
  <c r="I107" i="7"/>
  <c r="E108" i="7"/>
  <c r="P105" i="7"/>
  <c r="J102" i="1"/>
  <c r="K102" i="1"/>
  <c r="E104" i="1"/>
  <c r="I103" i="1"/>
  <c r="J102" i="4"/>
  <c r="K102" i="4"/>
  <c r="P103" i="6"/>
  <c r="K104" i="6"/>
  <c r="J104" i="6"/>
  <c r="I105" i="6"/>
  <c r="E106" i="6"/>
  <c r="P102" i="5"/>
  <c r="L102" i="5"/>
  <c r="K103" i="5"/>
  <c r="J103" i="5"/>
  <c r="I104" i="5"/>
  <c r="E105" i="5"/>
  <c r="I103" i="4"/>
  <c r="E104" i="4"/>
  <c r="J105" i="12" l="1"/>
  <c r="P105" i="12" s="1"/>
  <c r="L106" i="12"/>
  <c r="K106" i="12" s="1"/>
  <c r="E108" i="12"/>
  <c r="I107" i="12"/>
  <c r="J105" i="11"/>
  <c r="P105" i="11" s="1"/>
  <c r="I107" i="11"/>
  <c r="E108" i="11"/>
  <c r="L106" i="11"/>
  <c r="K106" i="11" s="1"/>
  <c r="J105" i="9"/>
  <c r="P105" i="9" s="1"/>
  <c r="I107" i="9"/>
  <c r="E108" i="9"/>
  <c r="L106" i="9"/>
  <c r="K106" i="9" s="1"/>
  <c r="J105" i="8"/>
  <c r="P105" i="8" s="1"/>
  <c r="L106" i="8"/>
  <c r="K106" i="8" s="1"/>
  <c r="E108" i="8"/>
  <c r="P106" i="7"/>
  <c r="I108" i="7"/>
  <c r="E109" i="7"/>
  <c r="J103" i="1"/>
  <c r="K103" i="1"/>
  <c r="E105" i="1"/>
  <c r="I104" i="1"/>
  <c r="P102" i="4"/>
  <c r="J103" i="4"/>
  <c r="P103" i="4" s="1"/>
  <c r="K103" i="4"/>
  <c r="P104" i="6"/>
  <c r="I106" i="6"/>
  <c r="E107" i="6"/>
  <c r="J105" i="6"/>
  <c r="K105" i="6"/>
  <c r="P103" i="5"/>
  <c r="L103" i="5"/>
  <c r="I105" i="5"/>
  <c r="E106" i="5"/>
  <c r="K104" i="5"/>
  <c r="J104" i="5"/>
  <c r="I104" i="4"/>
  <c r="E105" i="4"/>
  <c r="J106" i="12" l="1"/>
  <c r="P106" i="12" s="1"/>
  <c r="L107" i="12"/>
  <c r="K107" i="12" s="1"/>
  <c r="E109" i="12"/>
  <c r="I108" i="12"/>
  <c r="J106" i="11"/>
  <c r="P106" i="11" s="1"/>
  <c r="I108" i="11"/>
  <c r="E109" i="11"/>
  <c r="L107" i="11"/>
  <c r="K107" i="11" s="1"/>
  <c r="J106" i="9"/>
  <c r="P106" i="9" s="1"/>
  <c r="I108" i="9"/>
  <c r="E109" i="9"/>
  <c r="L107" i="9"/>
  <c r="K107" i="9" s="1"/>
  <c r="J106" i="8"/>
  <c r="P106" i="8" s="1"/>
  <c r="L107" i="8"/>
  <c r="K107" i="8" s="1"/>
  <c r="E109" i="8"/>
  <c r="P107" i="7"/>
  <c r="I109" i="7"/>
  <c r="E110" i="7"/>
  <c r="J104" i="1"/>
  <c r="K104" i="1"/>
  <c r="E106" i="1"/>
  <c r="I105" i="1"/>
  <c r="J104" i="4"/>
  <c r="P104" i="4" s="1"/>
  <c r="K104" i="4"/>
  <c r="P105" i="6"/>
  <c r="I107" i="6"/>
  <c r="E108" i="6"/>
  <c r="K106" i="6"/>
  <c r="J106" i="6"/>
  <c r="P104" i="5"/>
  <c r="L104" i="5"/>
  <c r="I106" i="5"/>
  <c r="E107" i="5"/>
  <c r="J105" i="5"/>
  <c r="K105" i="5"/>
  <c r="I105" i="4"/>
  <c r="E106" i="4"/>
  <c r="J107" i="12" l="1"/>
  <c r="P107" i="12" s="1"/>
  <c r="L108" i="12"/>
  <c r="K108" i="12" s="1"/>
  <c r="E110" i="12"/>
  <c r="I109" i="12"/>
  <c r="J107" i="11"/>
  <c r="P107" i="11" s="1"/>
  <c r="I109" i="11"/>
  <c r="E110" i="11"/>
  <c r="L108" i="11"/>
  <c r="K108" i="11" s="1"/>
  <c r="J107" i="9"/>
  <c r="P107" i="9" s="1"/>
  <c r="I109" i="9"/>
  <c r="E110" i="9"/>
  <c r="L108" i="9"/>
  <c r="K108" i="9" s="1"/>
  <c r="J107" i="8"/>
  <c r="P107" i="8" s="1"/>
  <c r="L108" i="8"/>
  <c r="K108" i="8" s="1"/>
  <c r="E110" i="8"/>
  <c r="P108" i="7"/>
  <c r="E111" i="7"/>
  <c r="I110" i="7"/>
  <c r="J105" i="1"/>
  <c r="K105" i="1"/>
  <c r="E107" i="1"/>
  <c r="I106" i="1"/>
  <c r="K105" i="4"/>
  <c r="J105" i="4"/>
  <c r="P105" i="4" s="1"/>
  <c r="P106" i="6"/>
  <c r="I108" i="6"/>
  <c r="E109" i="6"/>
  <c r="J107" i="6"/>
  <c r="K107" i="6"/>
  <c r="P105" i="5"/>
  <c r="L105" i="5"/>
  <c r="I107" i="5"/>
  <c r="E108" i="5"/>
  <c r="K106" i="5"/>
  <c r="J106" i="5"/>
  <c r="I106" i="4"/>
  <c r="E107" i="4"/>
  <c r="J108" i="12" l="1"/>
  <c r="P108" i="12" s="1"/>
  <c r="L109" i="12"/>
  <c r="K109" i="12" s="1"/>
  <c r="I110" i="12"/>
  <c r="E111" i="12"/>
  <c r="J108" i="11"/>
  <c r="P108" i="11" s="1"/>
  <c r="I110" i="11"/>
  <c r="E111" i="11"/>
  <c r="L109" i="11"/>
  <c r="K109" i="11" s="1"/>
  <c r="J108" i="9"/>
  <c r="P108" i="9" s="1"/>
  <c r="I110" i="9"/>
  <c r="E111" i="9"/>
  <c r="L109" i="9"/>
  <c r="K109" i="9" s="1"/>
  <c r="J108" i="8"/>
  <c r="P108" i="8" s="1"/>
  <c r="L109" i="8"/>
  <c r="K109" i="8" s="1"/>
  <c r="E111" i="8"/>
  <c r="P109" i="7"/>
  <c r="E112" i="7"/>
  <c r="I111" i="7"/>
  <c r="J106" i="1"/>
  <c r="K106" i="1"/>
  <c r="E108" i="1"/>
  <c r="I107" i="1"/>
  <c r="K106" i="4"/>
  <c r="J106" i="4"/>
  <c r="P106" i="4" s="1"/>
  <c r="P107" i="6"/>
  <c r="I109" i="6"/>
  <c r="E110" i="6"/>
  <c r="K108" i="6"/>
  <c r="J108" i="6"/>
  <c r="P106" i="5"/>
  <c r="L106" i="5"/>
  <c r="E109" i="5"/>
  <c r="I108" i="5"/>
  <c r="K107" i="5"/>
  <c r="J107" i="5"/>
  <c r="I107" i="4"/>
  <c r="E108" i="4"/>
  <c r="J109" i="12" l="1"/>
  <c r="P109" i="12" s="1"/>
  <c r="I111" i="12"/>
  <c r="E112" i="12"/>
  <c r="L110" i="12"/>
  <c r="K110" i="12" s="1"/>
  <c r="J109" i="11"/>
  <c r="P109" i="11" s="1"/>
  <c r="I111" i="11"/>
  <c r="E112" i="11"/>
  <c r="L110" i="11"/>
  <c r="K110" i="11" s="1"/>
  <c r="J109" i="9"/>
  <c r="P109" i="9" s="1"/>
  <c r="I111" i="9"/>
  <c r="E112" i="9"/>
  <c r="L110" i="9"/>
  <c r="K110" i="9" s="1"/>
  <c r="J109" i="8"/>
  <c r="P109" i="8" s="1"/>
  <c r="E112" i="8"/>
  <c r="L110" i="8"/>
  <c r="K110" i="8" s="1"/>
  <c r="E113" i="7"/>
  <c r="I112" i="7"/>
  <c r="P110" i="7"/>
  <c r="K107" i="1"/>
  <c r="J107" i="1"/>
  <c r="E109" i="1"/>
  <c r="I108" i="1"/>
  <c r="K107" i="4"/>
  <c r="J107" i="4"/>
  <c r="P107" i="4" s="1"/>
  <c r="P108" i="6"/>
  <c r="K109" i="6"/>
  <c r="J109" i="6"/>
  <c r="E111" i="6"/>
  <c r="I110" i="6"/>
  <c r="P107" i="5"/>
  <c r="L107" i="5"/>
  <c r="K108" i="5"/>
  <c r="J108" i="5"/>
  <c r="E110" i="5"/>
  <c r="I109" i="5"/>
  <c r="E109" i="4"/>
  <c r="I108" i="4"/>
  <c r="J110" i="12" l="1"/>
  <c r="P110" i="12" s="1"/>
  <c r="I112" i="12"/>
  <c r="E113" i="12"/>
  <c r="L111" i="12"/>
  <c r="K111" i="12" s="1"/>
  <c r="J110" i="11"/>
  <c r="P110" i="11" s="1"/>
  <c r="I112" i="11"/>
  <c r="E113" i="11"/>
  <c r="L111" i="11"/>
  <c r="K111" i="11" s="1"/>
  <c r="J110" i="9"/>
  <c r="P110" i="9" s="1"/>
  <c r="I112" i="9"/>
  <c r="E113" i="9"/>
  <c r="L111" i="9"/>
  <c r="K111" i="9" s="1"/>
  <c r="J110" i="8"/>
  <c r="P110" i="8" s="1"/>
  <c r="E113" i="8"/>
  <c r="L111" i="8"/>
  <c r="K111" i="8" s="1"/>
  <c r="E114" i="7"/>
  <c r="I113" i="7"/>
  <c r="P111" i="7"/>
  <c r="J108" i="1"/>
  <c r="K108" i="1"/>
  <c r="K108" i="4"/>
  <c r="J108" i="4"/>
  <c r="P108" i="4" s="1"/>
  <c r="E110" i="1"/>
  <c r="I109" i="1"/>
  <c r="P109" i="6"/>
  <c r="E112" i="6"/>
  <c r="I111" i="6"/>
  <c r="K110" i="6"/>
  <c r="J110" i="6"/>
  <c r="P108" i="5"/>
  <c r="L108" i="5"/>
  <c r="K109" i="5"/>
  <c r="J109" i="5"/>
  <c r="I110" i="5"/>
  <c r="E111" i="5"/>
  <c r="I109" i="4"/>
  <c r="E110" i="4"/>
  <c r="J111" i="12" l="1"/>
  <c r="P111" i="12" s="1"/>
  <c r="I113" i="12"/>
  <c r="E114" i="12"/>
  <c r="L112" i="12"/>
  <c r="K112" i="12" s="1"/>
  <c r="J111" i="11"/>
  <c r="P111" i="11" s="1"/>
  <c r="I113" i="11"/>
  <c r="E114" i="11"/>
  <c r="L112" i="11"/>
  <c r="K112" i="11" s="1"/>
  <c r="J111" i="9"/>
  <c r="P111" i="9" s="1"/>
  <c r="I113" i="9"/>
  <c r="E114" i="9"/>
  <c r="L112" i="9"/>
  <c r="K112" i="9" s="1"/>
  <c r="J111" i="8"/>
  <c r="P111" i="8" s="1"/>
  <c r="L112" i="8"/>
  <c r="K112" i="8" s="1"/>
  <c r="E114" i="8"/>
  <c r="I114" i="7"/>
  <c r="E115" i="7"/>
  <c r="P112" i="7"/>
  <c r="K109" i="1"/>
  <c r="J109" i="1"/>
  <c r="E111" i="1"/>
  <c r="I110" i="1"/>
  <c r="K109" i="4"/>
  <c r="J109" i="4"/>
  <c r="P109" i="4" s="1"/>
  <c r="P110" i="6"/>
  <c r="J111" i="6"/>
  <c r="K111" i="6"/>
  <c r="E113" i="6"/>
  <c r="I112" i="6"/>
  <c r="P109" i="5"/>
  <c r="L109" i="5"/>
  <c r="E112" i="5"/>
  <c r="I111" i="5"/>
  <c r="K110" i="5"/>
  <c r="J110" i="5"/>
  <c r="I110" i="4"/>
  <c r="E111" i="4"/>
  <c r="J112" i="12" l="1"/>
  <c r="P112" i="12" s="1"/>
  <c r="I114" i="12"/>
  <c r="E115" i="12"/>
  <c r="L113" i="12"/>
  <c r="K113" i="12" s="1"/>
  <c r="J112" i="11"/>
  <c r="P112" i="11" s="1"/>
  <c r="I114" i="11"/>
  <c r="E115" i="11"/>
  <c r="L113" i="11"/>
  <c r="K113" i="11" s="1"/>
  <c r="J112" i="9"/>
  <c r="P112" i="9" s="1"/>
  <c r="I114" i="9"/>
  <c r="E115" i="9"/>
  <c r="L113" i="9"/>
  <c r="K113" i="9" s="1"/>
  <c r="J112" i="8"/>
  <c r="P112" i="8" s="1"/>
  <c r="L113" i="8"/>
  <c r="K113" i="8" s="1"/>
  <c r="E115" i="8"/>
  <c r="I115" i="7"/>
  <c r="E116" i="7"/>
  <c r="P113" i="7"/>
  <c r="J110" i="1"/>
  <c r="K110" i="1"/>
  <c r="E112" i="1"/>
  <c r="I111" i="1"/>
  <c r="J110" i="4"/>
  <c r="P110" i="4" s="1"/>
  <c r="K110" i="4"/>
  <c r="K112" i="6"/>
  <c r="J112" i="6"/>
  <c r="I113" i="6"/>
  <c r="E114" i="6"/>
  <c r="P111" i="6"/>
  <c r="P110" i="5"/>
  <c r="L110" i="5"/>
  <c r="J111" i="5"/>
  <c r="K111" i="5"/>
  <c r="E113" i="5"/>
  <c r="I112" i="5"/>
  <c r="I111" i="4"/>
  <c r="E112" i="4"/>
  <c r="J113" i="12" l="1"/>
  <c r="P113" i="12" s="1"/>
  <c r="I115" i="12"/>
  <c r="E116" i="12"/>
  <c r="L114" i="12"/>
  <c r="K114" i="12" s="1"/>
  <c r="J113" i="11"/>
  <c r="P113" i="11" s="1"/>
  <c r="I115" i="11"/>
  <c r="E116" i="11"/>
  <c r="L114" i="11"/>
  <c r="K114" i="11" s="1"/>
  <c r="J113" i="9"/>
  <c r="P113" i="9" s="1"/>
  <c r="I115" i="9"/>
  <c r="E116" i="9"/>
  <c r="L114" i="9"/>
  <c r="K114" i="9" s="1"/>
  <c r="J113" i="8"/>
  <c r="P113" i="8" s="1"/>
  <c r="L114" i="8"/>
  <c r="K114" i="8" s="1"/>
  <c r="E116" i="8"/>
  <c r="P114" i="7"/>
  <c r="I116" i="7"/>
  <c r="E117" i="7"/>
  <c r="J111" i="1"/>
  <c r="K111" i="1"/>
  <c r="E113" i="1"/>
  <c r="I112" i="1"/>
  <c r="J111" i="4"/>
  <c r="P111" i="4" s="1"/>
  <c r="K111" i="4"/>
  <c r="P112" i="6"/>
  <c r="I114" i="6"/>
  <c r="E115" i="6"/>
  <c r="J113" i="6"/>
  <c r="K113" i="6"/>
  <c r="L111" i="5"/>
  <c r="K112" i="5"/>
  <c r="J112" i="5"/>
  <c r="E114" i="5"/>
  <c r="I113" i="5"/>
  <c r="P111" i="5"/>
  <c r="E113" i="4"/>
  <c r="I112" i="4"/>
  <c r="J114" i="12" l="1"/>
  <c r="P114" i="12" s="1"/>
  <c r="I116" i="12"/>
  <c r="E117" i="12"/>
  <c r="L115" i="12"/>
  <c r="J115" i="12" s="1"/>
  <c r="J114" i="11"/>
  <c r="P114" i="11" s="1"/>
  <c r="L115" i="11"/>
  <c r="K115" i="11" s="1"/>
  <c r="I116" i="11"/>
  <c r="E117" i="11"/>
  <c r="J114" i="9"/>
  <c r="P114" i="9" s="1"/>
  <c r="I116" i="9"/>
  <c r="E117" i="9"/>
  <c r="L115" i="9"/>
  <c r="K115" i="9" s="1"/>
  <c r="J114" i="8"/>
  <c r="P114" i="8" s="1"/>
  <c r="L115" i="8"/>
  <c r="K115" i="8" s="1"/>
  <c r="E117" i="8"/>
  <c r="P115" i="7"/>
  <c r="I117" i="7"/>
  <c r="E118" i="7"/>
  <c r="J112" i="1"/>
  <c r="K112" i="1"/>
  <c r="E114" i="1"/>
  <c r="I113" i="1"/>
  <c r="J112" i="4"/>
  <c r="K112" i="4"/>
  <c r="P113" i="6"/>
  <c r="I115" i="6"/>
  <c r="E116" i="6"/>
  <c r="K114" i="6"/>
  <c r="J114" i="6"/>
  <c r="P112" i="5"/>
  <c r="L112" i="5"/>
  <c r="K113" i="5"/>
  <c r="J113" i="5"/>
  <c r="E115" i="5"/>
  <c r="I114" i="5"/>
  <c r="I113" i="4"/>
  <c r="E114" i="4"/>
  <c r="K115" i="12" l="1"/>
  <c r="P115" i="12" s="1"/>
  <c r="I117" i="12"/>
  <c r="E118" i="12"/>
  <c r="L116" i="12"/>
  <c r="K116" i="12" s="1"/>
  <c r="J115" i="11"/>
  <c r="P115" i="11" s="1"/>
  <c r="I117" i="11"/>
  <c r="E118" i="11"/>
  <c r="L116" i="11"/>
  <c r="K116" i="11" s="1"/>
  <c r="J115" i="9"/>
  <c r="P115" i="9" s="1"/>
  <c r="I117" i="9"/>
  <c r="E118" i="9"/>
  <c r="L116" i="9"/>
  <c r="K116" i="9" s="1"/>
  <c r="J115" i="8"/>
  <c r="P115" i="8" s="1"/>
  <c r="L116" i="8"/>
  <c r="K116" i="8" s="1"/>
  <c r="E118" i="8"/>
  <c r="P116" i="7"/>
  <c r="E119" i="7"/>
  <c r="I118" i="7"/>
  <c r="P112" i="4"/>
  <c r="J113" i="1"/>
  <c r="K113" i="1"/>
  <c r="E115" i="1"/>
  <c r="I114" i="1"/>
  <c r="K113" i="4"/>
  <c r="J113" i="4"/>
  <c r="P113" i="4" s="1"/>
  <c r="P114" i="6"/>
  <c r="J115" i="6"/>
  <c r="K115" i="6"/>
  <c r="I116" i="6"/>
  <c r="E117" i="6"/>
  <c r="P113" i="5"/>
  <c r="L113" i="5"/>
  <c r="K114" i="5"/>
  <c r="J114" i="5"/>
  <c r="I115" i="5"/>
  <c r="E116" i="5"/>
  <c r="I114" i="4"/>
  <c r="E115" i="4"/>
  <c r="J116" i="12" l="1"/>
  <c r="P116" i="12" s="1"/>
  <c r="I118" i="12"/>
  <c r="E119" i="12"/>
  <c r="L117" i="12"/>
  <c r="K117" i="12" s="1"/>
  <c r="J116" i="11"/>
  <c r="P116" i="11" s="1"/>
  <c r="E119" i="11"/>
  <c r="I118" i="11"/>
  <c r="L117" i="11"/>
  <c r="K117" i="11" s="1"/>
  <c r="J116" i="9"/>
  <c r="P116" i="9" s="1"/>
  <c r="I118" i="9"/>
  <c r="E119" i="9"/>
  <c r="L117" i="9"/>
  <c r="K117" i="9" s="1"/>
  <c r="J116" i="8"/>
  <c r="P116" i="8" s="1"/>
  <c r="E119" i="8"/>
  <c r="L117" i="8"/>
  <c r="K117" i="8" s="1"/>
  <c r="P117" i="7"/>
  <c r="E120" i="7"/>
  <c r="I119" i="7"/>
  <c r="J114" i="1"/>
  <c r="K114" i="1"/>
  <c r="E116" i="1"/>
  <c r="I115" i="1"/>
  <c r="K114" i="4"/>
  <c r="J114" i="4"/>
  <c r="P114" i="4" s="1"/>
  <c r="I117" i="6"/>
  <c r="E118" i="6"/>
  <c r="K116" i="6"/>
  <c r="J116" i="6"/>
  <c r="P115" i="6"/>
  <c r="P114" i="5"/>
  <c r="L114" i="5"/>
  <c r="I116" i="5"/>
  <c r="E117" i="5"/>
  <c r="J115" i="5"/>
  <c r="K115" i="5"/>
  <c r="I115" i="4"/>
  <c r="E116" i="4"/>
  <c r="J117" i="12" l="1"/>
  <c r="P117" i="12" s="1"/>
  <c r="I119" i="12"/>
  <c r="E120" i="12"/>
  <c r="L118" i="12"/>
  <c r="K118" i="12" s="1"/>
  <c r="J117" i="11"/>
  <c r="P117" i="11" s="1"/>
  <c r="L118" i="11"/>
  <c r="K118" i="11" s="1"/>
  <c r="I119" i="11"/>
  <c r="E120" i="11"/>
  <c r="J117" i="9"/>
  <c r="P117" i="9" s="1"/>
  <c r="I119" i="9"/>
  <c r="E120" i="9"/>
  <c r="L118" i="9"/>
  <c r="K118" i="9" s="1"/>
  <c r="J117" i="8"/>
  <c r="P117" i="8" s="1"/>
  <c r="E120" i="8"/>
  <c r="L118" i="8"/>
  <c r="K118" i="8" s="1"/>
  <c r="E121" i="7"/>
  <c r="I120" i="7"/>
  <c r="P118" i="7"/>
  <c r="K115" i="1"/>
  <c r="J115" i="1"/>
  <c r="E117" i="1"/>
  <c r="I116" i="1"/>
  <c r="K115" i="4"/>
  <c r="J115" i="4"/>
  <c r="P115" i="4" s="1"/>
  <c r="P116" i="6"/>
  <c r="E119" i="6"/>
  <c r="I118" i="6"/>
  <c r="K117" i="6"/>
  <c r="J117" i="6"/>
  <c r="P115" i="5"/>
  <c r="L115" i="5"/>
  <c r="E118" i="5"/>
  <c r="I117" i="5"/>
  <c r="J116" i="5"/>
  <c r="K116" i="5"/>
  <c r="E117" i="4"/>
  <c r="I116" i="4"/>
  <c r="J118" i="12" l="1"/>
  <c r="P118" i="12" s="1"/>
  <c r="I120" i="12"/>
  <c r="E121" i="12"/>
  <c r="L119" i="12"/>
  <c r="K119" i="12" s="1"/>
  <c r="J118" i="11"/>
  <c r="P118" i="11" s="1"/>
  <c r="E121" i="11"/>
  <c r="I120" i="11"/>
  <c r="L119" i="11"/>
  <c r="K119" i="11" s="1"/>
  <c r="J118" i="9"/>
  <c r="P118" i="9" s="1"/>
  <c r="I120" i="9"/>
  <c r="E121" i="9"/>
  <c r="L119" i="9"/>
  <c r="K119" i="9" s="1"/>
  <c r="J118" i="8"/>
  <c r="P118" i="8" s="1"/>
  <c r="L119" i="8"/>
  <c r="K119" i="8" s="1"/>
  <c r="E121" i="8"/>
  <c r="E122" i="7"/>
  <c r="I121" i="7"/>
  <c r="P119" i="7"/>
  <c r="J116" i="1"/>
  <c r="K116" i="1"/>
  <c r="E118" i="1"/>
  <c r="I117" i="1"/>
  <c r="K116" i="4"/>
  <c r="J116" i="4"/>
  <c r="P116" i="4" s="1"/>
  <c r="P117" i="6"/>
  <c r="K118" i="6"/>
  <c r="J118" i="6"/>
  <c r="E120" i="6"/>
  <c r="I119" i="6"/>
  <c r="L116" i="5"/>
  <c r="P116" i="5"/>
  <c r="K117" i="5"/>
  <c r="J117" i="5"/>
  <c r="I118" i="5"/>
  <c r="E119" i="5"/>
  <c r="I117" i="4"/>
  <c r="E118" i="4"/>
  <c r="J119" i="12" l="1"/>
  <c r="P119" i="12" s="1"/>
  <c r="I121" i="12"/>
  <c r="E122" i="12"/>
  <c r="L120" i="12"/>
  <c r="K120" i="12" s="1"/>
  <c r="J119" i="11"/>
  <c r="P119" i="11" s="1"/>
  <c r="L120" i="11"/>
  <c r="K120" i="11" s="1"/>
  <c r="I121" i="11"/>
  <c r="E122" i="11"/>
  <c r="J119" i="9"/>
  <c r="P119" i="9" s="1"/>
  <c r="I121" i="9"/>
  <c r="E122" i="9"/>
  <c r="L120" i="9"/>
  <c r="K120" i="9" s="1"/>
  <c r="J119" i="8"/>
  <c r="P119" i="8" s="1"/>
  <c r="L120" i="8"/>
  <c r="K120" i="8" s="1"/>
  <c r="E122" i="8"/>
  <c r="I122" i="7"/>
  <c r="E123" i="7"/>
  <c r="P120" i="7"/>
  <c r="K117" i="1"/>
  <c r="J117" i="1"/>
  <c r="E119" i="1"/>
  <c r="I118" i="1"/>
  <c r="K117" i="4"/>
  <c r="J117" i="4"/>
  <c r="P117" i="4" s="1"/>
  <c r="P118" i="6"/>
  <c r="E121" i="6"/>
  <c r="I120" i="6"/>
  <c r="J119" i="6"/>
  <c r="K119" i="6"/>
  <c r="L117" i="5"/>
  <c r="P117" i="5"/>
  <c r="K118" i="5"/>
  <c r="J118" i="5"/>
  <c r="E120" i="5"/>
  <c r="I119" i="5"/>
  <c r="I118" i="4"/>
  <c r="E119" i="4"/>
  <c r="J120" i="12" l="1"/>
  <c r="P120" i="12" s="1"/>
  <c r="I122" i="12"/>
  <c r="E123" i="12"/>
  <c r="L121" i="12"/>
  <c r="K121" i="12" s="1"/>
  <c r="E123" i="11"/>
  <c r="I122" i="11"/>
  <c r="L121" i="11"/>
  <c r="K121" i="11" s="1"/>
  <c r="J120" i="11"/>
  <c r="P120" i="11" s="1"/>
  <c r="J120" i="9"/>
  <c r="P120" i="9" s="1"/>
  <c r="L121" i="9"/>
  <c r="K121" i="9" s="1"/>
  <c r="I122" i="9"/>
  <c r="E123" i="9"/>
  <c r="J120" i="8"/>
  <c r="P120" i="8" s="1"/>
  <c r="E123" i="8"/>
  <c r="L121" i="8"/>
  <c r="K121" i="8" s="1"/>
  <c r="I123" i="7"/>
  <c r="E124" i="7"/>
  <c r="P121" i="7"/>
  <c r="J118" i="1"/>
  <c r="K118" i="1"/>
  <c r="E120" i="1"/>
  <c r="I119" i="1"/>
  <c r="J118" i="4"/>
  <c r="P118" i="4" s="1"/>
  <c r="K118" i="4"/>
  <c r="P119" i="6"/>
  <c r="K120" i="6"/>
  <c r="J120" i="6"/>
  <c r="I121" i="6"/>
  <c r="E122" i="6"/>
  <c r="P118" i="5"/>
  <c r="L118" i="5"/>
  <c r="J119" i="5"/>
  <c r="K119" i="5"/>
  <c r="E121" i="5"/>
  <c r="I120" i="5"/>
  <c r="I119" i="4"/>
  <c r="E120" i="4"/>
  <c r="J121" i="12" l="1"/>
  <c r="P121" i="12" s="1"/>
  <c r="I123" i="12"/>
  <c r="E124" i="12"/>
  <c r="L122" i="12"/>
  <c r="K122" i="12" s="1"/>
  <c r="J121" i="11"/>
  <c r="P121" i="11" s="1"/>
  <c r="L122" i="11"/>
  <c r="J122" i="11" s="1"/>
  <c r="I123" i="11"/>
  <c r="E124" i="11"/>
  <c r="J121" i="9"/>
  <c r="P121" i="9" s="1"/>
  <c r="I123" i="9"/>
  <c r="E124" i="9"/>
  <c r="L122" i="9"/>
  <c r="K122" i="9" s="1"/>
  <c r="J121" i="8"/>
  <c r="P121" i="8" s="1"/>
  <c r="E124" i="8"/>
  <c r="L122" i="8"/>
  <c r="K122" i="8" s="1"/>
  <c r="P122" i="7"/>
  <c r="I124" i="7"/>
  <c r="E125" i="7"/>
  <c r="J119" i="1"/>
  <c r="K119" i="1"/>
  <c r="E121" i="1"/>
  <c r="I120" i="1"/>
  <c r="J119" i="4"/>
  <c r="K119" i="4"/>
  <c r="P120" i="6"/>
  <c r="I122" i="6"/>
  <c r="E123" i="6"/>
  <c r="J121" i="6"/>
  <c r="K121" i="6"/>
  <c r="L119" i="5"/>
  <c r="K120" i="5"/>
  <c r="J120" i="5"/>
  <c r="E122" i="5"/>
  <c r="I121" i="5"/>
  <c r="P119" i="5"/>
  <c r="E121" i="4"/>
  <c r="I120" i="4"/>
  <c r="J122" i="12" l="1"/>
  <c r="P122" i="12" s="1"/>
  <c r="I124" i="12"/>
  <c r="E125" i="12"/>
  <c r="L123" i="12"/>
  <c r="K123" i="12" s="1"/>
  <c r="K122" i="11"/>
  <c r="P122" i="11" s="1"/>
  <c r="I124" i="11"/>
  <c r="E125" i="11"/>
  <c r="L123" i="11"/>
  <c r="J123" i="11" s="1"/>
  <c r="J122" i="9"/>
  <c r="P122" i="9" s="1"/>
  <c r="I124" i="9"/>
  <c r="E125" i="9"/>
  <c r="L123" i="9"/>
  <c r="K123" i="9" s="1"/>
  <c r="J122" i="8"/>
  <c r="P122" i="8" s="1"/>
  <c r="L123" i="8"/>
  <c r="K123" i="8" s="1"/>
  <c r="E125" i="8"/>
  <c r="P123" i="7"/>
  <c r="I125" i="7"/>
  <c r="E126" i="7"/>
  <c r="J120" i="1"/>
  <c r="K120" i="1"/>
  <c r="J120" i="4"/>
  <c r="K120" i="4"/>
  <c r="E122" i="1"/>
  <c r="I121" i="1"/>
  <c r="P119" i="4"/>
  <c r="P121" i="6"/>
  <c r="I123" i="6"/>
  <c r="E124" i="6"/>
  <c r="K122" i="6"/>
  <c r="J122" i="6"/>
  <c r="P120" i="5"/>
  <c r="L120" i="5"/>
  <c r="K121" i="5"/>
  <c r="J121" i="5"/>
  <c r="E123" i="5"/>
  <c r="I122" i="5"/>
  <c r="I121" i="4"/>
  <c r="E122" i="4"/>
  <c r="J123" i="12" l="1"/>
  <c r="P123" i="12" s="1"/>
  <c r="L124" i="12"/>
  <c r="K124" i="12" s="1"/>
  <c r="I125" i="12"/>
  <c r="E126" i="12"/>
  <c r="K123" i="11"/>
  <c r="P123" i="11" s="1"/>
  <c r="I125" i="11"/>
  <c r="E126" i="11"/>
  <c r="L124" i="11"/>
  <c r="K124" i="11" s="1"/>
  <c r="J123" i="9"/>
  <c r="P123" i="9" s="1"/>
  <c r="I125" i="9"/>
  <c r="E126" i="9"/>
  <c r="L124" i="9"/>
  <c r="K124" i="9" s="1"/>
  <c r="J123" i="8"/>
  <c r="P123" i="8" s="1"/>
  <c r="E126" i="8"/>
  <c r="L124" i="8"/>
  <c r="K124" i="8" s="1"/>
  <c r="P124" i="7"/>
  <c r="E127" i="7"/>
  <c r="I126" i="7"/>
  <c r="J121" i="1"/>
  <c r="K121" i="1"/>
  <c r="E123" i="1"/>
  <c r="I122" i="1"/>
  <c r="P120" i="4"/>
  <c r="K121" i="4"/>
  <c r="J121" i="4"/>
  <c r="P121" i="4" s="1"/>
  <c r="P122" i="6"/>
  <c r="I124" i="6"/>
  <c r="E125" i="6"/>
  <c r="J123" i="6"/>
  <c r="K123" i="6"/>
  <c r="P121" i="5"/>
  <c r="L121" i="5"/>
  <c r="J122" i="5"/>
  <c r="K122" i="5"/>
  <c r="I123" i="5"/>
  <c r="E124" i="5"/>
  <c r="I122" i="4"/>
  <c r="E123" i="4"/>
  <c r="J124" i="12" l="1"/>
  <c r="P124" i="12" s="1"/>
  <c r="I126" i="12"/>
  <c r="E127" i="12"/>
  <c r="L125" i="12"/>
  <c r="K125" i="12" s="1"/>
  <c r="J124" i="11"/>
  <c r="P124" i="11" s="1"/>
  <c r="E127" i="11"/>
  <c r="I126" i="11"/>
  <c r="L125" i="11"/>
  <c r="K125" i="11" s="1"/>
  <c r="J124" i="9"/>
  <c r="P124" i="9" s="1"/>
  <c r="I126" i="9"/>
  <c r="E127" i="9"/>
  <c r="L125" i="9"/>
  <c r="K125" i="9" s="1"/>
  <c r="J124" i="8"/>
  <c r="P124" i="8" s="1"/>
  <c r="E127" i="8"/>
  <c r="L125" i="8"/>
  <c r="K125" i="8" s="1"/>
  <c r="E128" i="7"/>
  <c r="I127" i="7"/>
  <c r="P125" i="7"/>
  <c r="J122" i="1"/>
  <c r="K122" i="1"/>
  <c r="E124" i="1"/>
  <c r="I123" i="1"/>
  <c r="K122" i="4"/>
  <c r="J122" i="4"/>
  <c r="P122" i="4" s="1"/>
  <c r="P123" i="6"/>
  <c r="I125" i="6"/>
  <c r="E126" i="6"/>
  <c r="K124" i="6"/>
  <c r="J124" i="6"/>
  <c r="L122" i="5"/>
  <c r="I124" i="5"/>
  <c r="E125" i="5"/>
  <c r="J123" i="5"/>
  <c r="K123" i="5"/>
  <c r="P122" i="5"/>
  <c r="I123" i="4"/>
  <c r="E124" i="4"/>
  <c r="J125" i="12" l="1"/>
  <c r="P125" i="12" s="1"/>
  <c r="I127" i="12"/>
  <c r="E128" i="12"/>
  <c r="L126" i="12"/>
  <c r="K126" i="12" s="1"/>
  <c r="J125" i="11"/>
  <c r="P125" i="11" s="1"/>
  <c r="L126" i="11"/>
  <c r="K126" i="11" s="1"/>
  <c r="I127" i="11"/>
  <c r="E128" i="11"/>
  <c r="J125" i="9"/>
  <c r="P125" i="9" s="1"/>
  <c r="L126" i="9"/>
  <c r="K126" i="9" s="1"/>
  <c r="I127" i="9"/>
  <c r="E128" i="9"/>
  <c r="J125" i="8"/>
  <c r="P125" i="8" s="1"/>
  <c r="E128" i="8"/>
  <c r="L126" i="8"/>
  <c r="K126" i="8" s="1"/>
  <c r="P126" i="7"/>
  <c r="E129" i="7"/>
  <c r="I128" i="7"/>
  <c r="K123" i="1"/>
  <c r="J123" i="1"/>
  <c r="E125" i="1"/>
  <c r="I124" i="1"/>
  <c r="K123" i="4"/>
  <c r="J123" i="4"/>
  <c r="P123" i="4" s="1"/>
  <c r="P124" i="6"/>
  <c r="E127" i="6"/>
  <c r="I126" i="6"/>
  <c r="K125" i="6"/>
  <c r="J125" i="6"/>
  <c r="P123" i="5"/>
  <c r="L123" i="5"/>
  <c r="E126" i="5"/>
  <c r="I125" i="5"/>
  <c r="J124" i="5"/>
  <c r="K124" i="5"/>
  <c r="E125" i="4"/>
  <c r="I124" i="4"/>
  <c r="J126" i="12" l="1"/>
  <c r="P126" i="12" s="1"/>
  <c r="I128" i="12"/>
  <c r="E129" i="12"/>
  <c r="L127" i="12"/>
  <c r="K127" i="12" s="1"/>
  <c r="J126" i="11"/>
  <c r="P126" i="11" s="1"/>
  <c r="E129" i="11"/>
  <c r="I128" i="11"/>
  <c r="L127" i="11"/>
  <c r="K127" i="11" s="1"/>
  <c r="J126" i="9"/>
  <c r="P126" i="9" s="1"/>
  <c r="E129" i="9"/>
  <c r="I128" i="9"/>
  <c r="L127" i="9"/>
  <c r="K127" i="9" s="1"/>
  <c r="J126" i="8"/>
  <c r="P126" i="8" s="1"/>
  <c r="E129" i="8"/>
  <c r="L127" i="8"/>
  <c r="K127" i="8" s="1"/>
  <c r="E130" i="7"/>
  <c r="I129" i="7"/>
  <c r="P127" i="7"/>
  <c r="J124" i="1"/>
  <c r="K124" i="1"/>
  <c r="E126" i="1"/>
  <c r="I125" i="1"/>
  <c r="K124" i="4"/>
  <c r="J124" i="4"/>
  <c r="P124" i="4" s="1"/>
  <c r="P125" i="6"/>
  <c r="K126" i="6"/>
  <c r="J126" i="6"/>
  <c r="E128" i="6"/>
  <c r="I127" i="6"/>
  <c r="L124" i="5"/>
  <c r="P124" i="5"/>
  <c r="K125" i="5"/>
  <c r="J125" i="5"/>
  <c r="I126" i="5"/>
  <c r="E127" i="5"/>
  <c r="I125" i="4"/>
  <c r="E126" i="4"/>
  <c r="J127" i="12" l="1"/>
  <c r="P127" i="12" s="1"/>
  <c r="I129" i="12"/>
  <c r="E130" i="12"/>
  <c r="L128" i="12"/>
  <c r="J128" i="12" s="1"/>
  <c r="J127" i="11"/>
  <c r="P127" i="11" s="1"/>
  <c r="L128" i="11"/>
  <c r="K128" i="11" s="1"/>
  <c r="I129" i="11"/>
  <c r="E130" i="11"/>
  <c r="J127" i="9"/>
  <c r="P127" i="9" s="1"/>
  <c r="L128" i="9"/>
  <c r="K128" i="9" s="1"/>
  <c r="E130" i="9"/>
  <c r="I129" i="9"/>
  <c r="J127" i="8"/>
  <c r="P127" i="8" s="1"/>
  <c r="E130" i="8"/>
  <c r="L128" i="8"/>
  <c r="K128" i="8" s="1"/>
  <c r="I130" i="7"/>
  <c r="E131" i="7"/>
  <c r="P128" i="7"/>
  <c r="K125" i="1"/>
  <c r="J125" i="1"/>
  <c r="E127" i="1"/>
  <c r="I126" i="1"/>
  <c r="K125" i="4"/>
  <c r="J125" i="4"/>
  <c r="P125" i="4" s="1"/>
  <c r="P126" i="6"/>
  <c r="E129" i="6"/>
  <c r="I128" i="6"/>
  <c r="J127" i="6"/>
  <c r="K127" i="6"/>
  <c r="P125" i="5"/>
  <c r="L125" i="5"/>
  <c r="E128" i="5"/>
  <c r="I127" i="5"/>
  <c r="K126" i="5"/>
  <c r="J126" i="5"/>
  <c r="I126" i="4"/>
  <c r="E127" i="4"/>
  <c r="K128" i="12" l="1"/>
  <c r="P128" i="12" s="1"/>
  <c r="I130" i="12"/>
  <c r="E131" i="12"/>
  <c r="L129" i="12"/>
  <c r="K129" i="12" s="1"/>
  <c r="J128" i="11"/>
  <c r="P128" i="11" s="1"/>
  <c r="E131" i="11"/>
  <c r="I130" i="11"/>
  <c r="L129" i="11"/>
  <c r="K129" i="11" s="1"/>
  <c r="J128" i="9"/>
  <c r="P128" i="9" s="1"/>
  <c r="L129" i="9"/>
  <c r="K129" i="9" s="1"/>
  <c r="E131" i="9"/>
  <c r="I130" i="9"/>
  <c r="J128" i="8"/>
  <c r="P128" i="8" s="1"/>
  <c r="L129" i="8"/>
  <c r="K129" i="8" s="1"/>
  <c r="E131" i="8"/>
  <c r="I131" i="7"/>
  <c r="E132" i="7"/>
  <c r="P129" i="7"/>
  <c r="J126" i="1"/>
  <c r="K126" i="1"/>
  <c r="E128" i="1"/>
  <c r="I127" i="1"/>
  <c r="J126" i="4"/>
  <c r="P126" i="4" s="1"/>
  <c r="K126" i="4"/>
  <c r="P127" i="6"/>
  <c r="K128" i="6"/>
  <c r="J128" i="6"/>
  <c r="I129" i="6"/>
  <c r="E130" i="6"/>
  <c r="P126" i="5"/>
  <c r="L126" i="5"/>
  <c r="J127" i="5"/>
  <c r="K127" i="5"/>
  <c r="E129" i="5"/>
  <c r="I128" i="5"/>
  <c r="I127" i="4"/>
  <c r="E128" i="4"/>
  <c r="J129" i="12" l="1"/>
  <c r="P129" i="12" s="1"/>
  <c r="I131" i="12"/>
  <c r="E132" i="12"/>
  <c r="L130" i="12"/>
  <c r="K130" i="12" s="1"/>
  <c r="J129" i="11"/>
  <c r="P129" i="11" s="1"/>
  <c r="L130" i="11"/>
  <c r="J130" i="11" s="1"/>
  <c r="I131" i="11"/>
  <c r="E132" i="11"/>
  <c r="J129" i="9"/>
  <c r="P129" i="9" s="1"/>
  <c r="L130" i="9"/>
  <c r="K130" i="9" s="1"/>
  <c r="E132" i="9"/>
  <c r="I131" i="9"/>
  <c r="J129" i="8"/>
  <c r="P129" i="8" s="1"/>
  <c r="L130" i="8"/>
  <c r="K130" i="8" s="1"/>
  <c r="E132" i="8"/>
  <c r="P130" i="7"/>
  <c r="I132" i="7"/>
  <c r="E133" i="7"/>
  <c r="J127" i="1"/>
  <c r="K127" i="1"/>
  <c r="E129" i="1"/>
  <c r="I128" i="1"/>
  <c r="J127" i="4"/>
  <c r="P127" i="4" s="1"/>
  <c r="K127" i="4"/>
  <c r="P128" i="6"/>
  <c r="I130" i="6"/>
  <c r="E131" i="6"/>
  <c r="J129" i="6"/>
  <c r="K129" i="6"/>
  <c r="L127" i="5"/>
  <c r="K128" i="5"/>
  <c r="J128" i="5"/>
  <c r="E130" i="5"/>
  <c r="I129" i="5"/>
  <c r="P127" i="5"/>
  <c r="E129" i="4"/>
  <c r="I128" i="4"/>
  <c r="J130" i="12" l="1"/>
  <c r="P130" i="12" s="1"/>
  <c r="I132" i="12"/>
  <c r="E133" i="12"/>
  <c r="L131" i="12"/>
  <c r="K131" i="12" s="1"/>
  <c r="K130" i="11"/>
  <c r="P130" i="11" s="1"/>
  <c r="I132" i="11"/>
  <c r="E133" i="11"/>
  <c r="L131" i="11"/>
  <c r="K131" i="11" s="1"/>
  <c r="L131" i="9"/>
  <c r="K131" i="9" s="1"/>
  <c r="J130" i="9"/>
  <c r="P130" i="9" s="1"/>
  <c r="E133" i="9"/>
  <c r="I132" i="9"/>
  <c r="J130" i="8"/>
  <c r="P130" i="8" s="1"/>
  <c r="E133" i="8"/>
  <c r="L131" i="8"/>
  <c r="K131" i="8" s="1"/>
  <c r="P131" i="7"/>
  <c r="I133" i="7"/>
  <c r="E134" i="7"/>
  <c r="J128" i="1"/>
  <c r="K128" i="1"/>
  <c r="E130" i="1"/>
  <c r="I129" i="1"/>
  <c r="J128" i="4"/>
  <c r="K128" i="4"/>
  <c r="P129" i="6"/>
  <c r="I131" i="6"/>
  <c r="E132" i="6"/>
  <c r="K130" i="6"/>
  <c r="J130" i="6"/>
  <c r="P128" i="5"/>
  <c r="L128" i="5"/>
  <c r="K129" i="5"/>
  <c r="J129" i="5"/>
  <c r="E131" i="5"/>
  <c r="I130" i="5"/>
  <c r="I129" i="4"/>
  <c r="E130" i="4"/>
  <c r="J131" i="12" l="1"/>
  <c r="P131" i="12" s="1"/>
  <c r="I133" i="12"/>
  <c r="E134" i="12"/>
  <c r="L132" i="12"/>
  <c r="K132" i="12" s="1"/>
  <c r="J131" i="11"/>
  <c r="P131" i="11" s="1"/>
  <c r="I133" i="11"/>
  <c r="E134" i="11"/>
  <c r="L132" i="11"/>
  <c r="K132" i="11" s="1"/>
  <c r="J131" i="9"/>
  <c r="P131" i="9" s="1"/>
  <c r="L132" i="9"/>
  <c r="K132" i="9" s="1"/>
  <c r="E134" i="9"/>
  <c r="I133" i="9"/>
  <c r="J131" i="8"/>
  <c r="P131" i="8" s="1"/>
  <c r="E134" i="8"/>
  <c r="L132" i="8"/>
  <c r="K132" i="8" s="1"/>
  <c r="P132" i="7"/>
  <c r="E135" i="7"/>
  <c r="I134" i="7"/>
  <c r="J129" i="1"/>
  <c r="K129" i="1"/>
  <c r="E131" i="1"/>
  <c r="I130" i="1"/>
  <c r="P128" i="4"/>
  <c r="K129" i="4"/>
  <c r="J129" i="4"/>
  <c r="P129" i="4" s="1"/>
  <c r="P130" i="6"/>
  <c r="J131" i="6"/>
  <c r="K131" i="6"/>
  <c r="E133" i="6"/>
  <c r="I132" i="6"/>
  <c r="P129" i="5"/>
  <c r="L129" i="5"/>
  <c r="K130" i="5"/>
  <c r="J130" i="5"/>
  <c r="I131" i="5"/>
  <c r="E132" i="5"/>
  <c r="I130" i="4"/>
  <c r="E131" i="4"/>
  <c r="J132" i="12" l="1"/>
  <c r="P132" i="12" s="1"/>
  <c r="I134" i="12"/>
  <c r="E135" i="12"/>
  <c r="L133" i="12"/>
  <c r="K133" i="12" s="1"/>
  <c r="J132" i="11"/>
  <c r="P132" i="11" s="1"/>
  <c r="E135" i="11"/>
  <c r="I134" i="11"/>
  <c r="L133" i="11"/>
  <c r="K133" i="11" s="1"/>
  <c r="L133" i="9"/>
  <c r="K133" i="9" s="1"/>
  <c r="E135" i="9"/>
  <c r="I134" i="9"/>
  <c r="J132" i="9"/>
  <c r="P132" i="9" s="1"/>
  <c r="J132" i="8"/>
  <c r="P132" i="8" s="1"/>
  <c r="E135" i="8"/>
  <c r="L133" i="8"/>
  <c r="K133" i="8" s="1"/>
  <c r="P133" i="7"/>
  <c r="E136" i="7"/>
  <c r="I135" i="7"/>
  <c r="J130" i="1"/>
  <c r="K130" i="1"/>
  <c r="K130" i="4"/>
  <c r="J130" i="4"/>
  <c r="P130" i="4" s="1"/>
  <c r="E132" i="1"/>
  <c r="I131" i="1"/>
  <c r="K132" i="6"/>
  <c r="J132" i="6"/>
  <c r="E134" i="6"/>
  <c r="I133" i="6"/>
  <c r="P131" i="6"/>
  <c r="P130" i="5"/>
  <c r="L130" i="5"/>
  <c r="I132" i="5"/>
  <c r="E133" i="5"/>
  <c r="J131" i="5"/>
  <c r="K131" i="5"/>
  <c r="I131" i="4"/>
  <c r="E132" i="4"/>
  <c r="J133" i="12" l="1"/>
  <c r="P133" i="12" s="1"/>
  <c r="I135" i="12"/>
  <c r="E136" i="12"/>
  <c r="L134" i="12"/>
  <c r="K134" i="12" s="1"/>
  <c r="J133" i="11"/>
  <c r="P133" i="11" s="1"/>
  <c r="L134" i="11"/>
  <c r="K134" i="11" s="1"/>
  <c r="I135" i="11"/>
  <c r="E136" i="11"/>
  <c r="J133" i="9"/>
  <c r="P133" i="9" s="1"/>
  <c r="L134" i="9"/>
  <c r="K134" i="9" s="1"/>
  <c r="E136" i="9"/>
  <c r="I135" i="9"/>
  <c r="J133" i="8"/>
  <c r="P133" i="8" s="1"/>
  <c r="E136" i="8"/>
  <c r="L134" i="8"/>
  <c r="K134" i="8" s="1"/>
  <c r="P134" i="7"/>
  <c r="E137" i="7"/>
  <c r="I136" i="7"/>
  <c r="K131" i="1"/>
  <c r="J131" i="1"/>
  <c r="E133" i="1"/>
  <c r="I132" i="1"/>
  <c r="K131" i="4"/>
  <c r="J131" i="4"/>
  <c r="P131" i="4" s="1"/>
  <c r="P132" i="6"/>
  <c r="K133" i="6"/>
  <c r="J133" i="6"/>
  <c r="E135" i="6"/>
  <c r="I134" i="6"/>
  <c r="P131" i="5"/>
  <c r="L131" i="5"/>
  <c r="E134" i="5"/>
  <c r="I133" i="5"/>
  <c r="J132" i="5"/>
  <c r="K132" i="5"/>
  <c r="E133" i="4"/>
  <c r="I132" i="4"/>
  <c r="J134" i="12" l="1"/>
  <c r="P134" i="12" s="1"/>
  <c r="I136" i="12"/>
  <c r="E137" i="12"/>
  <c r="L135" i="12"/>
  <c r="K135" i="12" s="1"/>
  <c r="J134" i="11"/>
  <c r="P134" i="11" s="1"/>
  <c r="E137" i="11"/>
  <c r="I136" i="11"/>
  <c r="L135" i="11"/>
  <c r="K135" i="11" s="1"/>
  <c r="L135" i="9"/>
  <c r="K135" i="9" s="1"/>
  <c r="J134" i="9"/>
  <c r="P134" i="9" s="1"/>
  <c r="E137" i="9"/>
  <c r="I136" i="9"/>
  <c r="J134" i="8"/>
  <c r="P134" i="8" s="1"/>
  <c r="L135" i="8"/>
  <c r="K135" i="8" s="1"/>
  <c r="E137" i="8"/>
  <c r="E138" i="7"/>
  <c r="I137" i="7"/>
  <c r="P135" i="7"/>
  <c r="J132" i="1"/>
  <c r="K132" i="1"/>
  <c r="K132" i="4"/>
  <c r="J132" i="4"/>
  <c r="P132" i="4" s="1"/>
  <c r="E134" i="1"/>
  <c r="I133" i="1"/>
  <c r="P133" i="6"/>
  <c r="E136" i="6"/>
  <c r="I135" i="6"/>
  <c r="K134" i="6"/>
  <c r="J134" i="6"/>
  <c r="L132" i="5"/>
  <c r="P132" i="5"/>
  <c r="K133" i="5"/>
  <c r="J133" i="5"/>
  <c r="I134" i="5"/>
  <c r="E135" i="5"/>
  <c r="I133" i="4"/>
  <c r="E134" i="4"/>
  <c r="J135" i="12" l="1"/>
  <c r="P135" i="12" s="1"/>
  <c r="I137" i="12"/>
  <c r="E138" i="12"/>
  <c r="L136" i="12"/>
  <c r="J136" i="12" s="1"/>
  <c r="J135" i="11"/>
  <c r="P135" i="11" s="1"/>
  <c r="L136" i="11"/>
  <c r="K136" i="11" s="1"/>
  <c r="I137" i="11"/>
  <c r="E138" i="11"/>
  <c r="J135" i="9"/>
  <c r="P135" i="9" s="1"/>
  <c r="E138" i="9"/>
  <c r="I137" i="9"/>
  <c r="L136" i="9"/>
  <c r="K136" i="9" s="1"/>
  <c r="J135" i="8"/>
  <c r="P135" i="8" s="1"/>
  <c r="L136" i="8"/>
  <c r="K136" i="8" s="1"/>
  <c r="E138" i="8"/>
  <c r="I138" i="7"/>
  <c r="E139" i="7"/>
  <c r="P136" i="7"/>
  <c r="E135" i="1"/>
  <c r="I134" i="1"/>
  <c r="K133" i="1"/>
  <c r="J133" i="1"/>
  <c r="K133" i="4"/>
  <c r="J133" i="4"/>
  <c r="P133" i="4" s="1"/>
  <c r="P134" i="6"/>
  <c r="J135" i="6"/>
  <c r="K135" i="6"/>
  <c r="E137" i="6"/>
  <c r="I136" i="6"/>
  <c r="P133" i="5"/>
  <c r="L133" i="5"/>
  <c r="E136" i="5"/>
  <c r="I135" i="5"/>
  <c r="K134" i="5"/>
  <c r="J134" i="5"/>
  <c r="I134" i="4"/>
  <c r="E135" i="4"/>
  <c r="K136" i="12" l="1"/>
  <c r="P136" i="12" s="1"/>
  <c r="I138" i="12"/>
  <c r="E139" i="12"/>
  <c r="L137" i="12"/>
  <c r="K137" i="12" s="1"/>
  <c r="J136" i="11"/>
  <c r="P136" i="11" s="1"/>
  <c r="I138" i="11"/>
  <c r="E139" i="11"/>
  <c r="L137" i="11"/>
  <c r="K137" i="11" s="1"/>
  <c r="L137" i="9"/>
  <c r="K137" i="9" s="1"/>
  <c r="J136" i="9"/>
  <c r="P136" i="9" s="1"/>
  <c r="E139" i="9"/>
  <c r="I138" i="9"/>
  <c r="J136" i="8"/>
  <c r="P136" i="8" s="1"/>
  <c r="E139" i="8"/>
  <c r="L137" i="8"/>
  <c r="K137" i="8" s="1"/>
  <c r="I139" i="7"/>
  <c r="E140" i="7"/>
  <c r="P137" i="7"/>
  <c r="J134" i="4"/>
  <c r="K134" i="4"/>
  <c r="J134" i="1"/>
  <c r="K134" i="1"/>
  <c r="E136" i="1"/>
  <c r="I135" i="1"/>
  <c r="K136" i="6"/>
  <c r="J136" i="6"/>
  <c r="E138" i="6"/>
  <c r="I137" i="6"/>
  <c r="P135" i="6"/>
  <c r="P134" i="5"/>
  <c r="L134" i="5"/>
  <c r="J135" i="5"/>
  <c r="K135" i="5"/>
  <c r="E137" i="5"/>
  <c r="I136" i="5"/>
  <c r="I135" i="4"/>
  <c r="E136" i="4"/>
  <c r="J137" i="12" l="1"/>
  <c r="P137" i="12" s="1"/>
  <c r="I139" i="12"/>
  <c r="E140" i="12"/>
  <c r="L138" i="12"/>
  <c r="K138" i="12" s="1"/>
  <c r="J137" i="11"/>
  <c r="P137" i="11" s="1"/>
  <c r="I139" i="11"/>
  <c r="E140" i="11"/>
  <c r="L138" i="11"/>
  <c r="J138" i="11" s="1"/>
  <c r="J137" i="9"/>
  <c r="P137" i="9" s="1"/>
  <c r="L138" i="9"/>
  <c r="J138" i="9" s="1"/>
  <c r="E140" i="9"/>
  <c r="I139" i="9"/>
  <c r="J137" i="8"/>
  <c r="P137" i="8" s="1"/>
  <c r="L138" i="8"/>
  <c r="K138" i="8" s="1"/>
  <c r="E140" i="8"/>
  <c r="P138" i="7"/>
  <c r="E141" i="7"/>
  <c r="I140" i="7"/>
  <c r="E137" i="1"/>
  <c r="I136" i="1"/>
  <c r="J135" i="4"/>
  <c r="K135" i="4"/>
  <c r="J135" i="1"/>
  <c r="K135" i="1"/>
  <c r="P134" i="4"/>
  <c r="P136" i="6"/>
  <c r="K137" i="6"/>
  <c r="J137" i="6"/>
  <c r="I138" i="6"/>
  <c r="E139" i="6"/>
  <c r="L135" i="5"/>
  <c r="K136" i="5"/>
  <c r="J136" i="5"/>
  <c r="E138" i="5"/>
  <c r="I137" i="5"/>
  <c r="P135" i="5"/>
  <c r="E137" i="4"/>
  <c r="I136" i="4"/>
  <c r="J138" i="12" l="1"/>
  <c r="P138" i="12" s="1"/>
  <c r="I140" i="12"/>
  <c r="E141" i="12"/>
  <c r="L139" i="12"/>
  <c r="K139" i="12" s="1"/>
  <c r="K138" i="11"/>
  <c r="P138" i="11" s="1"/>
  <c r="I140" i="11"/>
  <c r="E141" i="11"/>
  <c r="L139" i="11"/>
  <c r="K139" i="11" s="1"/>
  <c r="K138" i="9"/>
  <c r="P138" i="9" s="1"/>
  <c r="L139" i="9"/>
  <c r="K139" i="9" s="1"/>
  <c r="E141" i="9"/>
  <c r="I140" i="9"/>
  <c r="J138" i="8"/>
  <c r="P138" i="8" s="1"/>
  <c r="L139" i="8"/>
  <c r="K139" i="8" s="1"/>
  <c r="E141" i="8"/>
  <c r="P139" i="7"/>
  <c r="I141" i="7"/>
  <c r="E142" i="7"/>
  <c r="P135" i="4"/>
  <c r="J136" i="1"/>
  <c r="K136" i="1"/>
  <c r="J136" i="4"/>
  <c r="K136" i="4"/>
  <c r="E138" i="1"/>
  <c r="I137" i="1"/>
  <c r="P137" i="6"/>
  <c r="I139" i="6"/>
  <c r="E140" i="6"/>
  <c r="K138" i="6"/>
  <c r="J138" i="6"/>
  <c r="P136" i="5"/>
  <c r="L136" i="5"/>
  <c r="K137" i="5"/>
  <c r="J137" i="5"/>
  <c r="E139" i="5"/>
  <c r="I138" i="5"/>
  <c r="I137" i="4"/>
  <c r="E138" i="4"/>
  <c r="J139" i="12" l="1"/>
  <c r="P139" i="12" s="1"/>
  <c r="I141" i="12"/>
  <c r="E142" i="12"/>
  <c r="L140" i="12"/>
  <c r="K140" i="12" s="1"/>
  <c r="J139" i="11"/>
  <c r="P139" i="11" s="1"/>
  <c r="I141" i="11"/>
  <c r="E142" i="11"/>
  <c r="L140" i="11"/>
  <c r="K140" i="11" s="1"/>
  <c r="J139" i="9"/>
  <c r="P139" i="9" s="1"/>
  <c r="L140" i="9"/>
  <c r="K140" i="9" s="1"/>
  <c r="E142" i="9"/>
  <c r="I141" i="9"/>
  <c r="J139" i="8"/>
  <c r="P139" i="8" s="1"/>
  <c r="E142" i="8"/>
  <c r="L140" i="8"/>
  <c r="K140" i="8" s="1"/>
  <c r="E143" i="7"/>
  <c r="I142" i="7"/>
  <c r="P140" i="7"/>
  <c r="E139" i="1"/>
  <c r="I138" i="1"/>
  <c r="P136" i="4"/>
  <c r="K137" i="4"/>
  <c r="J137" i="4"/>
  <c r="P137" i="4" s="1"/>
  <c r="J137" i="1"/>
  <c r="K137" i="1"/>
  <c r="P138" i="6"/>
  <c r="I140" i="6"/>
  <c r="E141" i="6"/>
  <c r="J139" i="6"/>
  <c r="K139" i="6"/>
  <c r="P137" i="5"/>
  <c r="L137" i="5"/>
  <c r="J138" i="5"/>
  <c r="K138" i="5"/>
  <c r="I139" i="5"/>
  <c r="E140" i="5"/>
  <c r="I138" i="4"/>
  <c r="E139" i="4"/>
  <c r="J140" i="12" l="1"/>
  <c r="P140" i="12" s="1"/>
  <c r="I142" i="12"/>
  <c r="E143" i="12"/>
  <c r="L141" i="12"/>
  <c r="K141" i="12" s="1"/>
  <c r="J140" i="11"/>
  <c r="P140" i="11" s="1"/>
  <c r="E143" i="11"/>
  <c r="I142" i="11"/>
  <c r="L141" i="11"/>
  <c r="K141" i="11" s="1"/>
  <c r="L141" i="9"/>
  <c r="K141" i="9" s="1"/>
  <c r="E143" i="9"/>
  <c r="I142" i="9"/>
  <c r="J140" i="9"/>
  <c r="P140" i="9" s="1"/>
  <c r="J140" i="8"/>
  <c r="P140" i="8" s="1"/>
  <c r="E143" i="8"/>
  <c r="L141" i="8"/>
  <c r="K141" i="8" s="1"/>
  <c r="E144" i="7"/>
  <c r="I143" i="7"/>
  <c r="P141" i="7"/>
  <c r="J138" i="1"/>
  <c r="K138" i="1"/>
  <c r="K138" i="4"/>
  <c r="J138" i="4"/>
  <c r="P138" i="4" s="1"/>
  <c r="E140" i="1"/>
  <c r="I139" i="1"/>
  <c r="E142" i="6"/>
  <c r="I141" i="6"/>
  <c r="P139" i="6"/>
  <c r="K140" i="6"/>
  <c r="J140" i="6"/>
  <c r="L138" i="5"/>
  <c r="I140" i="5"/>
  <c r="E141" i="5"/>
  <c r="J139" i="5"/>
  <c r="K139" i="5"/>
  <c r="P138" i="5"/>
  <c r="I139" i="4"/>
  <c r="E140" i="4"/>
  <c r="J141" i="12" l="1"/>
  <c r="P141" i="12" s="1"/>
  <c r="I143" i="12"/>
  <c r="E144" i="12"/>
  <c r="L142" i="12"/>
  <c r="K142" i="12" s="1"/>
  <c r="J141" i="11"/>
  <c r="P141" i="11" s="1"/>
  <c r="L142" i="11"/>
  <c r="K142" i="11" s="1"/>
  <c r="E144" i="11"/>
  <c r="I143" i="11"/>
  <c r="J141" i="9"/>
  <c r="P141" i="9" s="1"/>
  <c r="L142" i="9"/>
  <c r="K142" i="9" s="1"/>
  <c r="E144" i="9"/>
  <c r="I143" i="9"/>
  <c r="J141" i="8"/>
  <c r="P141" i="8" s="1"/>
  <c r="E144" i="8"/>
  <c r="L142" i="8"/>
  <c r="J142" i="8" s="1"/>
  <c r="P142" i="7"/>
  <c r="I144" i="7"/>
  <c r="E145" i="7"/>
  <c r="K139" i="1"/>
  <c r="J139" i="1"/>
  <c r="E141" i="1"/>
  <c r="I140" i="1"/>
  <c r="K139" i="4"/>
  <c r="J139" i="4"/>
  <c r="P139" i="4" s="1"/>
  <c r="P140" i="6"/>
  <c r="K141" i="6"/>
  <c r="J141" i="6"/>
  <c r="E143" i="6"/>
  <c r="I142" i="6"/>
  <c r="P139" i="5"/>
  <c r="L139" i="5"/>
  <c r="E142" i="5"/>
  <c r="I141" i="5"/>
  <c r="J140" i="5"/>
  <c r="K140" i="5"/>
  <c r="E141" i="4"/>
  <c r="I140" i="4"/>
  <c r="J142" i="12" l="1"/>
  <c r="P142" i="12" s="1"/>
  <c r="I144" i="12"/>
  <c r="E145" i="12"/>
  <c r="L143" i="12"/>
  <c r="J143" i="12" s="1"/>
  <c r="J142" i="11"/>
  <c r="P142" i="11" s="1"/>
  <c r="L143" i="11"/>
  <c r="K143" i="11" s="1"/>
  <c r="I144" i="11"/>
  <c r="E145" i="11"/>
  <c r="E145" i="9"/>
  <c r="I144" i="9"/>
  <c r="L143" i="9"/>
  <c r="K143" i="9" s="1"/>
  <c r="J142" i="9"/>
  <c r="P142" i="9" s="1"/>
  <c r="K142" i="8"/>
  <c r="P142" i="8" s="1"/>
  <c r="L143" i="8"/>
  <c r="K143" i="8" s="1"/>
  <c r="E145" i="8"/>
  <c r="P143" i="7"/>
  <c r="I145" i="7"/>
  <c r="E146" i="7"/>
  <c r="J140" i="1"/>
  <c r="K140" i="1"/>
  <c r="K140" i="4"/>
  <c r="J140" i="4"/>
  <c r="P140" i="4" s="1"/>
  <c r="E142" i="1"/>
  <c r="I141" i="1"/>
  <c r="P141" i="6"/>
  <c r="K142" i="6"/>
  <c r="J142" i="6"/>
  <c r="E144" i="6"/>
  <c r="I143" i="6"/>
  <c r="P140" i="5"/>
  <c r="L140" i="5"/>
  <c r="K141" i="5"/>
  <c r="J141" i="5"/>
  <c r="I142" i="5"/>
  <c r="E143" i="5"/>
  <c r="E142" i="4"/>
  <c r="I141" i="4"/>
  <c r="K143" i="12" l="1"/>
  <c r="P143" i="12" s="1"/>
  <c r="I145" i="12"/>
  <c r="E146" i="12"/>
  <c r="L144" i="12"/>
  <c r="K144" i="12" s="1"/>
  <c r="I145" i="11"/>
  <c r="E146" i="11"/>
  <c r="L144" i="11"/>
  <c r="J144" i="11" s="1"/>
  <c r="J143" i="11"/>
  <c r="P143" i="11" s="1"/>
  <c r="J143" i="9"/>
  <c r="P143" i="9" s="1"/>
  <c r="L144" i="9"/>
  <c r="K144" i="9" s="1"/>
  <c r="E146" i="9"/>
  <c r="I145" i="9"/>
  <c r="J143" i="8"/>
  <c r="P143" i="8" s="1"/>
  <c r="L144" i="8"/>
  <c r="K144" i="8" s="1"/>
  <c r="E146" i="8"/>
  <c r="P144" i="7"/>
  <c r="I146" i="7"/>
  <c r="E147" i="7"/>
  <c r="E143" i="1"/>
  <c r="I142" i="1"/>
  <c r="K141" i="1"/>
  <c r="J141" i="1"/>
  <c r="K141" i="4"/>
  <c r="J141" i="4"/>
  <c r="P141" i="4" s="1"/>
  <c r="P142" i="6"/>
  <c r="E145" i="6"/>
  <c r="I144" i="6"/>
  <c r="J143" i="6"/>
  <c r="K143" i="6"/>
  <c r="P141" i="5"/>
  <c r="L141" i="5"/>
  <c r="E144" i="5"/>
  <c r="I143" i="5"/>
  <c r="K142" i="5"/>
  <c r="J142" i="5"/>
  <c r="I142" i="4"/>
  <c r="E143" i="4"/>
  <c r="J144" i="12" l="1"/>
  <c r="P144" i="12" s="1"/>
  <c r="I146" i="12"/>
  <c r="E147" i="12"/>
  <c r="L145" i="12"/>
  <c r="K145" i="12" s="1"/>
  <c r="K144" i="11"/>
  <c r="P144" i="11" s="1"/>
  <c r="I146" i="11"/>
  <c r="E147" i="11"/>
  <c r="L145" i="11"/>
  <c r="J145" i="11" s="1"/>
  <c r="J144" i="9"/>
  <c r="P144" i="9" s="1"/>
  <c r="L145" i="9"/>
  <c r="K145" i="9" s="1"/>
  <c r="E147" i="9"/>
  <c r="I146" i="9"/>
  <c r="J144" i="8"/>
  <c r="P144" i="8" s="1"/>
  <c r="L145" i="8"/>
  <c r="K145" i="8" s="1"/>
  <c r="E147" i="8"/>
  <c r="P145" i="7"/>
  <c r="I147" i="7"/>
  <c r="E148" i="7"/>
  <c r="J142" i="1"/>
  <c r="K142" i="1"/>
  <c r="J142" i="4"/>
  <c r="K142" i="4"/>
  <c r="E144" i="1"/>
  <c r="I143" i="1"/>
  <c r="P143" i="6"/>
  <c r="K144" i="6"/>
  <c r="J144" i="6"/>
  <c r="E146" i="6"/>
  <c r="I145" i="6"/>
  <c r="P142" i="5"/>
  <c r="L142" i="5"/>
  <c r="J143" i="5"/>
  <c r="K143" i="5"/>
  <c r="E145" i="5"/>
  <c r="I144" i="5"/>
  <c r="E144" i="4"/>
  <c r="I143" i="4"/>
  <c r="J145" i="12" l="1"/>
  <c r="P145" i="12" s="1"/>
  <c r="I147" i="12"/>
  <c r="E148" i="12"/>
  <c r="L146" i="12"/>
  <c r="K146" i="12" s="1"/>
  <c r="K145" i="11"/>
  <c r="P145" i="11" s="1"/>
  <c r="I147" i="11"/>
  <c r="E148" i="11"/>
  <c r="L146" i="11"/>
  <c r="K146" i="11" s="1"/>
  <c r="J145" i="9"/>
  <c r="P145" i="9" s="1"/>
  <c r="L146" i="9"/>
  <c r="K146" i="9" s="1"/>
  <c r="E148" i="9"/>
  <c r="I147" i="9"/>
  <c r="J145" i="8"/>
  <c r="P145" i="8" s="1"/>
  <c r="L146" i="8"/>
  <c r="K146" i="8" s="1"/>
  <c r="E148" i="8"/>
  <c r="P146" i="7"/>
  <c r="E149" i="7"/>
  <c r="I148" i="7"/>
  <c r="E145" i="1"/>
  <c r="I144" i="1"/>
  <c r="P142" i="4"/>
  <c r="J143" i="1"/>
  <c r="K143" i="1"/>
  <c r="J143" i="4"/>
  <c r="K143" i="4"/>
  <c r="P144" i="6"/>
  <c r="K145" i="6"/>
  <c r="J145" i="6"/>
  <c r="I146" i="6"/>
  <c r="E147" i="6"/>
  <c r="L143" i="5"/>
  <c r="K144" i="5"/>
  <c r="J144" i="5"/>
  <c r="I145" i="5"/>
  <c r="E146" i="5"/>
  <c r="P143" i="5"/>
  <c r="E145" i="4"/>
  <c r="I144" i="4"/>
  <c r="J146" i="12" l="1"/>
  <c r="P146" i="12" s="1"/>
  <c r="I148" i="12"/>
  <c r="E149" i="12"/>
  <c r="L147" i="12"/>
  <c r="K147" i="12" s="1"/>
  <c r="J146" i="11"/>
  <c r="P146" i="11" s="1"/>
  <c r="I148" i="11"/>
  <c r="E149" i="11"/>
  <c r="L147" i="11"/>
  <c r="K147" i="11" s="1"/>
  <c r="J146" i="9"/>
  <c r="P146" i="9" s="1"/>
  <c r="L147" i="9"/>
  <c r="K147" i="9" s="1"/>
  <c r="E149" i="9"/>
  <c r="I148" i="9"/>
  <c r="J146" i="8"/>
  <c r="P146" i="8" s="1"/>
  <c r="E149" i="8"/>
  <c r="L147" i="8"/>
  <c r="K147" i="8" s="1"/>
  <c r="P147" i="7"/>
  <c r="E150" i="7"/>
  <c r="I149" i="7"/>
  <c r="P143" i="4"/>
  <c r="J144" i="4"/>
  <c r="K144" i="4"/>
  <c r="J144" i="1"/>
  <c r="K144" i="1"/>
  <c r="E146" i="1"/>
  <c r="I145" i="1"/>
  <c r="P145" i="6"/>
  <c r="K146" i="6"/>
  <c r="J146" i="6"/>
  <c r="I147" i="6"/>
  <c r="E148" i="6"/>
  <c r="P144" i="5"/>
  <c r="L144" i="5"/>
  <c r="E147" i="5"/>
  <c r="I146" i="5"/>
  <c r="K145" i="5"/>
  <c r="J145" i="5"/>
  <c r="I145" i="4"/>
  <c r="E146" i="4"/>
  <c r="J147" i="12" l="1"/>
  <c r="P147" i="12" s="1"/>
  <c r="I149" i="12"/>
  <c r="E150" i="12"/>
  <c r="L148" i="12"/>
  <c r="K148" i="12" s="1"/>
  <c r="J147" i="11"/>
  <c r="P147" i="11" s="1"/>
  <c r="I149" i="11"/>
  <c r="E150" i="11"/>
  <c r="L148" i="11"/>
  <c r="K148" i="11" s="1"/>
  <c r="J147" i="9"/>
  <c r="P147" i="9" s="1"/>
  <c r="L148" i="9"/>
  <c r="K148" i="9" s="1"/>
  <c r="E150" i="9"/>
  <c r="I149" i="9"/>
  <c r="J147" i="8"/>
  <c r="P147" i="8" s="1"/>
  <c r="E150" i="8"/>
  <c r="L148" i="8"/>
  <c r="K148" i="8" s="1"/>
  <c r="P148" i="7"/>
  <c r="E151" i="7"/>
  <c r="I150" i="7"/>
  <c r="E147" i="1"/>
  <c r="I146" i="1"/>
  <c r="J145" i="1"/>
  <c r="K145" i="1"/>
  <c r="K145" i="4"/>
  <c r="J145" i="4"/>
  <c r="P145" i="4" s="1"/>
  <c r="P144" i="4"/>
  <c r="P146" i="6"/>
  <c r="J147" i="6"/>
  <c r="K147" i="6"/>
  <c r="I148" i="6"/>
  <c r="E149" i="6"/>
  <c r="P145" i="5"/>
  <c r="L145" i="5"/>
  <c r="K146" i="5"/>
  <c r="J146" i="5"/>
  <c r="I147" i="5"/>
  <c r="E148" i="5"/>
  <c r="E147" i="4"/>
  <c r="I146" i="4"/>
  <c r="J148" i="12" l="1"/>
  <c r="P148" i="12" s="1"/>
  <c r="I150" i="12"/>
  <c r="E151" i="12"/>
  <c r="L149" i="12"/>
  <c r="K149" i="12" s="1"/>
  <c r="J148" i="11"/>
  <c r="P148" i="11" s="1"/>
  <c r="I150" i="11"/>
  <c r="E151" i="11"/>
  <c r="L149" i="11"/>
  <c r="K149" i="11" s="1"/>
  <c r="J148" i="9"/>
  <c r="P148" i="9" s="1"/>
  <c r="L149" i="9"/>
  <c r="K149" i="9" s="1"/>
  <c r="E151" i="9"/>
  <c r="I150" i="9"/>
  <c r="J148" i="8"/>
  <c r="P148" i="8" s="1"/>
  <c r="E151" i="8"/>
  <c r="L149" i="8"/>
  <c r="J149" i="8" s="1"/>
  <c r="I151" i="7"/>
  <c r="E152" i="7"/>
  <c r="P149" i="7"/>
  <c r="J146" i="1"/>
  <c r="K146" i="1"/>
  <c r="K146" i="4"/>
  <c r="J146" i="4"/>
  <c r="P146" i="4" s="1"/>
  <c r="E148" i="1"/>
  <c r="I147" i="1"/>
  <c r="I149" i="6"/>
  <c r="E150" i="6"/>
  <c r="K148" i="6"/>
  <c r="J148" i="6"/>
  <c r="P147" i="6"/>
  <c r="P146" i="5"/>
  <c r="L146" i="5"/>
  <c r="I148" i="5"/>
  <c r="E149" i="5"/>
  <c r="J147" i="5"/>
  <c r="K147" i="5"/>
  <c r="E148" i="4"/>
  <c r="I147" i="4"/>
  <c r="J149" i="12" l="1"/>
  <c r="P149" i="12" s="1"/>
  <c r="I151" i="12"/>
  <c r="E152" i="12"/>
  <c r="L150" i="12"/>
  <c r="K150" i="12" s="1"/>
  <c r="J149" i="11"/>
  <c r="P149" i="11" s="1"/>
  <c r="I151" i="11"/>
  <c r="E152" i="11"/>
  <c r="L150" i="11"/>
  <c r="K150" i="11" s="1"/>
  <c r="J149" i="9"/>
  <c r="P149" i="9" s="1"/>
  <c r="L150" i="9"/>
  <c r="K150" i="9" s="1"/>
  <c r="E152" i="9"/>
  <c r="I151" i="9"/>
  <c r="K149" i="8"/>
  <c r="P149" i="8" s="1"/>
  <c r="E152" i="8"/>
  <c r="L150" i="8"/>
  <c r="K150" i="8" s="1"/>
  <c r="I152" i="7"/>
  <c r="E153" i="7"/>
  <c r="P150" i="7"/>
  <c r="K147" i="1"/>
  <c r="J147" i="1"/>
  <c r="E149" i="1"/>
  <c r="I148" i="1"/>
  <c r="K147" i="4"/>
  <c r="J147" i="4"/>
  <c r="P147" i="4" s="1"/>
  <c r="P148" i="6"/>
  <c r="E151" i="6"/>
  <c r="I150" i="6"/>
  <c r="K149" i="6"/>
  <c r="J149" i="6"/>
  <c r="P147" i="5"/>
  <c r="L147" i="5"/>
  <c r="E150" i="5"/>
  <c r="I149" i="5"/>
  <c r="J148" i="5"/>
  <c r="K148" i="5"/>
  <c r="I148" i="4"/>
  <c r="E149" i="4"/>
  <c r="J150" i="12" l="1"/>
  <c r="P150" i="12" s="1"/>
  <c r="I152" i="12"/>
  <c r="E153" i="12"/>
  <c r="L151" i="12"/>
  <c r="K151" i="12" s="1"/>
  <c r="J150" i="11"/>
  <c r="P150" i="11" s="1"/>
  <c r="I152" i="11"/>
  <c r="E153" i="11"/>
  <c r="L151" i="11"/>
  <c r="K151" i="11" s="1"/>
  <c r="J150" i="9"/>
  <c r="P150" i="9" s="1"/>
  <c r="L151" i="9"/>
  <c r="K151" i="9" s="1"/>
  <c r="E153" i="9"/>
  <c r="I152" i="9"/>
  <c r="J150" i="8"/>
  <c r="P150" i="8" s="1"/>
  <c r="E153" i="8"/>
  <c r="L151" i="8"/>
  <c r="K151" i="8" s="1"/>
  <c r="P151" i="7"/>
  <c r="I153" i="7"/>
  <c r="E154" i="7"/>
  <c r="J148" i="1"/>
  <c r="K148" i="1"/>
  <c r="E150" i="1"/>
  <c r="I149" i="1"/>
  <c r="K148" i="4"/>
  <c r="J148" i="4"/>
  <c r="P148" i="4" s="1"/>
  <c r="P149" i="6"/>
  <c r="K150" i="6"/>
  <c r="J150" i="6"/>
  <c r="E152" i="6"/>
  <c r="I151" i="6"/>
  <c r="P148" i="5"/>
  <c r="L148" i="5"/>
  <c r="K149" i="5"/>
  <c r="J149" i="5"/>
  <c r="I150" i="5"/>
  <c r="E151" i="5"/>
  <c r="E150" i="4"/>
  <c r="I149" i="4"/>
  <c r="J151" i="12" l="1"/>
  <c r="P151" i="12" s="1"/>
  <c r="I153" i="12"/>
  <c r="E154" i="12"/>
  <c r="L152" i="12"/>
  <c r="K152" i="12" s="1"/>
  <c r="J151" i="11"/>
  <c r="P151" i="11" s="1"/>
  <c r="I153" i="11"/>
  <c r="E154" i="11"/>
  <c r="L152" i="11"/>
  <c r="K152" i="11" s="1"/>
  <c r="J151" i="9"/>
  <c r="P151" i="9" s="1"/>
  <c r="E154" i="9"/>
  <c r="I153" i="9"/>
  <c r="L152" i="9"/>
  <c r="K152" i="9" s="1"/>
  <c r="J151" i="8"/>
  <c r="P151" i="8" s="1"/>
  <c r="L152" i="8"/>
  <c r="K152" i="8" s="1"/>
  <c r="E154" i="8"/>
  <c r="P152" i="7"/>
  <c r="I154" i="7"/>
  <c r="E155" i="7"/>
  <c r="K149" i="1"/>
  <c r="J149" i="1"/>
  <c r="K149" i="4"/>
  <c r="J149" i="4"/>
  <c r="P149" i="4" s="1"/>
  <c r="E151" i="1"/>
  <c r="I150" i="1"/>
  <c r="P150" i="6"/>
  <c r="J151" i="6"/>
  <c r="K151" i="6"/>
  <c r="E153" i="6"/>
  <c r="I152" i="6"/>
  <c r="P149" i="5"/>
  <c r="L149" i="5"/>
  <c r="E152" i="5"/>
  <c r="I151" i="5"/>
  <c r="K150" i="5"/>
  <c r="J150" i="5"/>
  <c r="I150" i="4"/>
  <c r="E151" i="4"/>
  <c r="J152" i="12" l="1"/>
  <c r="P152" i="12" s="1"/>
  <c r="I154" i="12"/>
  <c r="E155" i="12"/>
  <c r="L153" i="12"/>
  <c r="K153" i="12" s="1"/>
  <c r="J152" i="11"/>
  <c r="P152" i="11" s="1"/>
  <c r="I154" i="11"/>
  <c r="E155" i="11"/>
  <c r="L153" i="11"/>
  <c r="K153" i="11" s="1"/>
  <c r="J152" i="9"/>
  <c r="P152" i="9" s="1"/>
  <c r="L153" i="9"/>
  <c r="K153" i="9" s="1"/>
  <c r="E155" i="9"/>
  <c r="I154" i="9"/>
  <c r="J152" i="8"/>
  <c r="P152" i="8" s="1"/>
  <c r="E155" i="8"/>
  <c r="L153" i="8"/>
  <c r="K153" i="8" s="1"/>
  <c r="P153" i="7"/>
  <c r="E156" i="7"/>
  <c r="I155" i="7"/>
  <c r="J150" i="1"/>
  <c r="K150" i="1"/>
  <c r="E152" i="1"/>
  <c r="I151" i="1"/>
  <c r="J150" i="4"/>
  <c r="P150" i="4" s="1"/>
  <c r="K150" i="4"/>
  <c r="K152" i="6"/>
  <c r="J152" i="6"/>
  <c r="E154" i="6"/>
  <c r="I153" i="6"/>
  <c r="P151" i="6"/>
  <c r="P150" i="5"/>
  <c r="L150" i="5"/>
  <c r="J151" i="5"/>
  <c r="K151" i="5"/>
  <c r="E153" i="5"/>
  <c r="I152" i="5"/>
  <c r="E152" i="4"/>
  <c r="I151" i="4"/>
  <c r="J153" i="12" l="1"/>
  <c r="P153" i="12" s="1"/>
  <c r="I155" i="12"/>
  <c r="E156" i="12"/>
  <c r="L154" i="12"/>
  <c r="K154" i="12" s="1"/>
  <c r="J153" i="11"/>
  <c r="P153" i="11" s="1"/>
  <c r="I155" i="11"/>
  <c r="E156" i="11"/>
  <c r="L154" i="11"/>
  <c r="K154" i="11" s="1"/>
  <c r="J153" i="9"/>
  <c r="P153" i="9" s="1"/>
  <c r="E156" i="9"/>
  <c r="I155" i="9"/>
  <c r="L154" i="9"/>
  <c r="K154" i="9" s="1"/>
  <c r="J153" i="8"/>
  <c r="P153" i="8" s="1"/>
  <c r="E156" i="8"/>
  <c r="L154" i="8"/>
  <c r="K154" i="8" s="1"/>
  <c r="E157" i="7"/>
  <c r="I156" i="7"/>
  <c r="P154" i="7"/>
  <c r="J151" i="1"/>
  <c r="K151" i="1"/>
  <c r="E153" i="1"/>
  <c r="I152" i="1"/>
  <c r="J151" i="4"/>
  <c r="P151" i="4" s="1"/>
  <c r="K151" i="4"/>
  <c r="P152" i="6"/>
  <c r="I154" i="6"/>
  <c r="E155" i="6"/>
  <c r="K153" i="6"/>
  <c r="J153" i="6"/>
  <c r="L151" i="5"/>
  <c r="K152" i="5"/>
  <c r="J152" i="5"/>
  <c r="I153" i="5"/>
  <c r="E154" i="5"/>
  <c r="P151" i="5"/>
  <c r="E153" i="4"/>
  <c r="I152" i="4"/>
  <c r="J154" i="12" l="1"/>
  <c r="P154" i="12" s="1"/>
  <c r="I156" i="12"/>
  <c r="E157" i="12"/>
  <c r="L155" i="12"/>
  <c r="K155" i="12" s="1"/>
  <c r="J154" i="11"/>
  <c r="P154" i="11" s="1"/>
  <c r="I156" i="11"/>
  <c r="E157" i="11"/>
  <c r="L155" i="11"/>
  <c r="K155" i="11" s="1"/>
  <c r="J154" i="9"/>
  <c r="P154" i="9" s="1"/>
  <c r="L155" i="9"/>
  <c r="K155" i="9" s="1"/>
  <c r="E157" i="9"/>
  <c r="I156" i="9"/>
  <c r="J154" i="8"/>
  <c r="P154" i="8" s="1"/>
  <c r="L155" i="8"/>
  <c r="K155" i="8" s="1"/>
  <c r="E157" i="8"/>
  <c r="E158" i="7"/>
  <c r="I157" i="7"/>
  <c r="P155" i="7"/>
  <c r="J152" i="1"/>
  <c r="K152" i="1"/>
  <c r="E154" i="1"/>
  <c r="I153" i="1"/>
  <c r="J152" i="4"/>
  <c r="K152" i="4"/>
  <c r="P153" i="6"/>
  <c r="I155" i="6"/>
  <c r="E156" i="6"/>
  <c r="K154" i="6"/>
  <c r="J154" i="6"/>
  <c r="P152" i="5"/>
  <c r="L152" i="5"/>
  <c r="E155" i="5"/>
  <c r="I154" i="5"/>
  <c r="J153" i="5"/>
  <c r="K153" i="5"/>
  <c r="I153" i="4"/>
  <c r="E154" i="4"/>
  <c r="J155" i="12" l="1"/>
  <c r="P155" i="12" s="1"/>
  <c r="I157" i="12"/>
  <c r="E158" i="12"/>
  <c r="L156" i="12"/>
  <c r="K156" i="12" s="1"/>
  <c r="J155" i="11"/>
  <c r="P155" i="11" s="1"/>
  <c r="I157" i="11"/>
  <c r="E158" i="11"/>
  <c r="L156" i="11"/>
  <c r="K156" i="11" s="1"/>
  <c r="J155" i="9"/>
  <c r="P155" i="9" s="1"/>
  <c r="L156" i="9"/>
  <c r="K156" i="9" s="1"/>
  <c r="E158" i="9"/>
  <c r="I157" i="9"/>
  <c r="J155" i="8"/>
  <c r="P155" i="8" s="1"/>
  <c r="L156" i="8"/>
  <c r="K156" i="8" s="1"/>
  <c r="E158" i="8"/>
  <c r="E159" i="7"/>
  <c r="I158" i="7"/>
  <c r="P156" i="7"/>
  <c r="P152" i="4"/>
  <c r="J153" i="1"/>
  <c r="K153" i="1"/>
  <c r="E155" i="1"/>
  <c r="I154" i="1"/>
  <c r="K153" i="4"/>
  <c r="J153" i="4"/>
  <c r="P153" i="4" s="1"/>
  <c r="P154" i="6"/>
  <c r="I156" i="6"/>
  <c r="E157" i="6"/>
  <c r="J155" i="6"/>
  <c r="K155" i="6"/>
  <c r="L153" i="5"/>
  <c r="P153" i="5"/>
  <c r="K154" i="5"/>
  <c r="J154" i="5"/>
  <c r="I155" i="5"/>
  <c r="E156" i="5"/>
  <c r="I154" i="4"/>
  <c r="E155" i="4"/>
  <c r="J156" i="12" l="1"/>
  <c r="P156" i="12" s="1"/>
  <c r="I158" i="12"/>
  <c r="E159" i="12"/>
  <c r="L157" i="12"/>
  <c r="K157" i="12" s="1"/>
  <c r="J156" i="11"/>
  <c r="P156" i="11" s="1"/>
  <c r="I158" i="11"/>
  <c r="E159" i="11"/>
  <c r="L157" i="11"/>
  <c r="K157" i="11" s="1"/>
  <c r="J156" i="9"/>
  <c r="P156" i="9" s="1"/>
  <c r="L157" i="9"/>
  <c r="K157" i="9" s="1"/>
  <c r="E159" i="9"/>
  <c r="I158" i="9"/>
  <c r="J156" i="8"/>
  <c r="P156" i="8" s="1"/>
  <c r="E159" i="8"/>
  <c r="L157" i="8"/>
  <c r="K157" i="8" s="1"/>
  <c r="I159" i="7"/>
  <c r="E160" i="7"/>
  <c r="P157" i="7"/>
  <c r="E156" i="1"/>
  <c r="I155" i="1"/>
  <c r="J154" i="1"/>
  <c r="K154" i="1"/>
  <c r="K154" i="4"/>
  <c r="J154" i="4"/>
  <c r="P154" i="4" s="1"/>
  <c r="P155" i="6"/>
  <c r="E158" i="6"/>
  <c r="I157" i="6"/>
  <c r="K156" i="6"/>
  <c r="J156" i="6"/>
  <c r="L154" i="5"/>
  <c r="P154" i="5"/>
  <c r="I156" i="5"/>
  <c r="E157" i="5"/>
  <c r="J155" i="5"/>
  <c r="K155" i="5"/>
  <c r="E156" i="4"/>
  <c r="I155" i="4"/>
  <c r="J157" i="12" l="1"/>
  <c r="P157" i="12" s="1"/>
  <c r="I159" i="12"/>
  <c r="E160" i="12"/>
  <c r="L158" i="12"/>
  <c r="K158" i="12" s="1"/>
  <c r="J157" i="11"/>
  <c r="P157" i="11" s="1"/>
  <c r="I159" i="11"/>
  <c r="E160" i="11"/>
  <c r="L158" i="11"/>
  <c r="K158" i="11" s="1"/>
  <c r="J157" i="9"/>
  <c r="P157" i="9" s="1"/>
  <c r="L158" i="9"/>
  <c r="K158" i="9" s="1"/>
  <c r="E160" i="9"/>
  <c r="I159" i="9"/>
  <c r="J157" i="8"/>
  <c r="P157" i="8" s="1"/>
  <c r="E160" i="8"/>
  <c r="L158" i="8"/>
  <c r="K158" i="8" s="1"/>
  <c r="I160" i="7"/>
  <c r="E161" i="7"/>
  <c r="P158" i="7"/>
  <c r="K155" i="4"/>
  <c r="J155" i="4"/>
  <c r="P155" i="4" s="1"/>
  <c r="K155" i="1"/>
  <c r="J155" i="1"/>
  <c r="E157" i="1"/>
  <c r="I156" i="1"/>
  <c r="P156" i="6"/>
  <c r="K157" i="6"/>
  <c r="J157" i="6"/>
  <c r="E159" i="6"/>
  <c r="I158" i="6"/>
  <c r="P155" i="5"/>
  <c r="L155" i="5"/>
  <c r="I157" i="5"/>
  <c r="E158" i="5"/>
  <c r="J156" i="5"/>
  <c r="K156" i="5"/>
  <c r="I156" i="4"/>
  <c r="E157" i="4"/>
  <c r="J158" i="12" l="1"/>
  <c r="P158" i="12" s="1"/>
  <c r="I160" i="12"/>
  <c r="E161" i="12"/>
  <c r="L159" i="12"/>
  <c r="K159" i="12" s="1"/>
  <c r="J158" i="11"/>
  <c r="P158" i="11" s="1"/>
  <c r="I160" i="11"/>
  <c r="E161" i="11"/>
  <c r="L159" i="11"/>
  <c r="K159" i="11" s="1"/>
  <c r="J158" i="9"/>
  <c r="P158" i="9" s="1"/>
  <c r="E161" i="9"/>
  <c r="I160" i="9"/>
  <c r="L159" i="9"/>
  <c r="K159" i="9" s="1"/>
  <c r="J158" i="8"/>
  <c r="P158" i="8" s="1"/>
  <c r="L159" i="8"/>
  <c r="K159" i="8" s="1"/>
  <c r="E161" i="8"/>
  <c r="P159" i="7"/>
  <c r="I161" i="7"/>
  <c r="E162" i="7"/>
  <c r="J156" i="1"/>
  <c r="K156" i="1"/>
  <c r="E158" i="1"/>
  <c r="I157" i="1"/>
  <c r="K156" i="4"/>
  <c r="J156" i="4"/>
  <c r="P156" i="4" s="1"/>
  <c r="P157" i="6"/>
  <c r="E160" i="6"/>
  <c r="I159" i="6"/>
  <c r="K158" i="6"/>
  <c r="J158" i="6"/>
  <c r="L156" i="5"/>
  <c r="P156" i="5"/>
  <c r="I158" i="5"/>
  <c r="E159" i="5"/>
  <c r="K157" i="5"/>
  <c r="J157" i="5"/>
  <c r="E158" i="4"/>
  <c r="I157" i="4"/>
  <c r="J159" i="12" l="1"/>
  <c r="P159" i="12" s="1"/>
  <c r="I161" i="12"/>
  <c r="E162" i="12"/>
  <c r="L160" i="12"/>
  <c r="K160" i="12" s="1"/>
  <c r="J159" i="11"/>
  <c r="P159" i="11" s="1"/>
  <c r="I161" i="11"/>
  <c r="E162" i="11"/>
  <c r="L160" i="11"/>
  <c r="K160" i="11" s="1"/>
  <c r="J159" i="9"/>
  <c r="P159" i="9" s="1"/>
  <c r="L160" i="9"/>
  <c r="K160" i="9" s="1"/>
  <c r="E162" i="9"/>
  <c r="I161" i="9"/>
  <c r="J159" i="8"/>
  <c r="P159" i="8" s="1"/>
  <c r="L160" i="8"/>
  <c r="K160" i="8" s="1"/>
  <c r="E162" i="8"/>
  <c r="P160" i="7"/>
  <c r="I162" i="7"/>
  <c r="E163" i="7"/>
  <c r="K157" i="1"/>
  <c r="J157" i="1"/>
  <c r="E159" i="1"/>
  <c r="I158" i="1"/>
  <c r="K157" i="4"/>
  <c r="J157" i="4"/>
  <c r="P157" i="4" s="1"/>
  <c r="P158" i="6"/>
  <c r="J159" i="6"/>
  <c r="K159" i="6"/>
  <c r="E161" i="6"/>
  <c r="I160" i="6"/>
  <c r="P157" i="5"/>
  <c r="L157" i="5"/>
  <c r="E160" i="5"/>
  <c r="I159" i="5"/>
  <c r="K158" i="5"/>
  <c r="J158" i="5"/>
  <c r="I158" i="4"/>
  <c r="E159" i="4"/>
  <c r="J160" i="12" l="1"/>
  <c r="P160" i="12" s="1"/>
  <c r="I162" i="12"/>
  <c r="E163" i="12"/>
  <c r="L161" i="12"/>
  <c r="K161" i="12" s="1"/>
  <c r="J160" i="11"/>
  <c r="P160" i="11" s="1"/>
  <c r="I162" i="11"/>
  <c r="E163" i="11"/>
  <c r="L161" i="11"/>
  <c r="K161" i="11" s="1"/>
  <c r="J160" i="9"/>
  <c r="P160" i="9" s="1"/>
  <c r="L161" i="9"/>
  <c r="K161" i="9" s="1"/>
  <c r="E163" i="9"/>
  <c r="I162" i="9"/>
  <c r="J160" i="8"/>
  <c r="P160" i="8" s="1"/>
  <c r="E163" i="8"/>
  <c r="L161" i="8"/>
  <c r="K161" i="8" s="1"/>
  <c r="P161" i="7"/>
  <c r="E164" i="7"/>
  <c r="I163" i="7"/>
  <c r="J158" i="1"/>
  <c r="K158" i="1"/>
  <c r="E160" i="1"/>
  <c r="I159" i="1"/>
  <c r="J158" i="4"/>
  <c r="K158" i="4"/>
  <c r="K160" i="6"/>
  <c r="J160" i="6"/>
  <c r="E162" i="6"/>
  <c r="I161" i="6"/>
  <c r="P159" i="6"/>
  <c r="P158" i="5"/>
  <c r="L158" i="5"/>
  <c r="J159" i="5"/>
  <c r="K159" i="5"/>
  <c r="E161" i="5"/>
  <c r="I160" i="5"/>
  <c r="E160" i="4"/>
  <c r="I159" i="4"/>
  <c r="J161" i="12" l="1"/>
  <c r="P161" i="12" s="1"/>
  <c r="I163" i="12"/>
  <c r="E164" i="12"/>
  <c r="L162" i="12"/>
  <c r="K162" i="12" s="1"/>
  <c r="J161" i="11"/>
  <c r="P161" i="11" s="1"/>
  <c r="I163" i="11"/>
  <c r="E164" i="11"/>
  <c r="L162" i="11"/>
  <c r="K162" i="11" s="1"/>
  <c r="J161" i="9"/>
  <c r="P161" i="9" s="1"/>
  <c r="E164" i="9"/>
  <c r="I163" i="9"/>
  <c r="L162" i="9"/>
  <c r="K162" i="9" s="1"/>
  <c r="J161" i="8"/>
  <c r="P161" i="8" s="1"/>
  <c r="E164" i="8"/>
  <c r="L162" i="8"/>
  <c r="K162" i="8" s="1"/>
  <c r="E165" i="7"/>
  <c r="I164" i="7"/>
  <c r="P162" i="7"/>
  <c r="J159" i="1"/>
  <c r="K159" i="1"/>
  <c r="J159" i="4"/>
  <c r="K159" i="4"/>
  <c r="E161" i="1"/>
  <c r="I160" i="1"/>
  <c r="P158" i="4"/>
  <c r="P160" i="6"/>
  <c r="I162" i="6"/>
  <c r="E163" i="6"/>
  <c r="J161" i="6"/>
  <c r="K161" i="6"/>
  <c r="L159" i="5"/>
  <c r="K160" i="5"/>
  <c r="J160" i="5"/>
  <c r="I161" i="5"/>
  <c r="E162" i="5"/>
  <c r="P159" i="5"/>
  <c r="E161" i="4"/>
  <c r="I160" i="4"/>
  <c r="J162" i="12" l="1"/>
  <c r="P162" i="12" s="1"/>
  <c r="I164" i="12"/>
  <c r="E165" i="12"/>
  <c r="L163" i="12"/>
  <c r="K163" i="12" s="1"/>
  <c r="J162" i="11"/>
  <c r="P162" i="11" s="1"/>
  <c r="I164" i="11"/>
  <c r="E165" i="11"/>
  <c r="L163" i="11"/>
  <c r="K163" i="11" s="1"/>
  <c r="J162" i="9"/>
  <c r="P162" i="9" s="1"/>
  <c r="L163" i="9"/>
  <c r="K163" i="9" s="1"/>
  <c r="E165" i="9"/>
  <c r="I164" i="9"/>
  <c r="J162" i="8"/>
  <c r="P162" i="8" s="1"/>
  <c r="E165" i="8"/>
  <c r="L163" i="8"/>
  <c r="K163" i="8" s="1"/>
  <c r="E166" i="7"/>
  <c r="I165" i="7"/>
  <c r="P163" i="7"/>
  <c r="J160" i="1"/>
  <c r="K10" i="1" s="1"/>
  <c r="K160" i="1"/>
  <c r="E162" i="1"/>
  <c r="I161" i="1"/>
  <c r="J160" i="4"/>
  <c r="K160" i="4"/>
  <c r="P159" i="4"/>
  <c r="P161" i="6"/>
  <c r="I163" i="6"/>
  <c r="E164" i="6"/>
  <c r="J162" i="6"/>
  <c r="K162" i="6"/>
  <c r="P160" i="5"/>
  <c r="L160" i="5"/>
  <c r="E163" i="5"/>
  <c r="I162" i="5"/>
  <c r="K161" i="5"/>
  <c r="J161" i="5"/>
  <c r="I161" i="4"/>
  <c r="E162" i="4"/>
  <c r="J163" i="12" l="1"/>
  <c r="P163" i="12" s="1"/>
  <c r="I165" i="12"/>
  <c r="E166" i="12"/>
  <c r="L164" i="12"/>
  <c r="K164" i="12" s="1"/>
  <c r="J163" i="11"/>
  <c r="P163" i="11" s="1"/>
  <c r="I165" i="11"/>
  <c r="E166" i="11"/>
  <c r="L164" i="11"/>
  <c r="K164" i="11" s="1"/>
  <c r="E166" i="9"/>
  <c r="I165" i="9"/>
  <c r="J163" i="9"/>
  <c r="P163" i="9" s="1"/>
  <c r="L164" i="9"/>
  <c r="K164" i="9" s="1"/>
  <c r="J163" i="8"/>
  <c r="P163" i="8" s="1"/>
  <c r="L164" i="8"/>
  <c r="K164" i="8" s="1"/>
  <c r="E166" i="8"/>
  <c r="E167" i="7"/>
  <c r="I166" i="7"/>
  <c r="P164" i="7"/>
  <c r="P160" i="4"/>
  <c r="J161" i="1"/>
  <c r="K161" i="1"/>
  <c r="K161" i="4"/>
  <c r="J161" i="4"/>
  <c r="P161" i="4" s="1"/>
  <c r="E163" i="1"/>
  <c r="I162" i="1"/>
  <c r="P162" i="6"/>
  <c r="I164" i="6"/>
  <c r="E165" i="6"/>
  <c r="J163" i="6"/>
  <c r="K163" i="6"/>
  <c r="P161" i="5"/>
  <c r="L161" i="5"/>
  <c r="K162" i="5"/>
  <c r="J162" i="5"/>
  <c r="I163" i="5"/>
  <c r="E164" i="5"/>
  <c r="I162" i="4"/>
  <c r="E163" i="4"/>
  <c r="J164" i="12" l="1"/>
  <c r="P164" i="12" s="1"/>
  <c r="I166" i="12"/>
  <c r="E167" i="12"/>
  <c r="L165" i="12"/>
  <c r="K165" i="12" s="1"/>
  <c r="J164" i="11"/>
  <c r="P164" i="11" s="1"/>
  <c r="I166" i="11"/>
  <c r="E167" i="11"/>
  <c r="L165" i="11"/>
  <c r="K165" i="11" s="1"/>
  <c r="J164" i="9"/>
  <c r="P164" i="9" s="1"/>
  <c r="L165" i="9"/>
  <c r="K165" i="9" s="1"/>
  <c r="E167" i="9"/>
  <c r="I166" i="9"/>
  <c r="J164" i="8"/>
  <c r="P164" i="8" s="1"/>
  <c r="E167" i="8"/>
  <c r="L165" i="8"/>
  <c r="K165" i="8" s="1"/>
  <c r="I167" i="7"/>
  <c r="E168" i="7"/>
  <c r="P165" i="7"/>
  <c r="J162" i="1"/>
  <c r="K162" i="1"/>
  <c r="E164" i="1"/>
  <c r="I163" i="1"/>
  <c r="K162" i="4"/>
  <c r="J162" i="4"/>
  <c r="P162" i="4" s="1"/>
  <c r="K164" i="6"/>
  <c r="J164" i="6"/>
  <c r="P163" i="6"/>
  <c r="I165" i="6"/>
  <c r="E166" i="6"/>
  <c r="P162" i="5"/>
  <c r="L162" i="5"/>
  <c r="I164" i="5"/>
  <c r="E165" i="5"/>
  <c r="J163" i="5"/>
  <c r="K163" i="5"/>
  <c r="E164" i="4"/>
  <c r="I163" i="4"/>
  <c r="J165" i="12" l="1"/>
  <c r="P165" i="12" s="1"/>
  <c r="I167" i="12"/>
  <c r="E168" i="12"/>
  <c r="L166" i="12"/>
  <c r="K166" i="12" s="1"/>
  <c r="J165" i="11"/>
  <c r="P165" i="11" s="1"/>
  <c r="I167" i="11"/>
  <c r="E168" i="11"/>
  <c r="L166" i="11"/>
  <c r="K166" i="11" s="1"/>
  <c r="J165" i="9"/>
  <c r="P165" i="9" s="1"/>
  <c r="L166" i="9"/>
  <c r="K166" i="9" s="1"/>
  <c r="E168" i="9"/>
  <c r="I167" i="9"/>
  <c r="J165" i="8"/>
  <c r="P165" i="8" s="1"/>
  <c r="E168" i="8"/>
  <c r="L166" i="8"/>
  <c r="K166" i="8" s="1"/>
  <c r="I168" i="7"/>
  <c r="E169" i="7"/>
  <c r="P166" i="7"/>
  <c r="K163" i="1"/>
  <c r="J163" i="1"/>
  <c r="K163" i="4"/>
  <c r="J163" i="4"/>
  <c r="P163" i="4" s="1"/>
  <c r="E165" i="1"/>
  <c r="I164" i="1"/>
  <c r="P164" i="6"/>
  <c r="E167" i="6"/>
  <c r="I166" i="6"/>
  <c r="K165" i="6"/>
  <c r="J165" i="6"/>
  <c r="L163" i="5"/>
  <c r="P163" i="5"/>
  <c r="I165" i="5"/>
  <c r="E166" i="5"/>
  <c r="J164" i="5"/>
  <c r="K164" i="5"/>
  <c r="E165" i="4"/>
  <c r="I164" i="4"/>
  <c r="J166" i="12" l="1"/>
  <c r="P166" i="12" s="1"/>
  <c r="I168" i="12"/>
  <c r="E169" i="12"/>
  <c r="L167" i="12"/>
  <c r="K167" i="12" s="1"/>
  <c r="J166" i="11"/>
  <c r="P166" i="11" s="1"/>
  <c r="I168" i="11"/>
  <c r="E169" i="11"/>
  <c r="L167" i="11"/>
  <c r="K167" i="11" s="1"/>
  <c r="J166" i="9"/>
  <c r="P166" i="9" s="1"/>
  <c r="L167" i="9"/>
  <c r="K167" i="9" s="1"/>
  <c r="E169" i="9"/>
  <c r="I168" i="9"/>
  <c r="J166" i="8"/>
  <c r="P166" i="8" s="1"/>
  <c r="L167" i="8"/>
  <c r="K167" i="8" s="1"/>
  <c r="E169" i="8"/>
  <c r="P167" i="7"/>
  <c r="I169" i="7"/>
  <c r="E170" i="7"/>
  <c r="J164" i="1"/>
  <c r="K164" i="1"/>
  <c r="E166" i="1"/>
  <c r="I165" i="1"/>
  <c r="K164" i="4"/>
  <c r="J164" i="4"/>
  <c r="P164" i="4" s="1"/>
  <c r="P165" i="6"/>
  <c r="K166" i="6"/>
  <c r="J166" i="6"/>
  <c r="E168" i="6"/>
  <c r="I167" i="6"/>
  <c r="P164" i="5"/>
  <c r="L164" i="5"/>
  <c r="I166" i="5"/>
  <c r="E167" i="5"/>
  <c r="K165" i="5"/>
  <c r="J165" i="5"/>
  <c r="I165" i="4"/>
  <c r="E166" i="4"/>
  <c r="J167" i="12" l="1"/>
  <c r="P167" i="12" s="1"/>
  <c r="I169" i="12"/>
  <c r="E170" i="12"/>
  <c r="L168" i="12"/>
  <c r="K168" i="12" s="1"/>
  <c r="J167" i="11"/>
  <c r="P167" i="11" s="1"/>
  <c r="I169" i="11"/>
  <c r="E170" i="11"/>
  <c r="L168" i="11"/>
  <c r="K168" i="11" s="1"/>
  <c r="J167" i="9"/>
  <c r="P167" i="9" s="1"/>
  <c r="E170" i="9"/>
  <c r="I169" i="9"/>
  <c r="L168" i="9"/>
  <c r="K168" i="9" s="1"/>
  <c r="J167" i="8"/>
  <c r="P167" i="8" s="1"/>
  <c r="E170" i="8"/>
  <c r="L168" i="8"/>
  <c r="K168" i="8" s="1"/>
  <c r="P168" i="7"/>
  <c r="I170" i="7"/>
  <c r="E171" i="7"/>
  <c r="K165" i="1"/>
  <c r="J165" i="1"/>
  <c r="E167" i="1"/>
  <c r="I166" i="1"/>
  <c r="K165" i="4"/>
  <c r="J165" i="4"/>
  <c r="P165" i="4" s="1"/>
  <c r="P166" i="6"/>
  <c r="E169" i="6"/>
  <c r="I168" i="6"/>
  <c r="J167" i="6"/>
  <c r="K167" i="6"/>
  <c r="P165" i="5"/>
  <c r="L165" i="5"/>
  <c r="I167" i="5"/>
  <c r="E168" i="5"/>
  <c r="K166" i="5"/>
  <c r="J166" i="5"/>
  <c r="I166" i="4"/>
  <c r="E167" i="4"/>
  <c r="J168" i="12" l="1"/>
  <c r="P168" i="12" s="1"/>
  <c r="I170" i="12"/>
  <c r="E171" i="12"/>
  <c r="L169" i="12"/>
  <c r="K169" i="12" s="1"/>
  <c r="J168" i="11"/>
  <c r="P168" i="11" s="1"/>
  <c r="I170" i="11"/>
  <c r="E171" i="11"/>
  <c r="L169" i="11"/>
  <c r="K169" i="11" s="1"/>
  <c r="J168" i="9"/>
  <c r="P168" i="9" s="1"/>
  <c r="L169" i="9"/>
  <c r="K169" i="9" s="1"/>
  <c r="E171" i="9"/>
  <c r="I170" i="9"/>
  <c r="J168" i="8"/>
  <c r="P168" i="8" s="1"/>
  <c r="E171" i="8"/>
  <c r="L169" i="8"/>
  <c r="K169" i="8" s="1"/>
  <c r="P169" i="7"/>
  <c r="E172" i="7"/>
  <c r="I171" i="7"/>
  <c r="J166" i="1"/>
  <c r="K166" i="1"/>
  <c r="E168" i="1"/>
  <c r="I167" i="1"/>
  <c r="J166" i="4"/>
  <c r="K166" i="4"/>
  <c r="P167" i="6"/>
  <c r="K168" i="6"/>
  <c r="J168" i="6"/>
  <c r="E170" i="6"/>
  <c r="I169" i="6"/>
  <c r="P166" i="5"/>
  <c r="L166" i="5"/>
  <c r="E169" i="5"/>
  <c r="I168" i="5"/>
  <c r="K167" i="5"/>
  <c r="J167" i="5"/>
  <c r="E168" i="4"/>
  <c r="I167" i="4"/>
  <c r="J169" i="12" l="1"/>
  <c r="P169" i="12" s="1"/>
  <c r="I171" i="12"/>
  <c r="E172" i="12"/>
  <c r="L170" i="12"/>
  <c r="K170" i="12" s="1"/>
  <c r="J169" i="11"/>
  <c r="P169" i="11" s="1"/>
  <c r="I171" i="11"/>
  <c r="E172" i="11"/>
  <c r="L170" i="11"/>
  <c r="K170" i="11" s="1"/>
  <c r="J169" i="9"/>
  <c r="P169" i="9" s="1"/>
  <c r="L170" i="9"/>
  <c r="K170" i="9" s="1"/>
  <c r="E172" i="9"/>
  <c r="I171" i="9"/>
  <c r="J169" i="8"/>
  <c r="P169" i="8" s="1"/>
  <c r="E172" i="8"/>
  <c r="L170" i="8"/>
  <c r="K170" i="8" s="1"/>
  <c r="P170" i="7"/>
  <c r="E173" i="7"/>
  <c r="I172" i="7"/>
  <c r="J167" i="1"/>
  <c r="K167" i="1"/>
  <c r="J167" i="4"/>
  <c r="K167" i="4"/>
  <c r="E169" i="1"/>
  <c r="I168" i="1"/>
  <c r="P166" i="4"/>
  <c r="P168" i="6"/>
  <c r="K169" i="6"/>
  <c r="J169" i="6"/>
  <c r="I170" i="6"/>
  <c r="E171" i="6"/>
  <c r="P167" i="5"/>
  <c r="L167" i="5"/>
  <c r="J168" i="5"/>
  <c r="K168" i="5"/>
  <c r="E170" i="5"/>
  <c r="I169" i="5"/>
  <c r="E169" i="4"/>
  <c r="I168" i="4"/>
  <c r="J170" i="12" l="1"/>
  <c r="P170" i="12" s="1"/>
  <c r="E173" i="12"/>
  <c r="I172" i="12"/>
  <c r="L171" i="12"/>
  <c r="K171" i="12" s="1"/>
  <c r="L171" i="11"/>
  <c r="K171" i="11" s="1"/>
  <c r="J170" i="11"/>
  <c r="P170" i="11" s="1"/>
  <c r="I172" i="11"/>
  <c r="E173" i="11"/>
  <c r="J170" i="9"/>
  <c r="P170" i="9" s="1"/>
  <c r="L171" i="9"/>
  <c r="K171" i="9" s="1"/>
  <c r="E173" i="9"/>
  <c r="I172" i="9"/>
  <c r="J170" i="8"/>
  <c r="P170" i="8" s="1"/>
  <c r="L171" i="8"/>
  <c r="K171" i="8" s="1"/>
  <c r="E173" i="8"/>
  <c r="P171" i="7"/>
  <c r="E174" i="7"/>
  <c r="I173" i="7"/>
  <c r="J168" i="1"/>
  <c r="K168" i="1"/>
  <c r="E170" i="1"/>
  <c r="I169" i="1"/>
  <c r="J168" i="4"/>
  <c r="K168" i="4"/>
  <c r="P167" i="4"/>
  <c r="P169" i="6"/>
  <c r="I171" i="6"/>
  <c r="E172" i="6"/>
  <c r="K170" i="6"/>
  <c r="J170" i="6"/>
  <c r="L168" i="5"/>
  <c r="K169" i="5"/>
  <c r="J169" i="5"/>
  <c r="I170" i="5"/>
  <c r="E171" i="5"/>
  <c r="P168" i="5"/>
  <c r="I169" i="4"/>
  <c r="E170" i="4"/>
  <c r="J171" i="12" l="1"/>
  <c r="P171" i="12" s="1"/>
  <c r="L172" i="12"/>
  <c r="K172" i="12" s="1"/>
  <c r="E174" i="12"/>
  <c r="I173" i="12"/>
  <c r="J171" i="11"/>
  <c r="P171" i="11" s="1"/>
  <c r="I173" i="11"/>
  <c r="E174" i="11"/>
  <c r="L172" i="11"/>
  <c r="K172" i="11" s="1"/>
  <c r="J171" i="9"/>
  <c r="P171" i="9" s="1"/>
  <c r="E174" i="9"/>
  <c r="I173" i="9"/>
  <c r="L172" i="9"/>
  <c r="K172" i="9" s="1"/>
  <c r="J171" i="8"/>
  <c r="P171" i="8" s="1"/>
  <c r="E174" i="8"/>
  <c r="L172" i="8"/>
  <c r="K172" i="8" s="1"/>
  <c r="P172" i="7"/>
  <c r="E175" i="7"/>
  <c r="I174" i="7"/>
  <c r="J169" i="1"/>
  <c r="K169" i="1"/>
  <c r="E171" i="1"/>
  <c r="I170" i="1"/>
  <c r="P168" i="4"/>
  <c r="K169" i="4"/>
  <c r="J169" i="4"/>
  <c r="P169" i="4" s="1"/>
  <c r="P170" i="6"/>
  <c r="I172" i="6"/>
  <c r="E173" i="6"/>
  <c r="J171" i="6"/>
  <c r="K171" i="6"/>
  <c r="P169" i="5"/>
  <c r="L169" i="5"/>
  <c r="I171" i="5"/>
  <c r="E172" i="5"/>
  <c r="K170" i="5"/>
  <c r="J170" i="5"/>
  <c r="I170" i="4"/>
  <c r="E171" i="4"/>
  <c r="J172" i="12" l="1"/>
  <c r="P172" i="12" s="1"/>
  <c r="L173" i="12"/>
  <c r="K173" i="12" s="1"/>
  <c r="E175" i="12"/>
  <c r="I174" i="12"/>
  <c r="J172" i="11"/>
  <c r="P172" i="11" s="1"/>
  <c r="I174" i="11"/>
  <c r="E175" i="11"/>
  <c r="L173" i="11"/>
  <c r="K173" i="11" s="1"/>
  <c r="J172" i="9"/>
  <c r="P172" i="9" s="1"/>
  <c r="L173" i="9"/>
  <c r="K173" i="9" s="1"/>
  <c r="E175" i="9"/>
  <c r="I174" i="9"/>
  <c r="J172" i="8"/>
  <c r="P172" i="8" s="1"/>
  <c r="E175" i="8"/>
  <c r="L173" i="8"/>
  <c r="K173" i="8" s="1"/>
  <c r="I175" i="7"/>
  <c r="E176" i="7"/>
  <c r="P173" i="7"/>
  <c r="J170" i="1"/>
  <c r="K170" i="1"/>
  <c r="K170" i="4"/>
  <c r="J170" i="4"/>
  <c r="P170" i="4" s="1"/>
  <c r="E172" i="1"/>
  <c r="I171" i="1"/>
  <c r="P171" i="6"/>
  <c r="E174" i="6"/>
  <c r="I173" i="6"/>
  <c r="K172" i="6"/>
  <c r="J172" i="6"/>
  <c r="P170" i="5"/>
  <c r="L170" i="5"/>
  <c r="I172" i="5"/>
  <c r="E173" i="5"/>
  <c r="J171" i="5"/>
  <c r="K171" i="5"/>
  <c r="E172" i="4"/>
  <c r="I171" i="4"/>
  <c r="J173" i="12" l="1"/>
  <c r="P173" i="12" s="1"/>
  <c r="L174" i="12"/>
  <c r="K174" i="12" s="1"/>
  <c r="E176" i="12"/>
  <c r="I175" i="12"/>
  <c r="J173" i="11"/>
  <c r="P173" i="11" s="1"/>
  <c r="I175" i="11"/>
  <c r="E176" i="11"/>
  <c r="L174" i="11"/>
  <c r="K174" i="11" s="1"/>
  <c r="E176" i="9"/>
  <c r="I175" i="9"/>
  <c r="L174" i="9"/>
  <c r="K174" i="9" s="1"/>
  <c r="J173" i="9"/>
  <c r="P173" i="9" s="1"/>
  <c r="J173" i="8"/>
  <c r="P173" i="8" s="1"/>
  <c r="E176" i="8"/>
  <c r="L174" i="8"/>
  <c r="K174" i="8" s="1"/>
  <c r="I176" i="7"/>
  <c r="E177" i="7"/>
  <c r="P174" i="7"/>
  <c r="K171" i="1"/>
  <c r="J171" i="1"/>
  <c r="E173" i="1"/>
  <c r="I172" i="1"/>
  <c r="K171" i="4"/>
  <c r="J171" i="4"/>
  <c r="P171" i="4" s="1"/>
  <c r="P172" i="6"/>
  <c r="K173" i="6"/>
  <c r="J173" i="6"/>
  <c r="E175" i="6"/>
  <c r="I174" i="6"/>
  <c r="L171" i="5"/>
  <c r="P171" i="5"/>
  <c r="E174" i="5"/>
  <c r="I173" i="5"/>
  <c r="J172" i="5"/>
  <c r="K172" i="5"/>
  <c r="E173" i="4"/>
  <c r="I172" i="4"/>
  <c r="J174" i="12" l="1"/>
  <c r="P174" i="12" s="1"/>
  <c r="L175" i="12"/>
  <c r="K175" i="12" s="1"/>
  <c r="E177" i="12"/>
  <c r="I176" i="12"/>
  <c r="J174" i="11"/>
  <c r="P174" i="11" s="1"/>
  <c r="I176" i="11"/>
  <c r="E177" i="11"/>
  <c r="L175" i="11"/>
  <c r="K175" i="11" s="1"/>
  <c r="J174" i="9"/>
  <c r="P174" i="9" s="1"/>
  <c r="L175" i="9"/>
  <c r="K175" i="9" s="1"/>
  <c r="E177" i="9"/>
  <c r="I176" i="9"/>
  <c r="J174" i="8"/>
  <c r="P174" i="8" s="1"/>
  <c r="L175" i="8"/>
  <c r="K175" i="8" s="1"/>
  <c r="E177" i="8"/>
  <c r="P175" i="7"/>
  <c r="I177" i="7"/>
  <c r="E178" i="7"/>
  <c r="J172" i="1"/>
  <c r="K172" i="1"/>
  <c r="K172" i="4"/>
  <c r="J172" i="4"/>
  <c r="P172" i="4" s="1"/>
  <c r="E174" i="1"/>
  <c r="I173" i="1"/>
  <c r="P173" i="6"/>
  <c r="K174" i="6"/>
  <c r="J174" i="6"/>
  <c r="E176" i="6"/>
  <c r="I175" i="6"/>
  <c r="P172" i="5"/>
  <c r="L172" i="5"/>
  <c r="K173" i="5"/>
  <c r="J173" i="5"/>
  <c r="E175" i="5"/>
  <c r="I174" i="5"/>
  <c r="I173" i="4"/>
  <c r="E174" i="4"/>
  <c r="J175" i="12" l="1"/>
  <c r="P175" i="12" s="1"/>
  <c r="L176" i="12"/>
  <c r="K176" i="12" s="1"/>
  <c r="E178" i="12"/>
  <c r="I177" i="12"/>
  <c r="J175" i="11"/>
  <c r="P175" i="11" s="1"/>
  <c r="I177" i="11"/>
  <c r="E178" i="11"/>
  <c r="L176" i="11"/>
  <c r="K176" i="11" s="1"/>
  <c r="J175" i="9"/>
  <c r="P175" i="9" s="1"/>
  <c r="L176" i="9"/>
  <c r="K176" i="9" s="1"/>
  <c r="E178" i="9"/>
  <c r="I177" i="9"/>
  <c r="J175" i="8"/>
  <c r="P175" i="8" s="1"/>
  <c r="L176" i="8"/>
  <c r="K176" i="8" s="1"/>
  <c r="E178" i="8"/>
  <c r="P176" i="7"/>
  <c r="I178" i="7"/>
  <c r="E179" i="7"/>
  <c r="E175" i="1"/>
  <c r="I174" i="1"/>
  <c r="K173" i="1"/>
  <c r="J173" i="1"/>
  <c r="K173" i="4"/>
  <c r="J173" i="4"/>
  <c r="P173" i="4" s="1"/>
  <c r="P174" i="6"/>
  <c r="J175" i="6"/>
  <c r="K175" i="6"/>
  <c r="E177" i="6"/>
  <c r="I176" i="6"/>
  <c r="P173" i="5"/>
  <c r="L173" i="5"/>
  <c r="K174" i="5"/>
  <c r="J174" i="5"/>
  <c r="E176" i="5"/>
  <c r="I175" i="5"/>
  <c r="I174" i="4"/>
  <c r="E175" i="4"/>
  <c r="J176" i="12" l="1"/>
  <c r="P176" i="12" s="1"/>
  <c r="L177" i="12"/>
  <c r="K177" i="12" s="1"/>
  <c r="E179" i="12"/>
  <c r="I178" i="12"/>
  <c r="J176" i="11"/>
  <c r="P176" i="11" s="1"/>
  <c r="I178" i="11"/>
  <c r="E179" i="11"/>
  <c r="L177" i="11"/>
  <c r="K177" i="11" s="1"/>
  <c r="J176" i="9"/>
  <c r="P176" i="9" s="1"/>
  <c r="L177" i="9"/>
  <c r="K177" i="9" s="1"/>
  <c r="E179" i="9"/>
  <c r="I178" i="9"/>
  <c r="J176" i="8"/>
  <c r="P176" i="8" s="1"/>
  <c r="L177" i="8"/>
  <c r="K177" i="8" s="1"/>
  <c r="E179" i="8"/>
  <c r="P177" i="7"/>
  <c r="E180" i="7"/>
  <c r="I179" i="7"/>
  <c r="J174" i="4"/>
  <c r="K174" i="4"/>
  <c r="J174" i="1"/>
  <c r="K174" i="1"/>
  <c r="E176" i="1"/>
  <c r="I175" i="1"/>
  <c r="K176" i="6"/>
  <c r="J176" i="6"/>
  <c r="E178" i="6"/>
  <c r="I177" i="6"/>
  <c r="P175" i="6"/>
  <c r="P174" i="5"/>
  <c r="L174" i="5"/>
  <c r="K175" i="5"/>
  <c r="J175" i="5"/>
  <c r="E177" i="5"/>
  <c r="I176" i="5"/>
  <c r="E176" i="4"/>
  <c r="I175" i="4"/>
  <c r="J177" i="12" l="1"/>
  <c r="P177" i="12" s="1"/>
  <c r="L178" i="12"/>
  <c r="K178" i="12" s="1"/>
  <c r="E180" i="12"/>
  <c r="I179" i="12"/>
  <c r="J177" i="11"/>
  <c r="P177" i="11" s="1"/>
  <c r="I179" i="11"/>
  <c r="E180" i="11"/>
  <c r="L178" i="11"/>
  <c r="K178" i="11" s="1"/>
  <c r="J177" i="9"/>
  <c r="P177" i="9" s="1"/>
  <c r="L178" i="9"/>
  <c r="K178" i="9" s="1"/>
  <c r="E180" i="9"/>
  <c r="I179" i="9"/>
  <c r="J177" i="8"/>
  <c r="P177" i="8" s="1"/>
  <c r="E180" i="8"/>
  <c r="L178" i="8"/>
  <c r="K178" i="8" s="1"/>
  <c r="E181" i="7"/>
  <c r="I180" i="7"/>
  <c r="P178" i="7"/>
  <c r="J175" i="1"/>
  <c r="K175" i="1"/>
  <c r="E177" i="1"/>
  <c r="I176" i="1"/>
  <c r="J175" i="4"/>
  <c r="K175" i="4"/>
  <c r="P174" i="4"/>
  <c r="P176" i="6"/>
  <c r="K177" i="6"/>
  <c r="J177" i="6"/>
  <c r="I178" i="6"/>
  <c r="E179" i="6"/>
  <c r="P175" i="5"/>
  <c r="L175" i="5"/>
  <c r="J176" i="5"/>
  <c r="K176" i="5"/>
  <c r="E178" i="5"/>
  <c r="I177" i="5"/>
  <c r="E177" i="4"/>
  <c r="I176" i="4"/>
  <c r="J178" i="12" l="1"/>
  <c r="P178" i="12" s="1"/>
  <c r="L179" i="12"/>
  <c r="K179" i="12" s="1"/>
  <c r="E181" i="12"/>
  <c r="I180" i="12"/>
  <c r="J178" i="11"/>
  <c r="P178" i="11" s="1"/>
  <c r="I180" i="11"/>
  <c r="E181" i="11"/>
  <c r="L179" i="11"/>
  <c r="K179" i="11" s="1"/>
  <c r="J178" i="9"/>
  <c r="P178" i="9" s="1"/>
  <c r="L179" i="9"/>
  <c r="K179" i="9" s="1"/>
  <c r="E181" i="9"/>
  <c r="I180" i="9"/>
  <c r="J178" i="8"/>
  <c r="P178" i="8" s="1"/>
  <c r="E181" i="8"/>
  <c r="L179" i="8"/>
  <c r="K179" i="8" s="1"/>
  <c r="E182" i="7"/>
  <c r="I181" i="7"/>
  <c r="P179" i="7"/>
  <c r="P175" i="4"/>
  <c r="J176" i="1"/>
  <c r="K176" i="1"/>
  <c r="J176" i="4"/>
  <c r="K176" i="4"/>
  <c r="E178" i="1"/>
  <c r="I177" i="1"/>
  <c r="P177" i="6"/>
  <c r="I179" i="6"/>
  <c r="E180" i="6"/>
  <c r="K178" i="6"/>
  <c r="J178" i="6"/>
  <c r="L176" i="5"/>
  <c r="K177" i="5"/>
  <c r="J177" i="5"/>
  <c r="I178" i="5"/>
  <c r="E179" i="5"/>
  <c r="P176" i="5"/>
  <c r="I177" i="4"/>
  <c r="E178" i="4"/>
  <c r="J179" i="12" l="1"/>
  <c r="P179" i="12" s="1"/>
  <c r="L180" i="12"/>
  <c r="K180" i="12" s="1"/>
  <c r="E182" i="12"/>
  <c r="I181" i="12"/>
  <c r="J179" i="11"/>
  <c r="P179" i="11" s="1"/>
  <c r="I181" i="11"/>
  <c r="E182" i="11"/>
  <c r="L180" i="11"/>
  <c r="K180" i="11" s="1"/>
  <c r="J179" i="9"/>
  <c r="P179" i="9" s="1"/>
  <c r="L180" i="9"/>
  <c r="K180" i="9" s="1"/>
  <c r="E182" i="9"/>
  <c r="I181" i="9"/>
  <c r="J179" i="8"/>
  <c r="P179" i="8" s="1"/>
  <c r="L180" i="8"/>
  <c r="K180" i="8" s="1"/>
  <c r="E182" i="8"/>
  <c r="E183" i="7"/>
  <c r="I182" i="7"/>
  <c r="P180" i="7"/>
  <c r="E179" i="1"/>
  <c r="I178" i="1"/>
  <c r="P176" i="4"/>
  <c r="K177" i="4"/>
  <c r="J177" i="4"/>
  <c r="P177" i="4" s="1"/>
  <c r="J177" i="1"/>
  <c r="K177" i="1"/>
  <c r="P178" i="6"/>
  <c r="I180" i="6"/>
  <c r="E181" i="6"/>
  <c r="J179" i="6"/>
  <c r="K179" i="6"/>
  <c r="P177" i="5"/>
  <c r="L177" i="5"/>
  <c r="I179" i="5"/>
  <c r="E180" i="5"/>
  <c r="K178" i="5"/>
  <c r="J178" i="5"/>
  <c r="I178" i="4"/>
  <c r="E179" i="4"/>
  <c r="J180" i="12" l="1"/>
  <c r="P180" i="12" s="1"/>
  <c r="L181" i="12"/>
  <c r="K181" i="12" s="1"/>
  <c r="E183" i="12"/>
  <c r="I182" i="12"/>
  <c r="J180" i="11"/>
  <c r="P180" i="11" s="1"/>
  <c r="I182" i="11"/>
  <c r="E183" i="11"/>
  <c r="L181" i="11"/>
  <c r="K181" i="11" s="1"/>
  <c r="J180" i="9"/>
  <c r="P180" i="9" s="1"/>
  <c r="L181" i="9"/>
  <c r="K181" i="9" s="1"/>
  <c r="E183" i="9"/>
  <c r="I182" i="9"/>
  <c r="J180" i="8"/>
  <c r="P180" i="8" s="1"/>
  <c r="L181" i="8"/>
  <c r="K181" i="8" s="1"/>
  <c r="E183" i="8"/>
  <c r="I183" i="7"/>
  <c r="E184" i="7"/>
  <c r="P181" i="7"/>
  <c r="J178" i="1"/>
  <c r="K178" i="1"/>
  <c r="K178" i="4"/>
  <c r="J178" i="4"/>
  <c r="P178" i="4" s="1"/>
  <c r="E180" i="1"/>
  <c r="I179" i="1"/>
  <c r="E182" i="6"/>
  <c r="I181" i="6"/>
  <c r="P179" i="6"/>
  <c r="K180" i="6"/>
  <c r="J180" i="6"/>
  <c r="P178" i="5"/>
  <c r="L178" i="5"/>
  <c r="I180" i="5"/>
  <c r="E181" i="5"/>
  <c r="K179" i="5"/>
  <c r="J179" i="5"/>
  <c r="E180" i="4"/>
  <c r="I179" i="4"/>
  <c r="J181" i="12" l="1"/>
  <c r="P181" i="12" s="1"/>
  <c r="L182" i="12"/>
  <c r="K182" i="12" s="1"/>
  <c r="E184" i="12"/>
  <c r="I183" i="12"/>
  <c r="J181" i="11"/>
  <c r="P181" i="11" s="1"/>
  <c r="I183" i="11"/>
  <c r="E184" i="11"/>
  <c r="L182" i="11"/>
  <c r="K182" i="11" s="1"/>
  <c r="J181" i="9"/>
  <c r="P181" i="9" s="1"/>
  <c r="L182" i="9"/>
  <c r="K182" i="9" s="1"/>
  <c r="E184" i="9"/>
  <c r="I183" i="9"/>
  <c r="J181" i="8"/>
  <c r="P181" i="8" s="1"/>
  <c r="L182" i="8"/>
  <c r="K182" i="8" s="1"/>
  <c r="E184" i="8"/>
  <c r="I184" i="7"/>
  <c r="E185" i="7"/>
  <c r="P182" i="7"/>
  <c r="K179" i="1"/>
  <c r="J179" i="1"/>
  <c r="E181" i="1"/>
  <c r="I180" i="1"/>
  <c r="K179" i="4"/>
  <c r="J179" i="4"/>
  <c r="P179" i="4" s="1"/>
  <c r="P180" i="6"/>
  <c r="K181" i="6"/>
  <c r="J181" i="6"/>
  <c r="E183" i="6"/>
  <c r="I182" i="6"/>
  <c r="P179" i="5"/>
  <c r="L179" i="5"/>
  <c r="I181" i="5"/>
  <c r="E182" i="5"/>
  <c r="J180" i="5"/>
  <c r="K180" i="5"/>
  <c r="E181" i="4"/>
  <c r="I180" i="4"/>
  <c r="J182" i="12" l="1"/>
  <c r="P182" i="12" s="1"/>
  <c r="L183" i="12"/>
  <c r="K183" i="12" s="1"/>
  <c r="E185" i="12"/>
  <c r="I184" i="12"/>
  <c r="J182" i="11"/>
  <c r="P182" i="11" s="1"/>
  <c r="I184" i="11"/>
  <c r="E185" i="11"/>
  <c r="L183" i="11"/>
  <c r="K183" i="11" s="1"/>
  <c r="J182" i="9"/>
  <c r="P182" i="9" s="1"/>
  <c r="L183" i="9"/>
  <c r="K183" i="9" s="1"/>
  <c r="E185" i="9"/>
  <c r="I184" i="9"/>
  <c r="J182" i="8"/>
  <c r="P182" i="8" s="1"/>
  <c r="E185" i="8"/>
  <c r="L183" i="8"/>
  <c r="K183" i="8" s="1"/>
  <c r="P183" i="7"/>
  <c r="I185" i="7"/>
  <c r="E186" i="7"/>
  <c r="J180" i="1"/>
  <c r="K180" i="1"/>
  <c r="K180" i="4"/>
  <c r="J180" i="4"/>
  <c r="P180" i="4" s="1"/>
  <c r="E182" i="1"/>
  <c r="I181" i="1"/>
  <c r="P181" i="6"/>
  <c r="K182" i="6"/>
  <c r="J182" i="6"/>
  <c r="I183" i="6"/>
  <c r="E184" i="6"/>
  <c r="P180" i="5"/>
  <c r="L180" i="5"/>
  <c r="I182" i="5"/>
  <c r="E183" i="5"/>
  <c r="K181" i="5"/>
  <c r="J181" i="5"/>
  <c r="I181" i="4"/>
  <c r="E182" i="4"/>
  <c r="J183" i="12" l="1"/>
  <c r="P183" i="12" s="1"/>
  <c r="L184" i="12"/>
  <c r="K184" i="12" s="1"/>
  <c r="E186" i="12"/>
  <c r="I185" i="12"/>
  <c r="J183" i="11"/>
  <c r="P183" i="11" s="1"/>
  <c r="I185" i="11"/>
  <c r="E186" i="11"/>
  <c r="L184" i="11"/>
  <c r="K184" i="11" s="1"/>
  <c r="J183" i="9"/>
  <c r="P183" i="9" s="1"/>
  <c r="L184" i="9"/>
  <c r="K184" i="9" s="1"/>
  <c r="E186" i="9"/>
  <c r="I185" i="9"/>
  <c r="J183" i="8"/>
  <c r="P183" i="8" s="1"/>
  <c r="E186" i="8"/>
  <c r="L184" i="8"/>
  <c r="K184" i="8" s="1"/>
  <c r="P184" i="7"/>
  <c r="I186" i="7"/>
  <c r="E187" i="7"/>
  <c r="E183" i="1"/>
  <c r="I182" i="1"/>
  <c r="K181" i="1"/>
  <c r="J181" i="1"/>
  <c r="K181" i="4"/>
  <c r="J181" i="4"/>
  <c r="P181" i="4" s="1"/>
  <c r="P182" i="6"/>
  <c r="E185" i="6"/>
  <c r="I184" i="6"/>
  <c r="K183" i="6"/>
  <c r="J183" i="6"/>
  <c r="P181" i="5"/>
  <c r="L181" i="5"/>
  <c r="E184" i="5"/>
  <c r="I183" i="5"/>
  <c r="K182" i="5"/>
  <c r="J182" i="5"/>
  <c r="I182" i="4"/>
  <c r="E183" i="4"/>
  <c r="J184" i="12" l="1"/>
  <c r="P184" i="12" s="1"/>
  <c r="L185" i="12"/>
  <c r="K185" i="12" s="1"/>
  <c r="E187" i="12"/>
  <c r="I186" i="12"/>
  <c r="J184" i="11"/>
  <c r="P184" i="11" s="1"/>
  <c r="I186" i="11"/>
  <c r="E187" i="11"/>
  <c r="L185" i="11"/>
  <c r="K185" i="11" s="1"/>
  <c r="J184" i="9"/>
  <c r="P184" i="9" s="1"/>
  <c r="L185" i="9"/>
  <c r="K185" i="9" s="1"/>
  <c r="E187" i="9"/>
  <c r="I186" i="9"/>
  <c r="J184" i="8"/>
  <c r="P184" i="8" s="1"/>
  <c r="L185" i="8"/>
  <c r="K185" i="8" s="1"/>
  <c r="E187" i="8"/>
  <c r="P185" i="7"/>
  <c r="E188" i="7"/>
  <c r="I187" i="7"/>
  <c r="J182" i="4"/>
  <c r="K182" i="4"/>
  <c r="J182" i="1"/>
  <c r="K182" i="1"/>
  <c r="E184" i="1"/>
  <c r="I183" i="1"/>
  <c r="P183" i="6"/>
  <c r="J184" i="6"/>
  <c r="K184" i="6"/>
  <c r="E186" i="6"/>
  <c r="I185" i="6"/>
  <c r="P182" i="5"/>
  <c r="L182" i="5"/>
  <c r="J183" i="5"/>
  <c r="K183" i="5"/>
  <c r="E185" i="5"/>
  <c r="I184" i="5"/>
  <c r="E184" i="4"/>
  <c r="I183" i="4"/>
  <c r="J185" i="12" l="1"/>
  <c r="P185" i="12" s="1"/>
  <c r="L186" i="12"/>
  <c r="K186" i="12" s="1"/>
  <c r="E188" i="12"/>
  <c r="I187" i="12"/>
  <c r="J185" i="11"/>
  <c r="P185" i="11" s="1"/>
  <c r="E188" i="11"/>
  <c r="I187" i="11"/>
  <c r="L186" i="11"/>
  <c r="K186" i="11" s="1"/>
  <c r="J185" i="9"/>
  <c r="P185" i="9" s="1"/>
  <c r="L186" i="9"/>
  <c r="J186" i="9" s="1"/>
  <c r="E188" i="9"/>
  <c r="I187" i="9"/>
  <c r="J185" i="8"/>
  <c r="P185" i="8" s="1"/>
  <c r="L186" i="8"/>
  <c r="K186" i="8" s="1"/>
  <c r="E188" i="8"/>
  <c r="P186" i="7"/>
  <c r="E189" i="7"/>
  <c r="I188" i="7"/>
  <c r="E185" i="1"/>
  <c r="I184" i="1"/>
  <c r="J183" i="1"/>
  <c r="K183" i="1"/>
  <c r="J183" i="4"/>
  <c r="P183" i="4" s="1"/>
  <c r="K183" i="4"/>
  <c r="P182" i="4"/>
  <c r="K185" i="6"/>
  <c r="J185" i="6"/>
  <c r="E187" i="6"/>
  <c r="I186" i="6"/>
  <c r="P184" i="6"/>
  <c r="L183" i="5"/>
  <c r="J184" i="5"/>
  <c r="K184" i="5"/>
  <c r="E186" i="5"/>
  <c r="I185" i="5"/>
  <c r="P183" i="5"/>
  <c r="E185" i="4"/>
  <c r="I184" i="4"/>
  <c r="J186" i="12" l="1"/>
  <c r="P186" i="12" s="1"/>
  <c r="L187" i="12"/>
  <c r="K187" i="12" s="1"/>
  <c r="E189" i="12"/>
  <c r="I188" i="12"/>
  <c r="J186" i="11"/>
  <c r="P186" i="11" s="1"/>
  <c r="E189" i="11"/>
  <c r="I188" i="11"/>
  <c r="L187" i="11"/>
  <c r="K187" i="11" s="1"/>
  <c r="K186" i="9"/>
  <c r="P186" i="9" s="1"/>
  <c r="L187" i="9"/>
  <c r="K187" i="9" s="1"/>
  <c r="E189" i="9"/>
  <c r="I188" i="9"/>
  <c r="J186" i="8"/>
  <c r="P186" i="8" s="1"/>
  <c r="L187" i="8"/>
  <c r="K187" i="8" s="1"/>
  <c r="E189" i="8"/>
  <c r="P187" i="7"/>
  <c r="E190" i="7"/>
  <c r="I189" i="7"/>
  <c r="J184" i="4"/>
  <c r="K184" i="4"/>
  <c r="J184" i="1"/>
  <c r="K184" i="1"/>
  <c r="E186" i="1"/>
  <c r="I185" i="1"/>
  <c r="P185" i="6"/>
  <c r="I187" i="6"/>
  <c r="E188" i="6"/>
  <c r="J186" i="6"/>
  <c r="K186" i="6"/>
  <c r="L184" i="5"/>
  <c r="K185" i="5"/>
  <c r="J185" i="5"/>
  <c r="I186" i="5"/>
  <c r="E187" i="5"/>
  <c r="P184" i="5"/>
  <c r="I185" i="4"/>
  <c r="E186" i="4"/>
  <c r="J187" i="12" l="1"/>
  <c r="P187" i="12" s="1"/>
  <c r="L188" i="12"/>
  <c r="K188" i="12" s="1"/>
  <c r="E190" i="12"/>
  <c r="I189" i="12"/>
  <c r="J187" i="11"/>
  <c r="P187" i="11" s="1"/>
  <c r="L188" i="11"/>
  <c r="K188" i="11" s="1"/>
  <c r="E190" i="11"/>
  <c r="I189" i="11"/>
  <c r="J187" i="9"/>
  <c r="P187" i="9" s="1"/>
  <c r="L188" i="9"/>
  <c r="K188" i="9" s="1"/>
  <c r="E190" i="9"/>
  <c r="I189" i="9"/>
  <c r="J187" i="8"/>
  <c r="P187" i="8" s="1"/>
  <c r="L188" i="8"/>
  <c r="K188" i="8" s="1"/>
  <c r="E190" i="8"/>
  <c r="P188" i="7"/>
  <c r="E191" i="7"/>
  <c r="I190" i="7"/>
  <c r="J185" i="1"/>
  <c r="K185" i="1"/>
  <c r="E187" i="1"/>
  <c r="I186" i="1"/>
  <c r="K185" i="4"/>
  <c r="J185" i="4"/>
  <c r="P185" i="4" s="1"/>
  <c r="P184" i="4"/>
  <c r="P186" i="6"/>
  <c r="I188" i="6"/>
  <c r="E189" i="6"/>
  <c r="J187" i="6"/>
  <c r="K187" i="6"/>
  <c r="P185" i="5"/>
  <c r="L185" i="5"/>
  <c r="I187" i="5"/>
  <c r="E188" i="5"/>
  <c r="J186" i="5"/>
  <c r="K186" i="5"/>
  <c r="I186" i="4"/>
  <c r="E187" i="4"/>
  <c r="J188" i="12" l="1"/>
  <c r="P188" i="12" s="1"/>
  <c r="L189" i="12"/>
  <c r="K189" i="12" s="1"/>
  <c r="E191" i="12"/>
  <c r="I190" i="12"/>
  <c r="J188" i="11"/>
  <c r="P188" i="11" s="1"/>
  <c r="L189" i="11"/>
  <c r="K189" i="11" s="1"/>
  <c r="E191" i="11"/>
  <c r="I190" i="11"/>
  <c r="J188" i="9"/>
  <c r="P188" i="9" s="1"/>
  <c r="L189" i="9"/>
  <c r="K189" i="9" s="1"/>
  <c r="E191" i="9"/>
  <c r="I190" i="9"/>
  <c r="J188" i="8"/>
  <c r="P188" i="8" s="1"/>
  <c r="L189" i="8"/>
  <c r="K189" i="8" s="1"/>
  <c r="E191" i="8"/>
  <c r="P189" i="7"/>
  <c r="I191" i="7"/>
  <c r="E192" i="7"/>
  <c r="J186" i="1"/>
  <c r="K186" i="1"/>
  <c r="E188" i="1"/>
  <c r="I187" i="1"/>
  <c r="K186" i="4"/>
  <c r="J186" i="4"/>
  <c r="P186" i="4" s="1"/>
  <c r="P187" i="6"/>
  <c r="I189" i="6"/>
  <c r="E190" i="6"/>
  <c r="J188" i="6"/>
  <c r="K188" i="6"/>
  <c r="P186" i="5"/>
  <c r="L186" i="5"/>
  <c r="I188" i="5"/>
  <c r="E189" i="5"/>
  <c r="K187" i="5"/>
  <c r="J187" i="5"/>
  <c r="E188" i="4"/>
  <c r="I187" i="4"/>
  <c r="J189" i="12" l="1"/>
  <c r="P189" i="12" s="1"/>
  <c r="L190" i="12"/>
  <c r="K190" i="12" s="1"/>
  <c r="E192" i="12"/>
  <c r="I191" i="12"/>
  <c r="J189" i="11"/>
  <c r="P189" i="11" s="1"/>
  <c r="L190" i="11"/>
  <c r="K190" i="11" s="1"/>
  <c r="E192" i="11"/>
  <c r="I191" i="11"/>
  <c r="J189" i="9"/>
  <c r="P189" i="9" s="1"/>
  <c r="L190" i="9"/>
  <c r="K190" i="9" s="1"/>
  <c r="E192" i="9"/>
  <c r="I191" i="9"/>
  <c r="J189" i="8"/>
  <c r="P189" i="8" s="1"/>
  <c r="E192" i="8"/>
  <c r="L190" i="8"/>
  <c r="K190" i="8" s="1"/>
  <c r="I192" i="7"/>
  <c r="E193" i="7"/>
  <c r="P190" i="7"/>
  <c r="K187" i="1"/>
  <c r="J187" i="1"/>
  <c r="K187" i="4"/>
  <c r="J187" i="4"/>
  <c r="P187" i="4" s="1"/>
  <c r="E189" i="1"/>
  <c r="I188" i="1"/>
  <c r="P188" i="6"/>
  <c r="I190" i="6"/>
  <c r="E191" i="6"/>
  <c r="K189" i="6"/>
  <c r="J189" i="6"/>
  <c r="P187" i="5"/>
  <c r="L187" i="5"/>
  <c r="E190" i="5"/>
  <c r="I189" i="5"/>
  <c r="J188" i="5"/>
  <c r="K188" i="5"/>
  <c r="E189" i="4"/>
  <c r="I188" i="4"/>
  <c r="J190" i="12" l="1"/>
  <c r="P190" i="12" s="1"/>
  <c r="L191" i="12"/>
  <c r="K191" i="12" s="1"/>
  <c r="E193" i="12"/>
  <c r="I192" i="12"/>
  <c r="J190" i="11"/>
  <c r="P190" i="11" s="1"/>
  <c r="L191" i="11"/>
  <c r="K191" i="11" s="1"/>
  <c r="E193" i="11"/>
  <c r="I192" i="11"/>
  <c r="J190" i="9"/>
  <c r="P190" i="9" s="1"/>
  <c r="L191" i="9"/>
  <c r="K191" i="9" s="1"/>
  <c r="E193" i="9"/>
  <c r="I192" i="9"/>
  <c r="J190" i="8"/>
  <c r="P190" i="8" s="1"/>
  <c r="E193" i="8"/>
  <c r="L191" i="8"/>
  <c r="K191" i="8" s="1"/>
  <c r="P191" i="7"/>
  <c r="I193" i="7"/>
  <c r="E194" i="7"/>
  <c r="J188" i="1"/>
  <c r="K188" i="1"/>
  <c r="E190" i="1"/>
  <c r="I189" i="1"/>
  <c r="K188" i="4"/>
  <c r="J188" i="4"/>
  <c r="P188" i="4" s="1"/>
  <c r="P189" i="6"/>
  <c r="E192" i="6"/>
  <c r="I191" i="6"/>
  <c r="K190" i="6"/>
  <c r="J190" i="6"/>
  <c r="P188" i="5"/>
  <c r="L188" i="5"/>
  <c r="K189" i="5"/>
  <c r="J189" i="5"/>
  <c r="I190" i="5"/>
  <c r="E191" i="5"/>
  <c r="I189" i="4"/>
  <c r="E190" i="4"/>
  <c r="J191" i="12" l="1"/>
  <c r="P191" i="12" s="1"/>
  <c r="L192" i="12"/>
  <c r="K192" i="12" s="1"/>
  <c r="E194" i="12"/>
  <c r="I193" i="12"/>
  <c r="J191" i="11"/>
  <c r="P191" i="11" s="1"/>
  <c r="L192" i="11"/>
  <c r="K192" i="11" s="1"/>
  <c r="E194" i="11"/>
  <c r="I193" i="11"/>
  <c r="J191" i="9"/>
  <c r="P191" i="9" s="1"/>
  <c r="E194" i="9"/>
  <c r="I193" i="9"/>
  <c r="L192" i="9"/>
  <c r="K192" i="9" s="1"/>
  <c r="J191" i="8"/>
  <c r="P191" i="8" s="1"/>
  <c r="L192" i="8"/>
  <c r="K192" i="8" s="1"/>
  <c r="E194" i="8"/>
  <c r="P192" i="7"/>
  <c r="I194" i="7"/>
  <c r="E195" i="7"/>
  <c r="K189" i="1"/>
  <c r="J189" i="1"/>
  <c r="E191" i="1"/>
  <c r="I190" i="1"/>
  <c r="K189" i="4"/>
  <c r="J189" i="4"/>
  <c r="P189" i="4" s="1"/>
  <c r="P190" i="6"/>
  <c r="K191" i="6"/>
  <c r="J191" i="6"/>
  <c r="E193" i="6"/>
  <c r="I192" i="6"/>
  <c r="P189" i="5"/>
  <c r="L189" i="5"/>
  <c r="E192" i="5"/>
  <c r="I191" i="5"/>
  <c r="K190" i="5"/>
  <c r="J190" i="5"/>
  <c r="I190" i="4"/>
  <c r="E191" i="4"/>
  <c r="J192" i="12" l="1"/>
  <c r="P192" i="12" s="1"/>
  <c r="L193" i="12"/>
  <c r="K193" i="12" s="1"/>
  <c r="E195" i="12"/>
  <c r="I194" i="12"/>
  <c r="J192" i="11"/>
  <c r="P192" i="11" s="1"/>
  <c r="L193" i="11"/>
  <c r="K193" i="11" s="1"/>
  <c r="E195" i="11"/>
  <c r="I194" i="11"/>
  <c r="J192" i="9"/>
  <c r="P192" i="9" s="1"/>
  <c r="L193" i="9"/>
  <c r="K193" i="9" s="1"/>
  <c r="E195" i="9"/>
  <c r="I194" i="9"/>
  <c r="J192" i="8"/>
  <c r="P192" i="8" s="1"/>
  <c r="E195" i="8"/>
  <c r="L193" i="8"/>
  <c r="K193" i="8" s="1"/>
  <c r="P193" i="7"/>
  <c r="E196" i="7"/>
  <c r="I195" i="7"/>
  <c r="J190" i="1"/>
  <c r="K190" i="1"/>
  <c r="E192" i="1"/>
  <c r="I191" i="1"/>
  <c r="J190" i="4"/>
  <c r="K190" i="4"/>
  <c r="P191" i="6"/>
  <c r="J192" i="6"/>
  <c r="K192" i="6"/>
  <c r="E194" i="6"/>
  <c r="I193" i="6"/>
  <c r="P190" i="5"/>
  <c r="L190" i="5"/>
  <c r="K191" i="5"/>
  <c r="J191" i="5"/>
  <c r="E193" i="5"/>
  <c r="I192" i="5"/>
  <c r="E192" i="4"/>
  <c r="I191" i="4"/>
  <c r="J193" i="12" l="1"/>
  <c r="P193" i="12" s="1"/>
  <c r="L194" i="12"/>
  <c r="K194" i="12" s="1"/>
  <c r="E196" i="12"/>
  <c r="I195" i="12"/>
  <c r="J193" i="11"/>
  <c r="P193" i="11" s="1"/>
  <c r="L194" i="11"/>
  <c r="K194" i="11" s="1"/>
  <c r="E196" i="11"/>
  <c r="I195" i="11"/>
  <c r="I195" i="9"/>
  <c r="E196" i="9"/>
  <c r="L194" i="9"/>
  <c r="K194" i="9" s="1"/>
  <c r="J193" i="9"/>
  <c r="P193" i="9" s="1"/>
  <c r="J193" i="8"/>
  <c r="P193" i="8" s="1"/>
  <c r="E196" i="8"/>
  <c r="L194" i="8"/>
  <c r="K194" i="8" s="1"/>
  <c r="P194" i="7"/>
  <c r="E197" i="7"/>
  <c r="I196" i="7"/>
  <c r="J191" i="1"/>
  <c r="K191" i="1"/>
  <c r="J191" i="4"/>
  <c r="K191" i="4"/>
  <c r="E193" i="1"/>
  <c r="I192" i="1"/>
  <c r="P190" i="4"/>
  <c r="K193" i="6"/>
  <c r="J193" i="6"/>
  <c r="E195" i="6"/>
  <c r="I194" i="6"/>
  <c r="P192" i="6"/>
  <c r="P191" i="5"/>
  <c r="L191" i="5"/>
  <c r="J192" i="5"/>
  <c r="K192" i="5"/>
  <c r="I193" i="5"/>
  <c r="E194" i="5"/>
  <c r="E193" i="4"/>
  <c r="I192" i="4"/>
  <c r="J194" i="12" l="1"/>
  <c r="P194" i="12" s="1"/>
  <c r="L195" i="12"/>
  <c r="K195" i="12" s="1"/>
  <c r="E197" i="12"/>
  <c r="I196" i="12"/>
  <c r="J194" i="11"/>
  <c r="P194" i="11" s="1"/>
  <c r="L195" i="11"/>
  <c r="K195" i="11" s="1"/>
  <c r="E197" i="11"/>
  <c r="I196" i="11"/>
  <c r="J194" i="9"/>
  <c r="P194" i="9" s="1"/>
  <c r="E197" i="9"/>
  <c r="I196" i="9"/>
  <c r="L195" i="9"/>
  <c r="K195" i="9" s="1"/>
  <c r="J194" i="8"/>
  <c r="P194" i="8" s="1"/>
  <c r="L195" i="8"/>
  <c r="K195" i="8" s="1"/>
  <c r="E197" i="8"/>
  <c r="P195" i="7"/>
  <c r="E198" i="7"/>
  <c r="I197" i="7"/>
  <c r="J192" i="1"/>
  <c r="K192" i="1"/>
  <c r="E194" i="1"/>
  <c r="I193" i="1"/>
  <c r="P191" i="4"/>
  <c r="J192" i="4"/>
  <c r="K192" i="4"/>
  <c r="P193" i="6"/>
  <c r="J194" i="6"/>
  <c r="K194" i="6"/>
  <c r="I195" i="6"/>
  <c r="E196" i="6"/>
  <c r="L192" i="5"/>
  <c r="E195" i="5"/>
  <c r="I194" i="5"/>
  <c r="K193" i="5"/>
  <c r="J193" i="5"/>
  <c r="P192" i="5"/>
  <c r="I193" i="4"/>
  <c r="E194" i="4"/>
  <c r="J195" i="12" l="1"/>
  <c r="P195" i="12" s="1"/>
  <c r="L196" i="12"/>
  <c r="K196" i="12" s="1"/>
  <c r="E198" i="12"/>
  <c r="I197" i="12"/>
  <c r="J195" i="11"/>
  <c r="P195" i="11" s="1"/>
  <c r="L196" i="11"/>
  <c r="K196" i="11" s="1"/>
  <c r="E198" i="11"/>
  <c r="I197" i="11"/>
  <c r="J195" i="9"/>
  <c r="P195" i="9" s="1"/>
  <c r="L196" i="9"/>
  <c r="K196" i="9" s="1"/>
  <c r="I197" i="9"/>
  <c r="E198" i="9"/>
  <c r="J195" i="8"/>
  <c r="P195" i="8" s="1"/>
  <c r="E198" i="8"/>
  <c r="L196" i="8"/>
  <c r="K196" i="8" s="1"/>
  <c r="P196" i="7"/>
  <c r="E199" i="7"/>
  <c r="I198" i="7"/>
  <c r="P192" i="4"/>
  <c r="J193" i="1"/>
  <c r="K193" i="1"/>
  <c r="K193" i="4"/>
  <c r="J193" i="4"/>
  <c r="P193" i="4" s="1"/>
  <c r="E195" i="1"/>
  <c r="I194" i="1"/>
  <c r="I196" i="6"/>
  <c r="E197" i="6"/>
  <c r="J195" i="6"/>
  <c r="K195" i="6"/>
  <c r="P194" i="6"/>
  <c r="P193" i="5"/>
  <c r="L193" i="5"/>
  <c r="K194" i="5"/>
  <c r="J194" i="5"/>
  <c r="I195" i="5"/>
  <c r="E196" i="5"/>
  <c r="I194" i="4"/>
  <c r="E195" i="4"/>
  <c r="J196" i="12" l="1"/>
  <c r="P196" i="12" s="1"/>
  <c r="L197" i="12"/>
  <c r="K197" i="12" s="1"/>
  <c r="E199" i="12"/>
  <c r="I198" i="12"/>
  <c r="L197" i="11"/>
  <c r="K197" i="11" s="1"/>
  <c r="E199" i="11"/>
  <c r="I198" i="11"/>
  <c r="J196" i="11"/>
  <c r="P196" i="11" s="1"/>
  <c r="J196" i="9"/>
  <c r="P196" i="9" s="1"/>
  <c r="L197" i="9"/>
  <c r="K197" i="9" s="1"/>
  <c r="I198" i="9"/>
  <c r="E199" i="9"/>
  <c r="J196" i="8"/>
  <c r="P196" i="8" s="1"/>
  <c r="E199" i="8"/>
  <c r="L197" i="8"/>
  <c r="K197" i="8" s="1"/>
  <c r="I199" i="7"/>
  <c r="E200" i="7"/>
  <c r="P197" i="7"/>
  <c r="E196" i="1"/>
  <c r="I195" i="1"/>
  <c r="J194" i="1"/>
  <c r="K194" i="1"/>
  <c r="K194" i="4"/>
  <c r="J194" i="4"/>
  <c r="P194" i="4" s="1"/>
  <c r="P195" i="6"/>
  <c r="I197" i="6"/>
  <c r="E198" i="6"/>
  <c r="J196" i="6"/>
  <c r="K196" i="6"/>
  <c r="P194" i="5"/>
  <c r="L194" i="5"/>
  <c r="I196" i="5"/>
  <c r="E197" i="5"/>
  <c r="J195" i="5"/>
  <c r="K195" i="5"/>
  <c r="E196" i="4"/>
  <c r="I195" i="4"/>
  <c r="J197" i="12" l="1"/>
  <c r="P197" i="12" s="1"/>
  <c r="L198" i="12"/>
  <c r="K198" i="12" s="1"/>
  <c r="E200" i="12"/>
  <c r="I199" i="12"/>
  <c r="J197" i="11"/>
  <c r="P197" i="11" s="1"/>
  <c r="L198" i="11"/>
  <c r="K198" i="11" s="1"/>
  <c r="E200" i="11"/>
  <c r="I199" i="11"/>
  <c r="L198" i="9"/>
  <c r="K198" i="9" s="1"/>
  <c r="I199" i="9"/>
  <c r="E200" i="9"/>
  <c r="J197" i="9"/>
  <c r="P197" i="9" s="1"/>
  <c r="J197" i="8"/>
  <c r="P197" i="8" s="1"/>
  <c r="E200" i="8"/>
  <c r="L198" i="8"/>
  <c r="K198" i="8" s="1"/>
  <c r="I200" i="7"/>
  <c r="E201" i="7"/>
  <c r="P198" i="7"/>
  <c r="K195" i="4"/>
  <c r="J195" i="4"/>
  <c r="P195" i="4" s="1"/>
  <c r="K195" i="1"/>
  <c r="J195" i="1"/>
  <c r="E197" i="1"/>
  <c r="I196" i="1"/>
  <c r="P196" i="6"/>
  <c r="K197" i="6"/>
  <c r="J197" i="6"/>
  <c r="I198" i="6"/>
  <c r="E199" i="6"/>
  <c r="P195" i="5"/>
  <c r="L195" i="5"/>
  <c r="E198" i="5"/>
  <c r="I197" i="5"/>
  <c r="J196" i="5"/>
  <c r="K196" i="5"/>
  <c r="E197" i="4"/>
  <c r="I196" i="4"/>
  <c r="J198" i="12" l="1"/>
  <c r="P198" i="12" s="1"/>
  <c r="L199" i="12"/>
  <c r="K199" i="12" s="1"/>
  <c r="E201" i="12"/>
  <c r="I200" i="12"/>
  <c r="J198" i="11"/>
  <c r="P198" i="11" s="1"/>
  <c r="L199" i="11"/>
  <c r="K199" i="11" s="1"/>
  <c r="E201" i="11"/>
  <c r="I200" i="11"/>
  <c r="J198" i="9"/>
  <c r="P198" i="9" s="1"/>
  <c r="I200" i="9"/>
  <c r="E201" i="9"/>
  <c r="L199" i="9"/>
  <c r="K199" i="9" s="1"/>
  <c r="J198" i="8"/>
  <c r="P198" i="8" s="1"/>
  <c r="L199" i="8"/>
  <c r="K199" i="8" s="1"/>
  <c r="E201" i="8"/>
  <c r="P199" i="7"/>
  <c r="I201" i="7"/>
  <c r="E202" i="7"/>
  <c r="E198" i="1"/>
  <c r="I197" i="1"/>
  <c r="J196" i="1"/>
  <c r="K196" i="1"/>
  <c r="K196" i="4"/>
  <c r="J196" i="4"/>
  <c r="P196" i="4" s="1"/>
  <c r="P197" i="6"/>
  <c r="E200" i="6"/>
  <c r="I199" i="6"/>
  <c r="K198" i="6"/>
  <c r="J198" i="6"/>
  <c r="L196" i="5"/>
  <c r="P196" i="5"/>
  <c r="K197" i="5"/>
  <c r="J197" i="5"/>
  <c r="I198" i="5"/>
  <c r="E199" i="5"/>
  <c r="I197" i="4"/>
  <c r="E198" i="4"/>
  <c r="J199" i="12" l="1"/>
  <c r="P199" i="12" s="1"/>
  <c r="L200" i="12"/>
  <c r="K200" i="12" s="1"/>
  <c r="E202" i="12"/>
  <c r="I201" i="12"/>
  <c r="J199" i="11"/>
  <c r="P199" i="11" s="1"/>
  <c r="L200" i="11"/>
  <c r="K200" i="11" s="1"/>
  <c r="E202" i="11"/>
  <c r="I201" i="11"/>
  <c r="J199" i="9"/>
  <c r="P199" i="9" s="1"/>
  <c r="I201" i="9"/>
  <c r="E202" i="9"/>
  <c r="L200" i="9"/>
  <c r="K200" i="9" s="1"/>
  <c r="J199" i="8"/>
  <c r="P199" i="8" s="1"/>
  <c r="L200" i="8"/>
  <c r="K200" i="8" s="1"/>
  <c r="E202" i="8"/>
  <c r="P200" i="7"/>
  <c r="I202" i="7"/>
  <c r="E203" i="7"/>
  <c r="K197" i="1"/>
  <c r="J197" i="1"/>
  <c r="K197" i="4"/>
  <c r="J197" i="4"/>
  <c r="P197" i="4" s="1"/>
  <c r="E199" i="1"/>
  <c r="I198" i="1"/>
  <c r="P198" i="6"/>
  <c r="K199" i="6"/>
  <c r="J199" i="6"/>
  <c r="E201" i="6"/>
  <c r="I200" i="6"/>
  <c r="P197" i="5"/>
  <c r="L197" i="5"/>
  <c r="E200" i="5"/>
  <c r="I199" i="5"/>
  <c r="K198" i="5"/>
  <c r="J198" i="5"/>
  <c r="I198" i="4"/>
  <c r="E199" i="4"/>
  <c r="J200" i="12" l="1"/>
  <c r="P200" i="12" s="1"/>
  <c r="L201" i="12"/>
  <c r="K201" i="12" s="1"/>
  <c r="E203" i="12"/>
  <c r="I202" i="12"/>
  <c r="J200" i="11"/>
  <c r="P200" i="11" s="1"/>
  <c r="L201" i="11"/>
  <c r="K201" i="11" s="1"/>
  <c r="E203" i="11"/>
  <c r="I202" i="11"/>
  <c r="J200" i="9"/>
  <c r="P200" i="9" s="1"/>
  <c r="I202" i="9"/>
  <c r="E203" i="9"/>
  <c r="L201" i="9"/>
  <c r="K201" i="9" s="1"/>
  <c r="J200" i="8"/>
  <c r="L201" i="8"/>
  <c r="K201" i="8" s="1"/>
  <c r="E203" i="8"/>
  <c r="P201" i="7"/>
  <c r="E204" i="7"/>
  <c r="I203" i="7"/>
  <c r="E200" i="1"/>
  <c r="I199" i="1"/>
  <c r="J198" i="1"/>
  <c r="K198" i="1"/>
  <c r="J198" i="4"/>
  <c r="P198" i="4" s="1"/>
  <c r="K198" i="4"/>
  <c r="P199" i="6"/>
  <c r="E202" i="6"/>
  <c r="I201" i="6"/>
  <c r="J200" i="6"/>
  <c r="K200" i="6"/>
  <c r="P198" i="5"/>
  <c r="L198" i="5"/>
  <c r="J199" i="5"/>
  <c r="K199" i="5"/>
  <c r="E201" i="5"/>
  <c r="I200" i="5"/>
  <c r="E200" i="4"/>
  <c r="I199" i="4"/>
  <c r="J201" i="12" l="1"/>
  <c r="P201" i="12" s="1"/>
  <c r="L202" i="12"/>
  <c r="K202" i="12" s="1"/>
  <c r="E204" i="12"/>
  <c r="I203" i="12"/>
  <c r="J201" i="11"/>
  <c r="P201" i="11" s="1"/>
  <c r="L202" i="11"/>
  <c r="K202" i="11" s="1"/>
  <c r="E204" i="11"/>
  <c r="I203" i="11"/>
  <c r="I203" i="9"/>
  <c r="E204" i="9"/>
  <c r="J201" i="9"/>
  <c r="P201" i="9" s="1"/>
  <c r="L202" i="9"/>
  <c r="K202" i="9" s="1"/>
  <c r="P200" i="8"/>
  <c r="J201" i="8"/>
  <c r="P201" i="8" s="1"/>
  <c r="E204" i="8"/>
  <c r="L202" i="8"/>
  <c r="K202" i="8" s="1"/>
  <c r="E205" i="7"/>
  <c r="I204" i="7"/>
  <c r="P202" i="7"/>
  <c r="J199" i="4"/>
  <c r="K199" i="4"/>
  <c r="J199" i="1"/>
  <c r="K199" i="1"/>
  <c r="E201" i="1"/>
  <c r="I200" i="1"/>
  <c r="P200" i="6"/>
  <c r="K201" i="6"/>
  <c r="J201" i="6"/>
  <c r="E203" i="6"/>
  <c r="I202" i="6"/>
  <c r="L199" i="5"/>
  <c r="J200" i="5"/>
  <c r="K200" i="5"/>
  <c r="E202" i="5"/>
  <c r="I201" i="5"/>
  <c r="P199" i="5"/>
  <c r="E201" i="4"/>
  <c r="I200" i="4"/>
  <c r="J202" i="12" l="1"/>
  <c r="P202" i="12" s="1"/>
  <c r="L203" i="12"/>
  <c r="K203" i="12" s="1"/>
  <c r="E205" i="12"/>
  <c r="I204" i="12"/>
  <c r="J202" i="11"/>
  <c r="P202" i="11" s="1"/>
  <c r="L203" i="11"/>
  <c r="K203" i="11" s="1"/>
  <c r="E205" i="11"/>
  <c r="I204" i="11"/>
  <c r="J202" i="9"/>
  <c r="P202" i="9" s="1"/>
  <c r="I204" i="9"/>
  <c r="E205" i="9"/>
  <c r="L203" i="9"/>
  <c r="K203" i="9" s="1"/>
  <c r="J202" i="8"/>
  <c r="P202" i="8" s="1"/>
  <c r="E205" i="8"/>
  <c r="L203" i="8"/>
  <c r="K203" i="8" s="1"/>
  <c r="E206" i="7"/>
  <c r="I205" i="7"/>
  <c r="P203" i="7"/>
  <c r="E202" i="1"/>
  <c r="I201" i="1"/>
  <c r="J200" i="1"/>
  <c r="K200" i="1"/>
  <c r="J200" i="4"/>
  <c r="P200" i="4" s="1"/>
  <c r="K200" i="4"/>
  <c r="P199" i="4"/>
  <c r="P201" i="6"/>
  <c r="J202" i="6"/>
  <c r="K202" i="6"/>
  <c r="I203" i="6"/>
  <c r="E204" i="6"/>
  <c r="P200" i="5"/>
  <c r="L200" i="5"/>
  <c r="K201" i="5"/>
  <c r="J201" i="5"/>
  <c r="I202" i="5"/>
  <c r="E203" i="5"/>
  <c r="I201" i="4"/>
  <c r="E202" i="4"/>
  <c r="J203" i="12" l="1"/>
  <c r="P203" i="12" s="1"/>
  <c r="L204" i="12"/>
  <c r="K204" i="12" s="1"/>
  <c r="E206" i="12"/>
  <c r="I205" i="12"/>
  <c r="J203" i="11"/>
  <c r="P203" i="11" s="1"/>
  <c r="L204" i="11"/>
  <c r="K204" i="11" s="1"/>
  <c r="E206" i="11"/>
  <c r="I205" i="11"/>
  <c r="J203" i="9"/>
  <c r="P203" i="9" s="1"/>
  <c r="I205" i="9"/>
  <c r="E206" i="9"/>
  <c r="L204" i="9"/>
  <c r="K204" i="9" s="1"/>
  <c r="J203" i="8"/>
  <c r="P203" i="8" s="1"/>
  <c r="L204" i="8"/>
  <c r="K204" i="8" s="1"/>
  <c r="E206" i="8"/>
  <c r="E207" i="7"/>
  <c r="I206" i="7"/>
  <c r="P204" i="7"/>
  <c r="K201" i="4"/>
  <c r="J201" i="4"/>
  <c r="P201" i="4" s="1"/>
  <c r="J201" i="1"/>
  <c r="K201" i="1"/>
  <c r="E203" i="1"/>
  <c r="I202" i="1"/>
  <c r="P202" i="6"/>
  <c r="I204" i="6"/>
  <c r="E205" i="6"/>
  <c r="J203" i="6"/>
  <c r="K203" i="6"/>
  <c r="P201" i="5"/>
  <c r="L201" i="5"/>
  <c r="I203" i="5"/>
  <c r="E204" i="5"/>
  <c r="K202" i="5"/>
  <c r="J202" i="5"/>
  <c r="I202" i="4"/>
  <c r="E203" i="4"/>
  <c r="J204" i="12" l="1"/>
  <c r="P204" i="12" s="1"/>
  <c r="L205" i="12"/>
  <c r="K205" i="12" s="1"/>
  <c r="E207" i="12"/>
  <c r="I206" i="12"/>
  <c r="J204" i="11"/>
  <c r="P204" i="11" s="1"/>
  <c r="L205" i="11"/>
  <c r="K205" i="11" s="1"/>
  <c r="E207" i="11"/>
  <c r="I206" i="11"/>
  <c r="I206" i="9"/>
  <c r="E207" i="9"/>
  <c r="J204" i="9"/>
  <c r="P204" i="9" s="1"/>
  <c r="L205" i="9"/>
  <c r="K205" i="9" s="1"/>
  <c r="J204" i="8"/>
  <c r="P204" i="8" s="1"/>
  <c r="E207" i="8"/>
  <c r="L205" i="8"/>
  <c r="K205" i="8" s="1"/>
  <c r="I207" i="7"/>
  <c r="E208" i="7"/>
  <c r="P205" i="7"/>
  <c r="K202" i="4"/>
  <c r="J202" i="4"/>
  <c r="P202" i="4" s="1"/>
  <c r="J202" i="1"/>
  <c r="K202" i="1"/>
  <c r="E204" i="1"/>
  <c r="I203" i="1"/>
  <c r="P203" i="6"/>
  <c r="I205" i="6"/>
  <c r="E206" i="6"/>
  <c r="J204" i="6"/>
  <c r="K204" i="6"/>
  <c r="P202" i="5"/>
  <c r="L202" i="5"/>
  <c r="I204" i="5"/>
  <c r="E205" i="5"/>
  <c r="J203" i="5"/>
  <c r="K203" i="5"/>
  <c r="E204" i="4"/>
  <c r="I203" i="4"/>
  <c r="J205" i="12" l="1"/>
  <c r="P205" i="12" s="1"/>
  <c r="L206" i="12"/>
  <c r="K206" i="12" s="1"/>
  <c r="E208" i="12"/>
  <c r="I207" i="12"/>
  <c r="J205" i="11"/>
  <c r="P205" i="11" s="1"/>
  <c r="L206" i="11"/>
  <c r="K206" i="11" s="1"/>
  <c r="E208" i="11"/>
  <c r="I207" i="11"/>
  <c r="J205" i="9"/>
  <c r="P205" i="9" s="1"/>
  <c r="I207" i="9"/>
  <c r="E208" i="9"/>
  <c r="L206" i="9"/>
  <c r="K206" i="9" s="1"/>
  <c r="J205" i="8"/>
  <c r="P205" i="8" s="1"/>
  <c r="E208" i="8"/>
  <c r="L206" i="8"/>
  <c r="K206" i="8" s="1"/>
  <c r="I208" i="7"/>
  <c r="E209" i="7"/>
  <c r="P206" i="7"/>
  <c r="K203" i="1"/>
  <c r="J203" i="1"/>
  <c r="E205" i="1"/>
  <c r="I204" i="1"/>
  <c r="K203" i="4"/>
  <c r="J203" i="4"/>
  <c r="P203" i="4" s="1"/>
  <c r="P204" i="6"/>
  <c r="I206" i="6"/>
  <c r="E207" i="6"/>
  <c r="K205" i="6"/>
  <c r="J205" i="6"/>
  <c r="L203" i="5"/>
  <c r="P203" i="5"/>
  <c r="E206" i="5"/>
  <c r="I205" i="5"/>
  <c r="J204" i="5"/>
  <c r="K204" i="5"/>
  <c r="E205" i="4"/>
  <c r="I204" i="4"/>
  <c r="J206" i="12" l="1"/>
  <c r="P206" i="12" s="1"/>
  <c r="L207" i="12"/>
  <c r="K207" i="12" s="1"/>
  <c r="E209" i="12"/>
  <c r="I208" i="12"/>
  <c r="J206" i="11"/>
  <c r="P206" i="11" s="1"/>
  <c r="L207" i="11"/>
  <c r="K207" i="11" s="1"/>
  <c r="E209" i="11"/>
  <c r="I208" i="11"/>
  <c r="I208" i="9"/>
  <c r="E209" i="9"/>
  <c r="J206" i="9"/>
  <c r="P206" i="9" s="1"/>
  <c r="L207" i="9"/>
  <c r="K207" i="9" s="1"/>
  <c r="J206" i="8"/>
  <c r="P206" i="8" s="1"/>
  <c r="E209" i="8"/>
  <c r="L207" i="8"/>
  <c r="K207" i="8" s="1"/>
  <c r="P207" i="7"/>
  <c r="I209" i="7"/>
  <c r="E210" i="7"/>
  <c r="J204" i="1"/>
  <c r="K204" i="1"/>
  <c r="E206" i="1"/>
  <c r="I205" i="1"/>
  <c r="K204" i="4"/>
  <c r="J204" i="4"/>
  <c r="P204" i="4" s="1"/>
  <c r="P205" i="6"/>
  <c r="E208" i="6"/>
  <c r="I207" i="6"/>
  <c r="K206" i="6"/>
  <c r="J206" i="6"/>
  <c r="L204" i="5"/>
  <c r="P204" i="5"/>
  <c r="K205" i="5"/>
  <c r="J205" i="5"/>
  <c r="E207" i="5"/>
  <c r="I206" i="5"/>
  <c r="I205" i="4"/>
  <c r="E206" i="4"/>
  <c r="J207" i="12" l="1"/>
  <c r="P207" i="12" s="1"/>
  <c r="L208" i="12"/>
  <c r="K208" i="12" s="1"/>
  <c r="E210" i="12"/>
  <c r="I209" i="12"/>
  <c r="J207" i="11"/>
  <c r="P207" i="11" s="1"/>
  <c r="L208" i="11"/>
  <c r="K208" i="11" s="1"/>
  <c r="E210" i="11"/>
  <c r="I209" i="11"/>
  <c r="J207" i="9"/>
  <c r="P207" i="9" s="1"/>
  <c r="I209" i="9"/>
  <c r="E210" i="9"/>
  <c r="L208" i="9"/>
  <c r="K208" i="9" s="1"/>
  <c r="J207" i="8"/>
  <c r="P207" i="8" s="1"/>
  <c r="L208" i="8"/>
  <c r="K208" i="8" s="1"/>
  <c r="E210" i="8"/>
  <c r="P208" i="7"/>
  <c r="I210" i="7"/>
  <c r="E211" i="7"/>
  <c r="K205" i="1"/>
  <c r="J205" i="1"/>
  <c r="E207" i="1"/>
  <c r="I206" i="1"/>
  <c r="K205" i="4"/>
  <c r="J205" i="4"/>
  <c r="P205" i="4" s="1"/>
  <c r="P206" i="6"/>
  <c r="K207" i="6"/>
  <c r="J207" i="6"/>
  <c r="E209" i="6"/>
  <c r="I208" i="6"/>
  <c r="P205" i="5"/>
  <c r="L205" i="5"/>
  <c r="K206" i="5"/>
  <c r="J206" i="5"/>
  <c r="E208" i="5"/>
  <c r="I207" i="5"/>
  <c r="I206" i="4"/>
  <c r="E207" i="4"/>
  <c r="J208" i="12" l="1"/>
  <c r="P208" i="12" s="1"/>
  <c r="L209" i="12"/>
  <c r="K209" i="12" s="1"/>
  <c r="E211" i="12"/>
  <c r="I210" i="12"/>
  <c r="J208" i="11"/>
  <c r="P208" i="11" s="1"/>
  <c r="L209" i="11"/>
  <c r="K209" i="11" s="1"/>
  <c r="E211" i="11"/>
  <c r="I210" i="11"/>
  <c r="J208" i="9"/>
  <c r="P208" i="9" s="1"/>
  <c r="I210" i="9"/>
  <c r="E211" i="9"/>
  <c r="L209" i="9"/>
  <c r="K209" i="9" s="1"/>
  <c r="J208" i="8"/>
  <c r="P208" i="8" s="1"/>
  <c r="E211" i="8"/>
  <c r="L209" i="8"/>
  <c r="K209" i="8" s="1"/>
  <c r="P209" i="7"/>
  <c r="E212" i="7"/>
  <c r="I211" i="7"/>
  <c r="J206" i="1"/>
  <c r="K206" i="1"/>
  <c r="E208" i="1"/>
  <c r="I207" i="1"/>
  <c r="J206" i="4"/>
  <c r="P206" i="4" s="1"/>
  <c r="K206" i="4"/>
  <c r="P207" i="6"/>
  <c r="E210" i="6"/>
  <c r="I209" i="6"/>
  <c r="J208" i="6"/>
  <c r="K208" i="6"/>
  <c r="P206" i="5"/>
  <c r="L206" i="5"/>
  <c r="K207" i="5"/>
  <c r="J207" i="5"/>
  <c r="E209" i="5"/>
  <c r="I208" i="5"/>
  <c r="E208" i="4"/>
  <c r="I207" i="4"/>
  <c r="J209" i="12" l="1"/>
  <c r="P209" i="12" s="1"/>
  <c r="L210" i="12"/>
  <c r="K210" i="12" s="1"/>
  <c r="I211" i="12"/>
  <c r="E212" i="12"/>
  <c r="J209" i="11"/>
  <c r="P209" i="11" s="1"/>
  <c r="L210" i="11"/>
  <c r="K210" i="11" s="1"/>
  <c r="E212" i="11"/>
  <c r="I211" i="11"/>
  <c r="J209" i="9"/>
  <c r="P209" i="9" s="1"/>
  <c r="I211" i="9"/>
  <c r="E212" i="9"/>
  <c r="L210" i="9"/>
  <c r="K210" i="9" s="1"/>
  <c r="J209" i="8"/>
  <c r="P209" i="8" s="1"/>
  <c r="L210" i="8"/>
  <c r="K210" i="8" s="1"/>
  <c r="E212" i="8"/>
  <c r="P210" i="7"/>
  <c r="E213" i="7"/>
  <c r="I212" i="7"/>
  <c r="J207" i="1"/>
  <c r="K207" i="1"/>
  <c r="E209" i="1"/>
  <c r="I208" i="1"/>
  <c r="J207" i="4"/>
  <c r="K207" i="4"/>
  <c r="P208" i="6"/>
  <c r="K209" i="6"/>
  <c r="J209" i="6"/>
  <c r="E211" i="6"/>
  <c r="I210" i="6"/>
  <c r="P207" i="5"/>
  <c r="L207" i="5"/>
  <c r="J208" i="5"/>
  <c r="K208" i="5"/>
  <c r="I209" i="5"/>
  <c r="E210" i="5"/>
  <c r="E209" i="4"/>
  <c r="I208" i="4"/>
  <c r="J210" i="12" l="1"/>
  <c r="P210" i="12" s="1"/>
  <c r="I212" i="12"/>
  <c r="E213" i="12"/>
  <c r="L211" i="12"/>
  <c r="K211" i="12" s="1"/>
  <c r="J210" i="11"/>
  <c r="P210" i="11" s="1"/>
  <c r="L211" i="11"/>
  <c r="K211" i="11" s="1"/>
  <c r="E213" i="11"/>
  <c r="I212" i="11"/>
  <c r="J210" i="9"/>
  <c r="P210" i="9" s="1"/>
  <c r="I212" i="9"/>
  <c r="E213" i="9"/>
  <c r="L211" i="9"/>
  <c r="K211" i="9" s="1"/>
  <c r="J210" i="8"/>
  <c r="P210" i="8" s="1"/>
  <c r="E213" i="8"/>
  <c r="L211" i="8"/>
  <c r="K211" i="8" s="1"/>
  <c r="P211" i="7"/>
  <c r="E214" i="7"/>
  <c r="I213" i="7"/>
  <c r="J208" i="1"/>
  <c r="K208" i="1"/>
  <c r="J208" i="4"/>
  <c r="K208" i="4"/>
  <c r="E210" i="1"/>
  <c r="I209" i="1"/>
  <c r="P207" i="4"/>
  <c r="P209" i="6"/>
  <c r="J210" i="6"/>
  <c r="K210" i="6"/>
  <c r="I211" i="6"/>
  <c r="E212" i="6"/>
  <c r="L208" i="5"/>
  <c r="I210" i="5"/>
  <c r="E211" i="5"/>
  <c r="K209" i="5"/>
  <c r="J209" i="5"/>
  <c r="P208" i="5"/>
  <c r="I209" i="4"/>
  <c r="E210" i="4"/>
  <c r="J211" i="12" l="1"/>
  <c r="P211" i="12" s="1"/>
  <c r="I213" i="12"/>
  <c r="E214" i="12"/>
  <c r="L212" i="12"/>
  <c r="K212" i="12" s="1"/>
  <c r="J211" i="11"/>
  <c r="P211" i="11" s="1"/>
  <c r="L212" i="11"/>
  <c r="K212" i="11" s="1"/>
  <c r="E214" i="11"/>
  <c r="I213" i="11"/>
  <c r="J211" i="9"/>
  <c r="P211" i="9" s="1"/>
  <c r="I213" i="9"/>
  <c r="E214" i="9"/>
  <c r="L212" i="9"/>
  <c r="K212" i="9" s="1"/>
  <c r="J211" i="8"/>
  <c r="P211" i="8" s="1"/>
  <c r="L212" i="8"/>
  <c r="K212" i="8" s="1"/>
  <c r="E214" i="8"/>
  <c r="E215" i="7"/>
  <c r="I214" i="7"/>
  <c r="P212" i="7"/>
  <c r="J209" i="1"/>
  <c r="K209" i="1"/>
  <c r="E211" i="1"/>
  <c r="I210" i="1"/>
  <c r="K209" i="4"/>
  <c r="J209" i="4"/>
  <c r="P209" i="4" s="1"/>
  <c r="P208" i="4"/>
  <c r="I212" i="6"/>
  <c r="E213" i="6"/>
  <c r="J211" i="6"/>
  <c r="K211" i="6"/>
  <c r="P210" i="6"/>
  <c r="P209" i="5"/>
  <c r="L209" i="5"/>
  <c r="I211" i="5"/>
  <c r="E212" i="5"/>
  <c r="K210" i="5"/>
  <c r="J210" i="5"/>
  <c r="I210" i="4"/>
  <c r="E211" i="4"/>
  <c r="J212" i="12" l="1"/>
  <c r="P212" i="12" s="1"/>
  <c r="I214" i="12"/>
  <c r="E215" i="12"/>
  <c r="L213" i="12"/>
  <c r="K213" i="12" s="1"/>
  <c r="J212" i="11"/>
  <c r="P212" i="11" s="1"/>
  <c r="L213" i="11"/>
  <c r="K213" i="11" s="1"/>
  <c r="E215" i="11"/>
  <c r="I214" i="11"/>
  <c r="J212" i="9"/>
  <c r="P212" i="9" s="1"/>
  <c r="I214" i="9"/>
  <c r="E215" i="9"/>
  <c r="L213" i="9"/>
  <c r="K213" i="9" s="1"/>
  <c r="J212" i="8"/>
  <c r="P212" i="8" s="1"/>
  <c r="L213" i="8"/>
  <c r="K213" i="8" s="1"/>
  <c r="E215" i="8"/>
  <c r="I215" i="7"/>
  <c r="E216" i="7"/>
  <c r="P213" i="7"/>
  <c r="J210" i="1"/>
  <c r="K210" i="1"/>
  <c r="K210" i="4"/>
  <c r="J210" i="4"/>
  <c r="P210" i="4" s="1"/>
  <c r="E212" i="1"/>
  <c r="I211" i="1"/>
  <c r="P211" i="6"/>
  <c r="I213" i="6"/>
  <c r="E214" i="6"/>
  <c r="J212" i="6"/>
  <c r="K212" i="6"/>
  <c r="P210" i="5"/>
  <c r="L210" i="5"/>
  <c r="I212" i="5"/>
  <c r="E213" i="5"/>
  <c r="J211" i="5"/>
  <c r="K211" i="5"/>
  <c r="E212" i="4"/>
  <c r="I211" i="4"/>
  <c r="J213" i="12" l="1"/>
  <c r="P213" i="12" s="1"/>
  <c r="I215" i="12"/>
  <c r="E216" i="12"/>
  <c r="L214" i="12"/>
  <c r="K214" i="12" s="1"/>
  <c r="L214" i="11"/>
  <c r="K214" i="11" s="1"/>
  <c r="E216" i="11"/>
  <c r="I215" i="11"/>
  <c r="J213" i="11"/>
  <c r="P213" i="11" s="1"/>
  <c r="J213" i="9"/>
  <c r="P213" i="9" s="1"/>
  <c r="I215" i="9"/>
  <c r="E216" i="9"/>
  <c r="L214" i="9"/>
  <c r="K214" i="9" s="1"/>
  <c r="J213" i="8"/>
  <c r="P213" i="8" s="1"/>
  <c r="L214" i="8"/>
  <c r="K214" i="8" s="1"/>
  <c r="E216" i="8"/>
  <c r="I216" i="7"/>
  <c r="E217" i="7"/>
  <c r="P214" i="7"/>
  <c r="K211" i="1"/>
  <c r="J211" i="1"/>
  <c r="E213" i="1"/>
  <c r="I212" i="1"/>
  <c r="K211" i="4"/>
  <c r="J211" i="4"/>
  <c r="P211" i="4" s="1"/>
  <c r="P212" i="6"/>
  <c r="I214" i="6"/>
  <c r="E215" i="6"/>
  <c r="K213" i="6"/>
  <c r="J213" i="6"/>
  <c r="L211" i="5"/>
  <c r="I213" i="5"/>
  <c r="E214" i="5"/>
  <c r="P211" i="5"/>
  <c r="J212" i="5"/>
  <c r="K212" i="5"/>
  <c r="E213" i="4"/>
  <c r="I212" i="4"/>
  <c r="J214" i="12" l="1"/>
  <c r="P214" i="12" s="1"/>
  <c r="I216" i="12"/>
  <c r="E217" i="12"/>
  <c r="L215" i="12"/>
  <c r="K215" i="12" s="1"/>
  <c r="J214" i="11"/>
  <c r="P214" i="11" s="1"/>
  <c r="L215" i="11"/>
  <c r="K215" i="11" s="1"/>
  <c r="E217" i="11"/>
  <c r="I216" i="11"/>
  <c r="J214" i="9"/>
  <c r="P214" i="9" s="1"/>
  <c r="I216" i="9"/>
  <c r="E217" i="9"/>
  <c r="L215" i="9"/>
  <c r="K215" i="9" s="1"/>
  <c r="J214" i="8"/>
  <c r="P214" i="8" s="1"/>
  <c r="L215" i="8"/>
  <c r="K215" i="8" s="1"/>
  <c r="E217" i="8"/>
  <c r="P215" i="7"/>
  <c r="I217" i="7"/>
  <c r="E218" i="7"/>
  <c r="J212" i="1"/>
  <c r="K212" i="1"/>
  <c r="E214" i="1"/>
  <c r="I213" i="1"/>
  <c r="K212" i="4"/>
  <c r="J212" i="4"/>
  <c r="P212" i="4" s="1"/>
  <c r="P213" i="6"/>
  <c r="E216" i="6"/>
  <c r="I215" i="6"/>
  <c r="K214" i="6"/>
  <c r="J214" i="6"/>
  <c r="P212" i="5"/>
  <c r="L212" i="5"/>
  <c r="E215" i="5"/>
  <c r="I214" i="5"/>
  <c r="K213" i="5"/>
  <c r="J213" i="5"/>
  <c r="I213" i="4"/>
  <c r="E214" i="4"/>
  <c r="J215" i="12" l="1"/>
  <c r="P215" i="12" s="1"/>
  <c r="I217" i="12"/>
  <c r="E218" i="12"/>
  <c r="L216" i="12"/>
  <c r="J216" i="12" s="1"/>
  <c r="J215" i="11"/>
  <c r="P215" i="11" s="1"/>
  <c r="L216" i="11"/>
  <c r="K216" i="11" s="1"/>
  <c r="E218" i="11"/>
  <c r="I217" i="11"/>
  <c r="J215" i="9"/>
  <c r="P215" i="9" s="1"/>
  <c r="I217" i="9"/>
  <c r="E218" i="9"/>
  <c r="L216" i="9"/>
  <c r="K216" i="9" s="1"/>
  <c r="J215" i="8"/>
  <c r="P215" i="8" s="1"/>
  <c r="L216" i="8"/>
  <c r="K216" i="8" s="1"/>
  <c r="E218" i="8"/>
  <c r="P216" i="7"/>
  <c r="I218" i="7"/>
  <c r="E219" i="7"/>
  <c r="K213" i="1"/>
  <c r="J213" i="1"/>
  <c r="E215" i="1"/>
  <c r="I214" i="1"/>
  <c r="K213" i="4"/>
  <c r="J213" i="4"/>
  <c r="P213" i="4" s="1"/>
  <c r="P214" i="6"/>
  <c r="K215" i="6"/>
  <c r="J215" i="6"/>
  <c r="E217" i="6"/>
  <c r="I216" i="6"/>
  <c r="P213" i="5"/>
  <c r="L213" i="5"/>
  <c r="K214" i="5"/>
  <c r="J214" i="5"/>
  <c r="E216" i="5"/>
  <c r="I215" i="5"/>
  <c r="I214" i="4"/>
  <c r="E215" i="4"/>
  <c r="K216" i="12" l="1"/>
  <c r="P216" i="12" s="1"/>
  <c r="I218" i="12"/>
  <c r="E219" i="12"/>
  <c r="L217" i="12"/>
  <c r="K217" i="12" s="1"/>
  <c r="J216" i="11"/>
  <c r="P216" i="11" s="1"/>
  <c r="L217" i="11"/>
  <c r="K217" i="11" s="1"/>
  <c r="E219" i="11"/>
  <c r="I218" i="11"/>
  <c r="J216" i="9"/>
  <c r="P216" i="9" s="1"/>
  <c r="L217" i="9"/>
  <c r="K217" i="9" s="1"/>
  <c r="I218" i="9"/>
  <c r="E219" i="9"/>
  <c r="J216" i="8"/>
  <c r="P216" i="8" s="1"/>
  <c r="E219" i="8"/>
  <c r="L217" i="8"/>
  <c r="K217" i="8" s="1"/>
  <c r="P217" i="7"/>
  <c r="E220" i="7"/>
  <c r="I219" i="7"/>
  <c r="J214" i="1"/>
  <c r="K214" i="1"/>
  <c r="E216" i="1"/>
  <c r="I215" i="1"/>
  <c r="J214" i="4"/>
  <c r="P214" i="4" s="1"/>
  <c r="K214" i="4"/>
  <c r="P215" i="6"/>
  <c r="E218" i="6"/>
  <c r="I217" i="6"/>
  <c r="J216" i="6"/>
  <c r="K216" i="6"/>
  <c r="L214" i="5"/>
  <c r="K215" i="5"/>
  <c r="J215" i="5"/>
  <c r="E217" i="5"/>
  <c r="I216" i="5"/>
  <c r="P214" i="5"/>
  <c r="E216" i="4"/>
  <c r="I215" i="4"/>
  <c r="J217" i="12" l="1"/>
  <c r="P217" i="12" s="1"/>
  <c r="I219" i="12"/>
  <c r="E220" i="12"/>
  <c r="L218" i="12"/>
  <c r="K218" i="12" s="1"/>
  <c r="J217" i="11"/>
  <c r="P217" i="11" s="1"/>
  <c r="L218" i="11"/>
  <c r="K218" i="11" s="1"/>
  <c r="E220" i="11"/>
  <c r="I219" i="11"/>
  <c r="L218" i="9"/>
  <c r="K218" i="9" s="1"/>
  <c r="I219" i="9"/>
  <c r="E220" i="9"/>
  <c r="J217" i="9"/>
  <c r="P217" i="9" s="1"/>
  <c r="J217" i="8"/>
  <c r="P217" i="8" s="1"/>
  <c r="L218" i="8"/>
  <c r="K218" i="8" s="1"/>
  <c r="E220" i="8"/>
  <c r="E221" i="7"/>
  <c r="I220" i="7"/>
  <c r="P218" i="7"/>
  <c r="J215" i="1"/>
  <c r="K215" i="1"/>
  <c r="E217" i="1"/>
  <c r="I216" i="1"/>
  <c r="J215" i="4"/>
  <c r="K215" i="4"/>
  <c r="P216" i="6"/>
  <c r="K217" i="6"/>
  <c r="J217" i="6"/>
  <c r="E219" i="6"/>
  <c r="I218" i="6"/>
  <c r="P215" i="5"/>
  <c r="L215" i="5"/>
  <c r="I217" i="5"/>
  <c r="E218" i="5"/>
  <c r="J216" i="5"/>
  <c r="K216" i="5"/>
  <c r="E217" i="4"/>
  <c r="I216" i="4"/>
  <c r="J218" i="12" l="1"/>
  <c r="P218" i="12" s="1"/>
  <c r="I220" i="12"/>
  <c r="E221" i="12"/>
  <c r="L219" i="12"/>
  <c r="K219" i="12" s="1"/>
  <c r="J218" i="11"/>
  <c r="P218" i="11" s="1"/>
  <c r="L219" i="11"/>
  <c r="K219" i="11" s="1"/>
  <c r="E221" i="11"/>
  <c r="I220" i="11"/>
  <c r="J218" i="9"/>
  <c r="P218" i="9" s="1"/>
  <c r="I220" i="9"/>
  <c r="E221" i="9"/>
  <c r="L219" i="9"/>
  <c r="K219" i="9" s="1"/>
  <c r="J218" i="8"/>
  <c r="P218" i="8" s="1"/>
  <c r="E221" i="8"/>
  <c r="L219" i="8"/>
  <c r="K219" i="8" s="1"/>
  <c r="E222" i="7"/>
  <c r="I221" i="7"/>
  <c r="P219" i="7"/>
  <c r="J216" i="1"/>
  <c r="K216" i="1"/>
  <c r="J216" i="4"/>
  <c r="K216" i="4"/>
  <c r="E218" i="1"/>
  <c r="I217" i="1"/>
  <c r="P215" i="4"/>
  <c r="P217" i="6"/>
  <c r="I219" i="6"/>
  <c r="E220" i="6"/>
  <c r="J218" i="6"/>
  <c r="K218" i="6"/>
  <c r="P216" i="5"/>
  <c r="L216" i="5"/>
  <c r="I218" i="5"/>
  <c r="E219" i="5"/>
  <c r="K217" i="5"/>
  <c r="J217" i="5"/>
  <c r="I217" i="4"/>
  <c r="E218" i="4"/>
  <c r="J219" i="12" l="1"/>
  <c r="P219" i="12" s="1"/>
  <c r="I221" i="12"/>
  <c r="E222" i="12"/>
  <c r="L220" i="12"/>
  <c r="K220" i="12" s="1"/>
  <c r="J219" i="11"/>
  <c r="P219" i="11" s="1"/>
  <c r="L220" i="11"/>
  <c r="K220" i="11" s="1"/>
  <c r="E222" i="11"/>
  <c r="I221" i="11"/>
  <c r="J219" i="9"/>
  <c r="P219" i="9" s="1"/>
  <c r="I221" i="9"/>
  <c r="E222" i="9"/>
  <c r="L220" i="9"/>
  <c r="K220" i="9" s="1"/>
  <c r="J219" i="8"/>
  <c r="P219" i="8" s="1"/>
  <c r="L220" i="8"/>
  <c r="K220" i="8" s="1"/>
  <c r="E222" i="8"/>
  <c r="E223" i="7"/>
  <c r="I222" i="7"/>
  <c r="P220" i="7"/>
  <c r="J217" i="1"/>
  <c r="K217" i="1"/>
  <c r="E219" i="1"/>
  <c r="I218" i="1"/>
  <c r="P216" i="4"/>
  <c r="K217" i="4"/>
  <c r="J217" i="4"/>
  <c r="P217" i="4" s="1"/>
  <c r="P218" i="6"/>
  <c r="I220" i="6"/>
  <c r="E221" i="6"/>
  <c r="J219" i="6"/>
  <c r="K219" i="6"/>
  <c r="P217" i="5"/>
  <c r="L217" i="5"/>
  <c r="I219" i="5"/>
  <c r="E220" i="5"/>
  <c r="J218" i="5"/>
  <c r="K218" i="5"/>
  <c r="I218" i="4"/>
  <c r="E219" i="4"/>
  <c r="J220" i="12" l="1"/>
  <c r="P220" i="12" s="1"/>
  <c r="I222" i="12"/>
  <c r="E223" i="12"/>
  <c r="L221" i="12"/>
  <c r="K221" i="12" s="1"/>
  <c r="J220" i="11"/>
  <c r="P220" i="11" s="1"/>
  <c r="L221" i="11"/>
  <c r="K221" i="11" s="1"/>
  <c r="E223" i="11"/>
  <c r="I222" i="11"/>
  <c r="J220" i="9"/>
  <c r="P220" i="9" s="1"/>
  <c r="I222" i="9"/>
  <c r="E223" i="9"/>
  <c r="L221" i="9"/>
  <c r="K221" i="9" s="1"/>
  <c r="J220" i="8"/>
  <c r="P220" i="8" s="1"/>
  <c r="L221" i="8"/>
  <c r="K221" i="8" s="1"/>
  <c r="E223" i="8"/>
  <c r="I223" i="7"/>
  <c r="E224" i="7"/>
  <c r="P221" i="7"/>
  <c r="J218" i="1"/>
  <c r="K218" i="1"/>
  <c r="E220" i="1"/>
  <c r="I219" i="1"/>
  <c r="K218" i="4"/>
  <c r="J218" i="4"/>
  <c r="P218" i="4" s="1"/>
  <c r="P219" i="6"/>
  <c r="J220" i="6"/>
  <c r="K220" i="6"/>
  <c r="I221" i="6"/>
  <c r="E222" i="6"/>
  <c r="P218" i="5"/>
  <c r="L218" i="5"/>
  <c r="I220" i="5"/>
  <c r="E221" i="5"/>
  <c r="J219" i="5"/>
  <c r="K219" i="5"/>
  <c r="E220" i="4"/>
  <c r="I219" i="4"/>
  <c r="J221" i="12" l="1"/>
  <c r="P221" i="12" s="1"/>
  <c r="I223" i="12"/>
  <c r="E224" i="12"/>
  <c r="L222" i="12"/>
  <c r="K222" i="12" s="1"/>
  <c r="L222" i="11"/>
  <c r="K222" i="11" s="1"/>
  <c r="E224" i="11"/>
  <c r="I223" i="11"/>
  <c r="J221" i="11"/>
  <c r="P221" i="11" s="1"/>
  <c r="J221" i="9"/>
  <c r="P221" i="9" s="1"/>
  <c r="L222" i="9"/>
  <c r="K222" i="9" s="1"/>
  <c r="I223" i="9"/>
  <c r="E224" i="9"/>
  <c r="J221" i="8"/>
  <c r="P221" i="8" s="1"/>
  <c r="L222" i="8"/>
  <c r="K222" i="8" s="1"/>
  <c r="E224" i="8"/>
  <c r="E225" i="7"/>
  <c r="I224" i="7"/>
  <c r="P222" i="7"/>
  <c r="K219" i="1"/>
  <c r="J219" i="1"/>
  <c r="K219" i="4"/>
  <c r="J219" i="4"/>
  <c r="P219" i="4" s="1"/>
  <c r="E221" i="1"/>
  <c r="I220" i="1"/>
  <c r="I222" i="6"/>
  <c r="E223" i="6"/>
  <c r="K221" i="6"/>
  <c r="J221" i="6"/>
  <c r="P220" i="6"/>
  <c r="P219" i="5"/>
  <c r="L219" i="5"/>
  <c r="I221" i="5"/>
  <c r="E222" i="5"/>
  <c r="J220" i="5"/>
  <c r="K220" i="5"/>
  <c r="E221" i="4"/>
  <c r="I220" i="4"/>
  <c r="J222" i="12" l="1"/>
  <c r="P222" i="12" s="1"/>
  <c r="I224" i="12"/>
  <c r="E225" i="12"/>
  <c r="L223" i="12"/>
  <c r="K223" i="12" s="1"/>
  <c r="L223" i="11"/>
  <c r="K223" i="11" s="1"/>
  <c r="E225" i="11"/>
  <c r="I224" i="11"/>
  <c r="J222" i="11"/>
  <c r="P222" i="11" s="1"/>
  <c r="J222" i="9"/>
  <c r="P222" i="9" s="1"/>
  <c r="L223" i="9"/>
  <c r="K223" i="9" s="1"/>
  <c r="I224" i="9"/>
  <c r="E225" i="9"/>
  <c r="J222" i="8"/>
  <c r="P222" i="8" s="1"/>
  <c r="E225" i="8"/>
  <c r="L223" i="8"/>
  <c r="K223" i="8" s="1"/>
  <c r="P223" i="7"/>
  <c r="I225" i="7"/>
  <c r="E226" i="7"/>
  <c r="J220" i="1"/>
  <c r="K220" i="1"/>
  <c r="E222" i="1"/>
  <c r="I221" i="1"/>
  <c r="K220" i="4"/>
  <c r="J220" i="4"/>
  <c r="P220" i="4" s="1"/>
  <c r="P221" i="6"/>
  <c r="E224" i="6"/>
  <c r="I223" i="6"/>
  <c r="K222" i="6"/>
  <c r="J222" i="6"/>
  <c r="L220" i="5"/>
  <c r="P220" i="5"/>
  <c r="E223" i="5"/>
  <c r="I222" i="5"/>
  <c r="K221" i="5"/>
  <c r="J221" i="5"/>
  <c r="I221" i="4"/>
  <c r="E222" i="4"/>
  <c r="J223" i="12" l="1"/>
  <c r="P223" i="12" s="1"/>
  <c r="I225" i="12"/>
  <c r="E226" i="12"/>
  <c r="L224" i="12"/>
  <c r="K224" i="12" s="1"/>
  <c r="L224" i="11"/>
  <c r="K224" i="11" s="1"/>
  <c r="E226" i="11"/>
  <c r="I225" i="11"/>
  <c r="J223" i="11"/>
  <c r="P223" i="11" s="1"/>
  <c r="J223" i="9"/>
  <c r="P223" i="9" s="1"/>
  <c r="I225" i="9"/>
  <c r="E226" i="9"/>
  <c r="L224" i="9"/>
  <c r="K224" i="9" s="1"/>
  <c r="J223" i="8"/>
  <c r="P223" i="8" s="1"/>
  <c r="E226" i="8"/>
  <c r="L224" i="8"/>
  <c r="K224" i="8" s="1"/>
  <c r="P224" i="7"/>
  <c r="E227" i="7"/>
  <c r="I226" i="7"/>
  <c r="K221" i="1"/>
  <c r="J221" i="1"/>
  <c r="E223" i="1"/>
  <c r="I222" i="1"/>
  <c r="K221" i="4"/>
  <c r="J221" i="4"/>
  <c r="P221" i="4" s="1"/>
  <c r="P222" i="6"/>
  <c r="K223" i="6"/>
  <c r="J223" i="6"/>
  <c r="E225" i="6"/>
  <c r="I224" i="6"/>
  <c r="P221" i="5"/>
  <c r="L221" i="5"/>
  <c r="K222" i="5"/>
  <c r="J222" i="5"/>
  <c r="E224" i="5"/>
  <c r="I223" i="5"/>
  <c r="I222" i="4"/>
  <c r="E223" i="4"/>
  <c r="J224" i="12" l="1"/>
  <c r="P224" i="12" s="1"/>
  <c r="I226" i="12"/>
  <c r="E227" i="12"/>
  <c r="L225" i="12"/>
  <c r="K225" i="12" s="1"/>
  <c r="L225" i="11"/>
  <c r="K225" i="11" s="1"/>
  <c r="E227" i="11"/>
  <c r="I226" i="11"/>
  <c r="J224" i="11"/>
  <c r="P224" i="11" s="1"/>
  <c r="J224" i="9"/>
  <c r="P224" i="9" s="1"/>
  <c r="I226" i="9"/>
  <c r="E227" i="9"/>
  <c r="L225" i="9"/>
  <c r="K225" i="9" s="1"/>
  <c r="J224" i="8"/>
  <c r="P224" i="8" s="1"/>
  <c r="E227" i="8"/>
  <c r="L225" i="8"/>
  <c r="K225" i="8" s="1"/>
  <c r="P225" i="7"/>
  <c r="E228" i="7"/>
  <c r="I227" i="7"/>
  <c r="J222" i="1"/>
  <c r="K222" i="1"/>
  <c r="E224" i="1"/>
  <c r="I223" i="1"/>
  <c r="J222" i="4"/>
  <c r="P222" i="4" s="1"/>
  <c r="K222" i="4"/>
  <c r="P223" i="6"/>
  <c r="I225" i="6"/>
  <c r="E226" i="6"/>
  <c r="K224" i="6"/>
  <c r="J224" i="6"/>
  <c r="L222" i="5"/>
  <c r="J223" i="5"/>
  <c r="K223" i="5"/>
  <c r="I224" i="5"/>
  <c r="E225" i="5"/>
  <c r="P222" i="5"/>
  <c r="E224" i="4"/>
  <c r="I223" i="4"/>
  <c r="J225" i="12" l="1"/>
  <c r="P225" i="12" s="1"/>
  <c r="I227" i="12"/>
  <c r="E228" i="12"/>
  <c r="L226" i="12"/>
  <c r="K226" i="12" s="1"/>
  <c r="L226" i="11"/>
  <c r="K226" i="11" s="1"/>
  <c r="E228" i="11"/>
  <c r="I227" i="11"/>
  <c r="J225" i="11"/>
  <c r="P225" i="11" s="1"/>
  <c r="J225" i="9"/>
  <c r="P225" i="9" s="1"/>
  <c r="I227" i="9"/>
  <c r="E228" i="9"/>
  <c r="L226" i="9"/>
  <c r="K226" i="9" s="1"/>
  <c r="J225" i="8"/>
  <c r="P225" i="8" s="1"/>
  <c r="E228" i="8"/>
  <c r="L226" i="8"/>
  <c r="K226" i="8" s="1"/>
  <c r="P226" i="7"/>
  <c r="I228" i="7"/>
  <c r="E229" i="7"/>
  <c r="J223" i="1"/>
  <c r="K223" i="1"/>
  <c r="E225" i="1"/>
  <c r="I224" i="1"/>
  <c r="J223" i="4"/>
  <c r="K223" i="4"/>
  <c r="P224" i="6"/>
  <c r="I226" i="6"/>
  <c r="E227" i="6"/>
  <c r="K225" i="6"/>
  <c r="J225" i="6"/>
  <c r="P223" i="5"/>
  <c r="L223" i="5"/>
  <c r="I225" i="5"/>
  <c r="E226" i="5"/>
  <c r="J224" i="5"/>
  <c r="K224" i="5"/>
  <c r="E225" i="4"/>
  <c r="I224" i="4"/>
  <c r="J226" i="12" l="1"/>
  <c r="P226" i="12" s="1"/>
  <c r="I228" i="12"/>
  <c r="E229" i="12"/>
  <c r="L227" i="12"/>
  <c r="K227" i="12" s="1"/>
  <c r="J226" i="11"/>
  <c r="P226" i="11" s="1"/>
  <c r="L227" i="11"/>
  <c r="K227" i="11" s="1"/>
  <c r="E229" i="11"/>
  <c r="I228" i="11"/>
  <c r="J226" i="9"/>
  <c r="P226" i="9" s="1"/>
  <c r="I228" i="9"/>
  <c r="E229" i="9"/>
  <c r="L227" i="9"/>
  <c r="K227" i="9" s="1"/>
  <c r="J226" i="8"/>
  <c r="P226" i="8" s="1"/>
  <c r="L227" i="8"/>
  <c r="K227" i="8" s="1"/>
  <c r="E229" i="8"/>
  <c r="E230" i="7"/>
  <c r="I229" i="7"/>
  <c r="P227" i="7"/>
  <c r="P223" i="4"/>
  <c r="J224" i="1"/>
  <c r="K224" i="1"/>
  <c r="E226" i="1"/>
  <c r="I225" i="1"/>
  <c r="J224" i="4"/>
  <c r="K224" i="4"/>
  <c r="P225" i="6"/>
  <c r="I227" i="6"/>
  <c r="E228" i="6"/>
  <c r="K226" i="6"/>
  <c r="J226" i="6"/>
  <c r="L224" i="5"/>
  <c r="P224" i="5"/>
  <c r="I226" i="5"/>
  <c r="E227" i="5"/>
  <c r="J225" i="5"/>
  <c r="K225" i="5"/>
  <c r="I225" i="4"/>
  <c r="E226" i="4"/>
  <c r="J227" i="12" l="1"/>
  <c r="P227" i="12" s="1"/>
  <c r="I229" i="12"/>
  <c r="E230" i="12"/>
  <c r="L228" i="12"/>
  <c r="K228" i="12" s="1"/>
  <c r="J227" i="11"/>
  <c r="P227" i="11" s="1"/>
  <c r="L228" i="11"/>
  <c r="K228" i="11" s="1"/>
  <c r="E230" i="11"/>
  <c r="I229" i="11"/>
  <c r="J227" i="9"/>
  <c r="P227" i="9" s="1"/>
  <c r="I229" i="9"/>
  <c r="E230" i="9"/>
  <c r="L228" i="9"/>
  <c r="K228" i="9" s="1"/>
  <c r="J227" i="8"/>
  <c r="P227" i="8" s="1"/>
  <c r="L228" i="8"/>
  <c r="K228" i="8" s="1"/>
  <c r="E230" i="8"/>
  <c r="P228" i="7"/>
  <c r="I230" i="7"/>
  <c r="E231" i="7"/>
  <c r="P224" i="4"/>
  <c r="J225" i="1"/>
  <c r="K225" i="1"/>
  <c r="E227" i="1"/>
  <c r="I226" i="1"/>
  <c r="K225" i="4"/>
  <c r="J225" i="4"/>
  <c r="P225" i="4" s="1"/>
  <c r="P226" i="6"/>
  <c r="I228" i="6"/>
  <c r="E229" i="6"/>
  <c r="J227" i="6"/>
  <c r="K227" i="6"/>
  <c r="P225" i="5"/>
  <c r="L225" i="5"/>
  <c r="I227" i="5"/>
  <c r="E228" i="5"/>
  <c r="K226" i="5"/>
  <c r="J226" i="5"/>
  <c r="E227" i="4"/>
  <c r="I226" i="4"/>
  <c r="J228" i="12" l="1"/>
  <c r="P228" i="12" s="1"/>
  <c r="I230" i="12"/>
  <c r="E231" i="12"/>
  <c r="L229" i="12"/>
  <c r="K229" i="12" s="1"/>
  <c r="L229" i="11"/>
  <c r="K229" i="11" s="1"/>
  <c r="E231" i="11"/>
  <c r="I230" i="11"/>
  <c r="J228" i="11"/>
  <c r="P228" i="11" s="1"/>
  <c r="J228" i="9"/>
  <c r="P228" i="9" s="1"/>
  <c r="I230" i="9"/>
  <c r="E231" i="9"/>
  <c r="L229" i="9"/>
  <c r="K229" i="9" s="1"/>
  <c r="J228" i="8"/>
  <c r="P228" i="8" s="1"/>
  <c r="E231" i="8"/>
  <c r="L229" i="8"/>
  <c r="K229" i="8" s="1"/>
  <c r="P229" i="7"/>
  <c r="I231" i="7"/>
  <c r="E232" i="7"/>
  <c r="J226" i="1"/>
  <c r="K226" i="1"/>
  <c r="E228" i="1"/>
  <c r="I227" i="1"/>
  <c r="K226" i="4"/>
  <c r="J226" i="4"/>
  <c r="P226" i="4" s="1"/>
  <c r="P227" i="6"/>
  <c r="E230" i="6"/>
  <c r="I229" i="6"/>
  <c r="K228" i="6"/>
  <c r="J228" i="6"/>
  <c r="P226" i="5"/>
  <c r="L226" i="5"/>
  <c r="E229" i="5"/>
  <c r="I228" i="5"/>
  <c r="K227" i="5"/>
  <c r="J227" i="5"/>
  <c r="I227" i="4"/>
  <c r="E228" i="4"/>
  <c r="J229" i="12" l="1"/>
  <c r="P229" i="12" s="1"/>
  <c r="I231" i="12"/>
  <c r="E232" i="12"/>
  <c r="L230" i="12"/>
  <c r="K230" i="12" s="1"/>
  <c r="L230" i="11"/>
  <c r="K230" i="11" s="1"/>
  <c r="E232" i="11"/>
  <c r="I231" i="11"/>
  <c r="J229" i="11"/>
  <c r="P229" i="11" s="1"/>
  <c r="J229" i="9"/>
  <c r="P229" i="9" s="1"/>
  <c r="I231" i="9"/>
  <c r="E232" i="9"/>
  <c r="L230" i="9"/>
  <c r="K230" i="9" s="1"/>
  <c r="J229" i="8"/>
  <c r="P229" i="8" s="1"/>
  <c r="E232" i="8"/>
  <c r="L230" i="8"/>
  <c r="K230" i="8" s="1"/>
  <c r="P230" i="7"/>
  <c r="P10" i="7" s="1"/>
  <c r="L10" i="7" s="1"/>
  <c r="E233" i="7"/>
  <c r="I232" i="7"/>
  <c r="K227" i="1"/>
  <c r="J227" i="1"/>
  <c r="E229" i="1"/>
  <c r="I228" i="1"/>
  <c r="K227" i="4"/>
  <c r="J227" i="4"/>
  <c r="P227" i="4" s="1"/>
  <c r="P228" i="6"/>
  <c r="K229" i="6"/>
  <c r="J229" i="6"/>
  <c r="E231" i="6"/>
  <c r="I230" i="6"/>
  <c r="P227" i="5"/>
  <c r="L227" i="5"/>
  <c r="E230" i="5"/>
  <c r="I229" i="5"/>
  <c r="K228" i="5"/>
  <c r="J228" i="5"/>
  <c r="E229" i="4"/>
  <c r="I228" i="4"/>
  <c r="J230" i="12" l="1"/>
  <c r="P230" i="12" s="1"/>
  <c r="P10" i="12" s="1"/>
  <c r="I232" i="12"/>
  <c r="E233" i="12"/>
  <c r="L231" i="12"/>
  <c r="K231" i="12" s="1"/>
  <c r="L231" i="11"/>
  <c r="K231" i="11" s="1"/>
  <c r="E233" i="11"/>
  <c r="I232" i="11"/>
  <c r="J230" i="11"/>
  <c r="J230" i="9"/>
  <c r="P230" i="9" s="1"/>
  <c r="P10" i="9" s="1"/>
  <c r="I232" i="9"/>
  <c r="E233" i="9"/>
  <c r="L231" i="9"/>
  <c r="K231" i="9" s="1"/>
  <c r="J230" i="8"/>
  <c r="P230" i="8" s="1"/>
  <c r="P10" i="8" s="1"/>
  <c r="L231" i="8"/>
  <c r="K231" i="8" s="1"/>
  <c r="E233" i="8"/>
  <c r="I233" i="7"/>
  <c r="E234" i="7"/>
  <c r="P231" i="7"/>
  <c r="J228" i="1"/>
  <c r="K228" i="1"/>
  <c r="K228" i="4"/>
  <c r="J228" i="4"/>
  <c r="P228" i="4" s="1"/>
  <c r="E230" i="1"/>
  <c r="I229" i="1"/>
  <c r="P229" i="6"/>
  <c r="E232" i="6"/>
  <c r="I231" i="6"/>
  <c r="J230" i="6"/>
  <c r="K230" i="6"/>
  <c r="P228" i="5"/>
  <c r="L228" i="5"/>
  <c r="E231" i="5"/>
  <c r="I230" i="5"/>
  <c r="K229" i="5"/>
  <c r="J229" i="5"/>
  <c r="I229" i="4"/>
  <c r="E230" i="4"/>
  <c r="J231" i="12" l="1"/>
  <c r="P231" i="12" s="1"/>
  <c r="L10" i="12"/>
  <c r="I233" i="12"/>
  <c r="E234" i="12"/>
  <c r="L232" i="12"/>
  <c r="K232" i="12" s="1"/>
  <c r="J231" i="11"/>
  <c r="P231" i="11" s="1"/>
  <c r="P230" i="11"/>
  <c r="P10" i="11" s="1"/>
  <c r="K10" i="11"/>
  <c r="L232" i="11"/>
  <c r="K232" i="11" s="1"/>
  <c r="E234" i="11"/>
  <c r="I233" i="11"/>
  <c r="K10" i="9"/>
  <c r="L10" i="9" s="1"/>
  <c r="J231" i="9"/>
  <c r="P231" i="9" s="1"/>
  <c r="I233" i="9"/>
  <c r="E234" i="9"/>
  <c r="L232" i="9"/>
  <c r="K232" i="9" s="1"/>
  <c r="J231" i="8"/>
  <c r="K10" i="8"/>
  <c r="L10" i="8" s="1"/>
  <c r="L232" i="8"/>
  <c r="K232" i="8" s="1"/>
  <c r="E234" i="8"/>
  <c r="E235" i="7"/>
  <c r="I234" i="7"/>
  <c r="P232" i="7"/>
  <c r="K229" i="1"/>
  <c r="J229" i="1"/>
  <c r="E231" i="1"/>
  <c r="I230" i="1"/>
  <c r="K229" i="4"/>
  <c r="J229" i="4"/>
  <c r="P229" i="4" s="1"/>
  <c r="P230" i="6"/>
  <c r="K231" i="6"/>
  <c r="J231" i="6"/>
  <c r="I232" i="6"/>
  <c r="E233" i="6"/>
  <c r="P229" i="5"/>
  <c r="L229" i="5"/>
  <c r="J230" i="5"/>
  <c r="K230" i="5"/>
  <c r="E232" i="5"/>
  <c r="I231" i="5"/>
  <c r="E231" i="4"/>
  <c r="I230" i="4"/>
  <c r="J232" i="12" l="1"/>
  <c r="P232" i="12" s="1"/>
  <c r="I234" i="12"/>
  <c r="E235" i="12"/>
  <c r="L233" i="12"/>
  <c r="K233" i="12" s="1"/>
  <c r="L10" i="11"/>
  <c r="J232" i="11"/>
  <c r="E235" i="11"/>
  <c r="I234" i="11"/>
  <c r="L233" i="11"/>
  <c r="K233" i="11" s="1"/>
  <c r="J232" i="9"/>
  <c r="I234" i="9"/>
  <c r="E235" i="9"/>
  <c r="L233" i="9"/>
  <c r="K233" i="9" s="1"/>
  <c r="P231" i="8"/>
  <c r="J232" i="8"/>
  <c r="P232" i="8" s="1"/>
  <c r="L233" i="8"/>
  <c r="K233" i="8" s="1"/>
  <c r="E235" i="8"/>
  <c r="P233" i="7"/>
  <c r="E236" i="7"/>
  <c r="I235" i="7"/>
  <c r="J230" i="1"/>
  <c r="K230" i="1"/>
  <c r="J230" i="4"/>
  <c r="K230" i="4"/>
  <c r="E232" i="1"/>
  <c r="I231" i="1"/>
  <c r="P231" i="6"/>
  <c r="E234" i="6"/>
  <c r="I233" i="6"/>
  <c r="K232" i="6"/>
  <c r="J232" i="6"/>
  <c r="L230" i="5"/>
  <c r="P230" i="5"/>
  <c r="J231" i="5"/>
  <c r="K231" i="5"/>
  <c r="I232" i="5"/>
  <c r="E233" i="5"/>
  <c r="I231" i="4"/>
  <c r="E232" i="4"/>
  <c r="J233" i="12" l="1"/>
  <c r="P233" i="12" s="1"/>
  <c r="I235" i="12"/>
  <c r="E236" i="12"/>
  <c r="L234" i="12"/>
  <c r="K234" i="12" s="1"/>
  <c r="J233" i="11"/>
  <c r="P233" i="11" s="1"/>
  <c r="L234" i="11"/>
  <c r="K234" i="11" s="1"/>
  <c r="E236" i="11"/>
  <c r="I235" i="11"/>
  <c r="P232" i="11"/>
  <c r="J233" i="9"/>
  <c r="P233" i="9" s="1"/>
  <c r="I235" i="9"/>
  <c r="E236" i="9"/>
  <c r="L234" i="9"/>
  <c r="K234" i="9" s="1"/>
  <c r="P232" i="9"/>
  <c r="J233" i="8"/>
  <c r="P233" i="8" s="1"/>
  <c r="E236" i="8"/>
  <c r="L234" i="8"/>
  <c r="K234" i="8" s="1"/>
  <c r="I236" i="7"/>
  <c r="E237" i="7"/>
  <c r="P234" i="7"/>
  <c r="J231" i="1"/>
  <c r="K231" i="1"/>
  <c r="E233" i="1"/>
  <c r="I232" i="1"/>
  <c r="P230" i="4"/>
  <c r="J231" i="4"/>
  <c r="K231" i="4"/>
  <c r="P232" i="6"/>
  <c r="K233" i="6"/>
  <c r="J233" i="6"/>
  <c r="I234" i="6"/>
  <c r="E235" i="6"/>
  <c r="P231" i="5"/>
  <c r="L231" i="5"/>
  <c r="I233" i="5"/>
  <c r="E234" i="5"/>
  <c r="J232" i="5"/>
  <c r="K232" i="5"/>
  <c r="E233" i="4"/>
  <c r="I232" i="4"/>
  <c r="J234" i="12" l="1"/>
  <c r="P234" i="12" s="1"/>
  <c r="I236" i="12"/>
  <c r="E237" i="12"/>
  <c r="L235" i="12"/>
  <c r="K235" i="12" s="1"/>
  <c r="J234" i="11"/>
  <c r="P234" i="11" s="1"/>
  <c r="E237" i="11"/>
  <c r="I236" i="11"/>
  <c r="L235" i="11"/>
  <c r="K235" i="11" s="1"/>
  <c r="J234" i="9"/>
  <c r="P234" i="9" s="1"/>
  <c r="I236" i="9"/>
  <c r="E237" i="9"/>
  <c r="L235" i="9"/>
  <c r="K235" i="9" s="1"/>
  <c r="J234" i="8"/>
  <c r="P234" i="8" s="1"/>
  <c r="E237" i="8"/>
  <c r="L235" i="8"/>
  <c r="K235" i="8" s="1"/>
  <c r="E238" i="7"/>
  <c r="I237" i="7"/>
  <c r="P235" i="7"/>
  <c r="J232" i="4"/>
  <c r="K232" i="4"/>
  <c r="J232" i="1"/>
  <c r="K232" i="1"/>
  <c r="P231" i="4"/>
  <c r="E234" i="1"/>
  <c r="I233" i="1"/>
  <c r="P233" i="6"/>
  <c r="I235" i="6"/>
  <c r="E236" i="6"/>
  <c r="J234" i="6"/>
  <c r="K234" i="6"/>
  <c r="L232" i="5"/>
  <c r="P232" i="5"/>
  <c r="I234" i="5"/>
  <c r="E235" i="5"/>
  <c r="J233" i="5"/>
  <c r="K233" i="5"/>
  <c r="I233" i="4"/>
  <c r="E234" i="4"/>
  <c r="J235" i="12" l="1"/>
  <c r="P235" i="12" s="1"/>
  <c r="L236" i="12"/>
  <c r="K236" i="12" s="1"/>
  <c r="I237" i="12"/>
  <c r="E238" i="12"/>
  <c r="J235" i="11"/>
  <c r="P235" i="11" s="1"/>
  <c r="L236" i="11"/>
  <c r="K236" i="11" s="1"/>
  <c r="E238" i="11"/>
  <c r="I237" i="11"/>
  <c r="J235" i="9"/>
  <c r="P235" i="9" s="1"/>
  <c r="I237" i="9"/>
  <c r="E238" i="9"/>
  <c r="L236" i="9"/>
  <c r="K236" i="9" s="1"/>
  <c r="J235" i="8"/>
  <c r="P235" i="8" s="1"/>
  <c r="E238" i="8"/>
  <c r="L236" i="8"/>
  <c r="K236" i="8" s="1"/>
  <c r="P236" i="7"/>
  <c r="I238" i="7"/>
  <c r="E239" i="7"/>
  <c r="J233" i="1"/>
  <c r="K233" i="1"/>
  <c r="E235" i="1"/>
  <c r="I234" i="1"/>
  <c r="K233" i="4"/>
  <c r="J233" i="4"/>
  <c r="P233" i="4" s="1"/>
  <c r="P232" i="4"/>
  <c r="P234" i="6"/>
  <c r="E237" i="6"/>
  <c r="I236" i="6"/>
  <c r="J235" i="6"/>
  <c r="K235" i="6"/>
  <c r="L233" i="5"/>
  <c r="P233" i="5"/>
  <c r="I235" i="5"/>
  <c r="E236" i="5"/>
  <c r="K234" i="5"/>
  <c r="J234" i="5"/>
  <c r="E235" i="4"/>
  <c r="I234" i="4"/>
  <c r="J236" i="12" l="1"/>
  <c r="P236" i="12" s="1"/>
  <c r="I238" i="12"/>
  <c r="E239" i="12"/>
  <c r="L237" i="12"/>
  <c r="K237" i="12" s="1"/>
  <c r="J236" i="11"/>
  <c r="P236" i="11" s="1"/>
  <c r="E239" i="11"/>
  <c r="I238" i="11"/>
  <c r="L237" i="11"/>
  <c r="K237" i="11" s="1"/>
  <c r="J236" i="9"/>
  <c r="P236" i="9" s="1"/>
  <c r="I238" i="9"/>
  <c r="E239" i="9"/>
  <c r="L237" i="9"/>
  <c r="K237" i="9" s="1"/>
  <c r="J236" i="8"/>
  <c r="P236" i="8" s="1"/>
  <c r="L237" i="8"/>
  <c r="K237" i="8" s="1"/>
  <c r="E239" i="8"/>
  <c r="P237" i="7"/>
  <c r="I239" i="7"/>
  <c r="E240" i="7"/>
  <c r="K234" i="4"/>
  <c r="J234" i="4"/>
  <c r="P234" i="4" s="1"/>
  <c r="J234" i="1"/>
  <c r="K234" i="1"/>
  <c r="E236" i="1"/>
  <c r="I235" i="1"/>
  <c r="P235" i="6"/>
  <c r="K236" i="6"/>
  <c r="J236" i="6"/>
  <c r="E238" i="6"/>
  <c r="I237" i="6"/>
  <c r="P234" i="5"/>
  <c r="L234" i="5"/>
  <c r="E237" i="5"/>
  <c r="I236" i="5"/>
  <c r="K235" i="5"/>
  <c r="J235" i="5"/>
  <c r="I235" i="4"/>
  <c r="E236" i="4"/>
  <c r="J237" i="12" l="1"/>
  <c r="P237" i="12" s="1"/>
  <c r="I239" i="12"/>
  <c r="E240" i="12"/>
  <c r="L238" i="12"/>
  <c r="K238" i="12" s="1"/>
  <c r="J237" i="11"/>
  <c r="P237" i="11" s="1"/>
  <c r="L238" i="11"/>
  <c r="K238" i="11" s="1"/>
  <c r="E240" i="11"/>
  <c r="I239" i="11"/>
  <c r="J237" i="9"/>
  <c r="P237" i="9" s="1"/>
  <c r="L238" i="9"/>
  <c r="K238" i="9" s="1"/>
  <c r="I239" i="9"/>
  <c r="E240" i="9"/>
  <c r="J237" i="8"/>
  <c r="P237" i="8" s="1"/>
  <c r="L238" i="8"/>
  <c r="K238" i="8" s="1"/>
  <c r="E240" i="8"/>
  <c r="P238" i="7"/>
  <c r="E241" i="7"/>
  <c r="I240" i="7"/>
  <c r="K235" i="1"/>
  <c r="J235" i="1"/>
  <c r="E237" i="1"/>
  <c r="I236" i="1"/>
  <c r="K235" i="4"/>
  <c r="J235" i="4"/>
  <c r="P236" i="6"/>
  <c r="K237" i="6"/>
  <c r="J237" i="6"/>
  <c r="E239" i="6"/>
  <c r="I238" i="6"/>
  <c r="P235" i="5"/>
  <c r="L235" i="5"/>
  <c r="K236" i="5"/>
  <c r="J236" i="5"/>
  <c r="E238" i="5"/>
  <c r="I237" i="5"/>
  <c r="E237" i="4"/>
  <c r="I236" i="4"/>
  <c r="J238" i="12" l="1"/>
  <c r="P238" i="12" s="1"/>
  <c r="I240" i="12"/>
  <c r="E241" i="12"/>
  <c r="L239" i="12"/>
  <c r="K239" i="12" s="1"/>
  <c r="J238" i="11"/>
  <c r="P238" i="11" s="1"/>
  <c r="L239" i="11"/>
  <c r="K239" i="11" s="1"/>
  <c r="E241" i="11"/>
  <c r="I240" i="11"/>
  <c r="J238" i="9"/>
  <c r="P238" i="9" s="1"/>
  <c r="I240" i="9"/>
  <c r="E241" i="9"/>
  <c r="L239" i="9"/>
  <c r="K239" i="9" s="1"/>
  <c r="J238" i="8"/>
  <c r="P238" i="8" s="1"/>
  <c r="L239" i="8"/>
  <c r="K239" i="8" s="1"/>
  <c r="E241" i="8"/>
  <c r="P239" i="7"/>
  <c r="I241" i="7"/>
  <c r="E242" i="7"/>
  <c r="P235" i="4"/>
  <c r="J236" i="1"/>
  <c r="K236" i="1"/>
  <c r="K236" i="4"/>
  <c r="J236" i="4"/>
  <c r="P236" i="4" s="1"/>
  <c r="E238" i="1"/>
  <c r="I237" i="1"/>
  <c r="P237" i="6"/>
  <c r="J238" i="6"/>
  <c r="K238" i="6"/>
  <c r="E240" i="6"/>
  <c r="I239" i="6"/>
  <c r="P236" i="5"/>
  <c r="L236" i="5"/>
  <c r="K237" i="5"/>
  <c r="J237" i="5"/>
  <c r="E239" i="5"/>
  <c r="I238" i="5"/>
  <c r="I237" i="4"/>
  <c r="E238" i="4"/>
  <c r="J239" i="12" l="1"/>
  <c r="P239" i="12" s="1"/>
  <c r="I241" i="12"/>
  <c r="E242" i="12"/>
  <c r="L240" i="12"/>
  <c r="K240" i="12" s="1"/>
  <c r="J239" i="11"/>
  <c r="P239" i="11" s="1"/>
  <c r="E242" i="11"/>
  <c r="I241" i="11"/>
  <c r="L240" i="11"/>
  <c r="K240" i="11" s="1"/>
  <c r="J239" i="9"/>
  <c r="P239" i="9" s="1"/>
  <c r="I241" i="9"/>
  <c r="E242" i="9"/>
  <c r="L240" i="9"/>
  <c r="K240" i="9" s="1"/>
  <c r="J239" i="8"/>
  <c r="P239" i="8" s="1"/>
  <c r="E242" i="8"/>
  <c r="L240" i="8"/>
  <c r="K240" i="8" s="1"/>
  <c r="P240" i="7"/>
  <c r="E243" i="7"/>
  <c r="I242" i="7"/>
  <c r="K237" i="1"/>
  <c r="J237" i="1"/>
  <c r="E239" i="1"/>
  <c r="I238" i="1"/>
  <c r="K237" i="4"/>
  <c r="J237" i="4"/>
  <c r="P237" i="4" s="1"/>
  <c r="K239" i="6"/>
  <c r="J239" i="6"/>
  <c r="E241" i="6"/>
  <c r="I240" i="6"/>
  <c r="P238" i="6"/>
  <c r="P237" i="5"/>
  <c r="L237" i="5"/>
  <c r="J238" i="5"/>
  <c r="K238" i="5"/>
  <c r="E240" i="5"/>
  <c r="I239" i="5"/>
  <c r="E239" i="4"/>
  <c r="I238" i="4"/>
  <c r="J240" i="12" l="1"/>
  <c r="P240" i="12" s="1"/>
  <c r="I242" i="12"/>
  <c r="E243" i="12"/>
  <c r="L241" i="12"/>
  <c r="K241" i="12" s="1"/>
  <c r="J240" i="11"/>
  <c r="P240" i="11" s="1"/>
  <c r="L241" i="11"/>
  <c r="K241" i="11" s="1"/>
  <c r="E243" i="11"/>
  <c r="I242" i="11"/>
  <c r="J240" i="9"/>
  <c r="P240" i="9" s="1"/>
  <c r="I242" i="9"/>
  <c r="E243" i="9"/>
  <c r="L241" i="9"/>
  <c r="K241" i="9" s="1"/>
  <c r="J240" i="8"/>
  <c r="P240" i="8" s="1"/>
  <c r="L241" i="8"/>
  <c r="K241" i="8" s="1"/>
  <c r="E243" i="8"/>
  <c r="P241" i="7"/>
  <c r="E244" i="7"/>
  <c r="I243" i="7"/>
  <c r="J238" i="1"/>
  <c r="K238" i="1"/>
  <c r="E240" i="1"/>
  <c r="I239" i="1"/>
  <c r="J238" i="4"/>
  <c r="K238" i="4"/>
  <c r="P239" i="6"/>
  <c r="I241" i="6"/>
  <c r="E242" i="6"/>
  <c r="K240" i="6"/>
  <c r="J240" i="6"/>
  <c r="L238" i="5"/>
  <c r="K239" i="5"/>
  <c r="J239" i="5"/>
  <c r="I240" i="5"/>
  <c r="E241" i="5"/>
  <c r="P238" i="5"/>
  <c r="I239" i="4"/>
  <c r="E240" i="4"/>
  <c r="J241" i="12" l="1"/>
  <c r="P241" i="12" s="1"/>
  <c r="I243" i="12"/>
  <c r="E244" i="12"/>
  <c r="L242" i="12"/>
  <c r="K242" i="12" s="1"/>
  <c r="L242" i="11"/>
  <c r="K242" i="11" s="1"/>
  <c r="E244" i="11"/>
  <c r="I243" i="11"/>
  <c r="J241" i="11"/>
  <c r="P241" i="11" s="1"/>
  <c r="J241" i="9"/>
  <c r="P241" i="9" s="1"/>
  <c r="I243" i="9"/>
  <c r="E244" i="9"/>
  <c r="L242" i="9"/>
  <c r="K242" i="9" s="1"/>
  <c r="J241" i="8"/>
  <c r="P241" i="8" s="1"/>
  <c r="E244" i="8"/>
  <c r="L242" i="8"/>
  <c r="K242" i="8" s="1"/>
  <c r="P242" i="7"/>
  <c r="I244" i="7"/>
  <c r="E245" i="7"/>
  <c r="J239" i="1"/>
  <c r="K239" i="1"/>
  <c r="E241" i="1"/>
  <c r="I240" i="1"/>
  <c r="P238" i="4"/>
  <c r="J239" i="4"/>
  <c r="P239" i="4" s="1"/>
  <c r="K239" i="4"/>
  <c r="P240" i="6"/>
  <c r="I242" i="6"/>
  <c r="E243" i="6"/>
  <c r="K241" i="6"/>
  <c r="J241" i="6"/>
  <c r="P239" i="5"/>
  <c r="L239" i="5"/>
  <c r="I241" i="5"/>
  <c r="E242" i="5"/>
  <c r="J240" i="5"/>
  <c r="K240" i="5"/>
  <c r="E241" i="4"/>
  <c r="I240" i="4"/>
  <c r="J242" i="12" l="1"/>
  <c r="P242" i="12" s="1"/>
  <c r="I244" i="12"/>
  <c r="E245" i="12"/>
  <c r="L243" i="12"/>
  <c r="K243" i="12" s="1"/>
  <c r="L243" i="11"/>
  <c r="K243" i="11" s="1"/>
  <c r="J242" i="11"/>
  <c r="P242" i="11" s="1"/>
  <c r="E245" i="11"/>
  <c r="I244" i="11"/>
  <c r="J242" i="9"/>
  <c r="P242" i="9" s="1"/>
  <c r="I244" i="9"/>
  <c r="E245" i="9"/>
  <c r="L243" i="9"/>
  <c r="K243" i="9" s="1"/>
  <c r="J242" i="8"/>
  <c r="P242" i="8" s="1"/>
  <c r="L243" i="8"/>
  <c r="K243" i="8" s="1"/>
  <c r="E245" i="8"/>
  <c r="E246" i="7"/>
  <c r="I245" i="7"/>
  <c r="P243" i="7"/>
  <c r="J240" i="1"/>
  <c r="K240" i="1"/>
  <c r="E242" i="1"/>
  <c r="I241" i="1"/>
  <c r="J240" i="4"/>
  <c r="P240" i="4" s="1"/>
  <c r="K240" i="4"/>
  <c r="P241" i="6"/>
  <c r="I243" i="6"/>
  <c r="E244" i="6"/>
  <c r="K242" i="6"/>
  <c r="J242" i="6"/>
  <c r="L240" i="5"/>
  <c r="P240" i="5"/>
  <c r="I242" i="5"/>
  <c r="E243" i="5"/>
  <c r="J241" i="5"/>
  <c r="K241" i="5"/>
  <c r="I241" i="4"/>
  <c r="E242" i="4"/>
  <c r="J243" i="12" l="1"/>
  <c r="P243" i="12" s="1"/>
  <c r="I245" i="12"/>
  <c r="E246" i="12"/>
  <c r="L244" i="12"/>
  <c r="K244" i="12" s="1"/>
  <c r="L244" i="11"/>
  <c r="K244" i="11" s="1"/>
  <c r="E246" i="11"/>
  <c r="I245" i="11"/>
  <c r="J243" i="11"/>
  <c r="P243" i="11" s="1"/>
  <c r="J243" i="9"/>
  <c r="P243" i="9" s="1"/>
  <c r="I245" i="9"/>
  <c r="E246" i="9"/>
  <c r="L244" i="9"/>
  <c r="K244" i="9" s="1"/>
  <c r="J243" i="8"/>
  <c r="P243" i="8" s="1"/>
  <c r="L244" i="8"/>
  <c r="K244" i="8" s="1"/>
  <c r="E246" i="8"/>
  <c r="P244" i="7"/>
  <c r="I246" i="7"/>
  <c r="E247" i="7"/>
  <c r="J241" i="1"/>
  <c r="K241" i="1"/>
  <c r="E243" i="1"/>
  <c r="I242" i="1"/>
  <c r="K241" i="4"/>
  <c r="J241" i="4"/>
  <c r="P241" i="4" s="1"/>
  <c r="P242" i="6"/>
  <c r="E245" i="6"/>
  <c r="I244" i="6"/>
  <c r="J243" i="6"/>
  <c r="K243" i="6"/>
  <c r="L241" i="5"/>
  <c r="K242" i="5"/>
  <c r="J242" i="5"/>
  <c r="P241" i="5"/>
  <c r="I243" i="5"/>
  <c r="E244" i="5"/>
  <c r="E243" i="4"/>
  <c r="I242" i="4"/>
  <c r="J244" i="12" l="1"/>
  <c r="P244" i="12" s="1"/>
  <c r="I246" i="12"/>
  <c r="E247" i="12"/>
  <c r="L245" i="12"/>
  <c r="K245" i="12" s="1"/>
  <c r="J244" i="11"/>
  <c r="P244" i="11" s="1"/>
  <c r="L245" i="11"/>
  <c r="K245" i="11" s="1"/>
  <c r="E247" i="11"/>
  <c r="I246" i="11"/>
  <c r="J244" i="9"/>
  <c r="P244" i="9" s="1"/>
  <c r="I246" i="9"/>
  <c r="E247" i="9"/>
  <c r="L245" i="9"/>
  <c r="K245" i="9" s="1"/>
  <c r="J244" i="8"/>
  <c r="P244" i="8" s="1"/>
  <c r="L245" i="8"/>
  <c r="K245" i="8" s="1"/>
  <c r="E247" i="8"/>
  <c r="P245" i="7"/>
  <c r="I247" i="7"/>
  <c r="E248" i="7"/>
  <c r="J242" i="1"/>
  <c r="K242" i="1"/>
  <c r="E244" i="1"/>
  <c r="I243" i="1"/>
  <c r="K242" i="4"/>
  <c r="J242" i="4"/>
  <c r="P242" i="4" s="1"/>
  <c r="P243" i="6"/>
  <c r="K244" i="6"/>
  <c r="J244" i="6"/>
  <c r="E246" i="6"/>
  <c r="I245" i="6"/>
  <c r="P242" i="5"/>
  <c r="L242" i="5"/>
  <c r="E245" i="5"/>
  <c r="I244" i="5"/>
  <c r="K243" i="5"/>
  <c r="J243" i="5"/>
  <c r="I243" i="4"/>
  <c r="E244" i="4"/>
  <c r="J245" i="12" l="1"/>
  <c r="P245" i="12" s="1"/>
  <c r="I247" i="12"/>
  <c r="E248" i="12"/>
  <c r="L246" i="12"/>
  <c r="K246" i="12" s="1"/>
  <c r="L246" i="11"/>
  <c r="K246" i="11" s="1"/>
  <c r="E248" i="11"/>
  <c r="I247" i="11"/>
  <c r="J245" i="11"/>
  <c r="P245" i="11" s="1"/>
  <c r="J245" i="9"/>
  <c r="P245" i="9" s="1"/>
  <c r="I247" i="9"/>
  <c r="E248" i="9"/>
  <c r="L246" i="9"/>
  <c r="K246" i="9" s="1"/>
  <c r="J245" i="8"/>
  <c r="P245" i="8" s="1"/>
  <c r="L246" i="8"/>
  <c r="K246" i="8" s="1"/>
  <c r="E248" i="8"/>
  <c r="P246" i="7"/>
  <c r="E249" i="7"/>
  <c r="I248" i="7"/>
  <c r="K243" i="1"/>
  <c r="J243" i="1"/>
  <c r="E245" i="1"/>
  <c r="I244" i="1"/>
  <c r="K243" i="4"/>
  <c r="J243" i="4"/>
  <c r="P243" i="4" s="1"/>
  <c r="P244" i="6"/>
  <c r="E247" i="6"/>
  <c r="I246" i="6"/>
  <c r="K245" i="6"/>
  <c r="J245" i="6"/>
  <c r="P243" i="5"/>
  <c r="L243" i="5"/>
  <c r="K244" i="5"/>
  <c r="J244" i="5"/>
  <c r="E246" i="5"/>
  <c r="I245" i="5"/>
  <c r="E245" i="4"/>
  <c r="I244" i="4"/>
  <c r="J246" i="12" l="1"/>
  <c r="P246" i="12" s="1"/>
  <c r="I248" i="12"/>
  <c r="E249" i="12"/>
  <c r="L247" i="12"/>
  <c r="K247" i="12" s="1"/>
  <c r="J246" i="11"/>
  <c r="P246" i="11" s="1"/>
  <c r="L247" i="11"/>
  <c r="K247" i="11" s="1"/>
  <c r="E249" i="11"/>
  <c r="I248" i="11"/>
  <c r="J246" i="9"/>
  <c r="P246" i="9" s="1"/>
  <c r="I248" i="9"/>
  <c r="E249" i="9"/>
  <c r="L247" i="9"/>
  <c r="K247" i="9" s="1"/>
  <c r="J246" i="8"/>
  <c r="P246" i="8" s="1"/>
  <c r="L247" i="8"/>
  <c r="K247" i="8" s="1"/>
  <c r="E249" i="8"/>
  <c r="P247" i="7"/>
  <c r="I249" i="7"/>
  <c r="E250" i="7"/>
  <c r="J244" i="1"/>
  <c r="K244" i="1"/>
  <c r="K244" i="4"/>
  <c r="J244" i="4"/>
  <c r="P244" i="4" s="1"/>
  <c r="E246" i="1"/>
  <c r="I245" i="1"/>
  <c r="P245" i="6"/>
  <c r="J246" i="6"/>
  <c r="K246" i="6"/>
  <c r="E248" i="6"/>
  <c r="I247" i="6"/>
  <c r="P244" i="5"/>
  <c r="L244" i="5"/>
  <c r="K245" i="5"/>
  <c r="J245" i="5"/>
  <c r="E247" i="5"/>
  <c r="I246" i="5"/>
  <c r="I245" i="4"/>
  <c r="E246" i="4"/>
  <c r="J247" i="12" l="1"/>
  <c r="P247" i="12" s="1"/>
  <c r="I249" i="12"/>
  <c r="E250" i="12"/>
  <c r="L248" i="12"/>
  <c r="K248" i="12" s="1"/>
  <c r="L248" i="11"/>
  <c r="K248" i="11" s="1"/>
  <c r="E250" i="11"/>
  <c r="I249" i="11"/>
  <c r="J247" i="11"/>
  <c r="P247" i="11" s="1"/>
  <c r="J247" i="9"/>
  <c r="P247" i="9" s="1"/>
  <c r="I249" i="9"/>
  <c r="E250" i="9"/>
  <c r="L248" i="9"/>
  <c r="K248" i="9" s="1"/>
  <c r="J247" i="8"/>
  <c r="P247" i="8" s="1"/>
  <c r="E250" i="8"/>
  <c r="L248" i="8"/>
  <c r="K248" i="8" s="1"/>
  <c r="P248" i="7"/>
  <c r="I250" i="7"/>
  <c r="E251" i="7"/>
  <c r="K245" i="1"/>
  <c r="J245" i="1"/>
  <c r="E247" i="1"/>
  <c r="I246" i="1"/>
  <c r="K245" i="4"/>
  <c r="J245" i="4"/>
  <c r="P245" i="4" s="1"/>
  <c r="K247" i="6"/>
  <c r="J247" i="6"/>
  <c r="I248" i="6"/>
  <c r="E249" i="6"/>
  <c r="P246" i="6"/>
  <c r="P245" i="5"/>
  <c r="L245" i="5"/>
  <c r="J246" i="5"/>
  <c r="K246" i="5"/>
  <c r="E248" i="5"/>
  <c r="I247" i="5"/>
  <c r="E247" i="4"/>
  <c r="I246" i="4"/>
  <c r="J248" i="12" l="1"/>
  <c r="P248" i="12" s="1"/>
  <c r="I250" i="12"/>
  <c r="E251" i="12"/>
  <c r="L249" i="12"/>
  <c r="K249" i="12" s="1"/>
  <c r="L249" i="11"/>
  <c r="K249" i="11" s="1"/>
  <c r="E251" i="11"/>
  <c r="I250" i="11"/>
  <c r="J248" i="11"/>
  <c r="P248" i="11" s="1"/>
  <c r="J248" i="9"/>
  <c r="P248" i="9" s="1"/>
  <c r="I250" i="9"/>
  <c r="E251" i="9"/>
  <c r="L249" i="9"/>
  <c r="K249" i="9" s="1"/>
  <c r="J248" i="8"/>
  <c r="P248" i="8" s="1"/>
  <c r="L249" i="8"/>
  <c r="K249" i="8" s="1"/>
  <c r="E251" i="8"/>
  <c r="P249" i="7"/>
  <c r="I251" i="7"/>
  <c r="E252" i="7"/>
  <c r="J246" i="1"/>
  <c r="K246" i="1"/>
  <c r="J246" i="4"/>
  <c r="K246" i="4"/>
  <c r="E248" i="1"/>
  <c r="I247" i="1"/>
  <c r="P247" i="6"/>
  <c r="E250" i="6"/>
  <c r="I249" i="6"/>
  <c r="K248" i="6"/>
  <c r="J248" i="6"/>
  <c r="L246" i="5"/>
  <c r="I248" i="5"/>
  <c r="E249" i="5"/>
  <c r="K247" i="5"/>
  <c r="J247" i="5"/>
  <c r="P246" i="5"/>
  <c r="I247" i="4"/>
  <c r="E248" i="4"/>
  <c r="J249" i="12" l="1"/>
  <c r="P249" i="12" s="1"/>
  <c r="I251" i="12"/>
  <c r="E252" i="12"/>
  <c r="L250" i="12"/>
  <c r="K250" i="12" s="1"/>
  <c r="L250" i="11"/>
  <c r="K250" i="11" s="1"/>
  <c r="E252" i="11"/>
  <c r="I251" i="11"/>
  <c r="J249" i="11"/>
  <c r="P249" i="11" s="1"/>
  <c r="J249" i="9"/>
  <c r="P249" i="9" s="1"/>
  <c r="I251" i="9"/>
  <c r="E252" i="9"/>
  <c r="L250" i="9"/>
  <c r="K250" i="9" s="1"/>
  <c r="J249" i="8"/>
  <c r="P249" i="8" s="1"/>
  <c r="E252" i="8"/>
  <c r="L250" i="8"/>
  <c r="K250" i="8" s="1"/>
  <c r="P250" i="7"/>
  <c r="I252" i="7"/>
  <c r="E253" i="7"/>
  <c r="J247" i="1"/>
  <c r="K247" i="1"/>
  <c r="E249" i="1"/>
  <c r="I248" i="1"/>
  <c r="P246" i="4"/>
  <c r="J247" i="4"/>
  <c r="K247" i="4"/>
  <c r="P248" i="6"/>
  <c r="K249" i="6"/>
  <c r="J249" i="6"/>
  <c r="I250" i="6"/>
  <c r="E251" i="6"/>
  <c r="P247" i="5"/>
  <c r="L247" i="5"/>
  <c r="I249" i="5"/>
  <c r="E250" i="5"/>
  <c r="J248" i="5"/>
  <c r="K248" i="5"/>
  <c r="E249" i="4"/>
  <c r="I248" i="4"/>
  <c r="J250" i="12" l="1"/>
  <c r="P250" i="12" s="1"/>
  <c r="I252" i="12"/>
  <c r="E253" i="12"/>
  <c r="L251" i="12"/>
  <c r="K251" i="12" s="1"/>
  <c r="L251" i="11"/>
  <c r="K251" i="11" s="1"/>
  <c r="E253" i="11"/>
  <c r="I252" i="11"/>
  <c r="J250" i="11"/>
  <c r="P250" i="11" s="1"/>
  <c r="J250" i="9"/>
  <c r="P250" i="9" s="1"/>
  <c r="E253" i="9"/>
  <c r="I252" i="9"/>
  <c r="L251" i="9"/>
  <c r="K251" i="9" s="1"/>
  <c r="J250" i="8"/>
  <c r="P250" i="8" s="1"/>
  <c r="L251" i="8"/>
  <c r="K251" i="8" s="1"/>
  <c r="E253" i="8"/>
  <c r="P251" i="7"/>
  <c r="E254" i="7"/>
  <c r="I253" i="7"/>
  <c r="P247" i="4"/>
  <c r="J248" i="1"/>
  <c r="K248" i="1"/>
  <c r="J248" i="4"/>
  <c r="P248" i="4" s="1"/>
  <c r="K248" i="4"/>
  <c r="E250" i="1"/>
  <c r="I249" i="1"/>
  <c r="P249" i="6"/>
  <c r="I251" i="6"/>
  <c r="E252" i="6"/>
  <c r="J250" i="6"/>
  <c r="K250" i="6"/>
  <c r="L248" i="5"/>
  <c r="P248" i="5"/>
  <c r="I250" i="5"/>
  <c r="E251" i="5"/>
  <c r="J249" i="5"/>
  <c r="K249" i="5"/>
  <c r="I249" i="4"/>
  <c r="E250" i="4"/>
  <c r="J251" i="12" l="1"/>
  <c r="P251" i="12" s="1"/>
  <c r="I253" i="12"/>
  <c r="E254" i="12"/>
  <c r="L252" i="12"/>
  <c r="K252" i="12" s="1"/>
  <c r="J251" i="11"/>
  <c r="P251" i="11" s="1"/>
  <c r="L252" i="11"/>
  <c r="K252" i="11" s="1"/>
  <c r="I253" i="11"/>
  <c r="E254" i="11"/>
  <c r="J251" i="9"/>
  <c r="P251" i="9" s="1"/>
  <c r="L252" i="9"/>
  <c r="K252" i="9" s="1"/>
  <c r="E254" i="9"/>
  <c r="I253" i="9"/>
  <c r="J251" i="8"/>
  <c r="P251" i="8" s="1"/>
  <c r="L252" i="8"/>
  <c r="K252" i="8" s="1"/>
  <c r="E254" i="8"/>
  <c r="E255" i="7"/>
  <c r="I254" i="7"/>
  <c r="P252" i="7"/>
  <c r="J249" i="1"/>
  <c r="K249" i="1"/>
  <c r="E251" i="1"/>
  <c r="I250" i="1"/>
  <c r="K249" i="4"/>
  <c r="J249" i="4"/>
  <c r="P249" i="4" s="1"/>
  <c r="P250" i="6"/>
  <c r="E253" i="6"/>
  <c r="I252" i="6"/>
  <c r="J251" i="6"/>
  <c r="K251" i="6"/>
  <c r="P249" i="5"/>
  <c r="L249" i="5"/>
  <c r="K250" i="5"/>
  <c r="J250" i="5"/>
  <c r="I251" i="5"/>
  <c r="E252" i="5"/>
  <c r="E251" i="4"/>
  <c r="I250" i="4"/>
  <c r="J252" i="12" l="1"/>
  <c r="P252" i="12" s="1"/>
  <c r="I254" i="12"/>
  <c r="E255" i="12"/>
  <c r="L253" i="12"/>
  <c r="K253" i="12" s="1"/>
  <c r="J252" i="11"/>
  <c r="P252" i="11" s="1"/>
  <c r="I254" i="11"/>
  <c r="E255" i="11"/>
  <c r="L253" i="11"/>
  <c r="K253" i="11" s="1"/>
  <c r="J252" i="9"/>
  <c r="P252" i="9" s="1"/>
  <c r="E255" i="9"/>
  <c r="I254" i="9"/>
  <c r="L253" i="9"/>
  <c r="K253" i="9" s="1"/>
  <c r="J252" i="8"/>
  <c r="P252" i="8" s="1"/>
  <c r="L253" i="8"/>
  <c r="K253" i="8" s="1"/>
  <c r="E255" i="8"/>
  <c r="E256" i="7"/>
  <c r="I255" i="7"/>
  <c r="P253" i="7"/>
  <c r="J250" i="1"/>
  <c r="K250" i="1"/>
  <c r="E252" i="1"/>
  <c r="I251" i="1"/>
  <c r="K250" i="4"/>
  <c r="J250" i="4"/>
  <c r="P250" i="4" s="1"/>
  <c r="E254" i="6"/>
  <c r="I253" i="6"/>
  <c r="P251" i="6"/>
  <c r="K252" i="6"/>
  <c r="J252" i="6"/>
  <c r="P250" i="5"/>
  <c r="L250" i="5"/>
  <c r="E253" i="5"/>
  <c r="I252" i="5"/>
  <c r="K251" i="5"/>
  <c r="J251" i="5"/>
  <c r="I251" i="4"/>
  <c r="E252" i="4"/>
  <c r="J253" i="12" l="1"/>
  <c r="P253" i="12" s="1"/>
  <c r="I255" i="12"/>
  <c r="E256" i="12"/>
  <c r="L254" i="12"/>
  <c r="K254" i="12" s="1"/>
  <c r="J253" i="11"/>
  <c r="P253" i="11" s="1"/>
  <c r="I255" i="11"/>
  <c r="E256" i="11"/>
  <c r="L254" i="11"/>
  <c r="K254" i="11" s="1"/>
  <c r="J253" i="9"/>
  <c r="P253" i="9" s="1"/>
  <c r="L254" i="9"/>
  <c r="K254" i="9" s="1"/>
  <c r="E256" i="9"/>
  <c r="I255" i="9"/>
  <c r="L254" i="8"/>
  <c r="J254" i="8" s="1"/>
  <c r="E256" i="8"/>
  <c r="J253" i="8"/>
  <c r="P253" i="8" s="1"/>
  <c r="E257" i="7"/>
  <c r="I256" i="7"/>
  <c r="P254" i="7"/>
  <c r="K251" i="1"/>
  <c r="J251" i="1"/>
  <c r="E253" i="1"/>
  <c r="I252" i="1"/>
  <c r="K251" i="4"/>
  <c r="J251" i="4"/>
  <c r="P251" i="4" s="1"/>
  <c r="P252" i="6"/>
  <c r="K253" i="6"/>
  <c r="J253" i="6"/>
  <c r="E255" i="6"/>
  <c r="I254" i="6"/>
  <c r="P251" i="5"/>
  <c r="L251" i="5"/>
  <c r="K252" i="5"/>
  <c r="J252" i="5"/>
  <c r="E254" i="5"/>
  <c r="I253" i="5"/>
  <c r="E253" i="4"/>
  <c r="I252" i="4"/>
  <c r="J254" i="12" l="1"/>
  <c r="P254" i="12" s="1"/>
  <c r="E257" i="12"/>
  <c r="I256" i="12"/>
  <c r="L255" i="12"/>
  <c r="K255" i="12" s="1"/>
  <c r="J254" i="11"/>
  <c r="P254" i="11" s="1"/>
  <c r="I256" i="11"/>
  <c r="E257" i="11"/>
  <c r="L255" i="11"/>
  <c r="K255" i="11" s="1"/>
  <c r="J254" i="9"/>
  <c r="P254" i="9" s="1"/>
  <c r="L255" i="9"/>
  <c r="K255" i="9" s="1"/>
  <c r="E257" i="9"/>
  <c r="I256" i="9"/>
  <c r="K254" i="8"/>
  <c r="P254" i="8" s="1"/>
  <c r="L255" i="8"/>
  <c r="K255" i="8" s="1"/>
  <c r="E257" i="8"/>
  <c r="I257" i="7"/>
  <c r="E258" i="7"/>
  <c r="P255" i="7"/>
  <c r="K252" i="1"/>
  <c r="J252" i="1"/>
  <c r="K252" i="4"/>
  <c r="J252" i="4"/>
  <c r="P252" i="4" s="1"/>
  <c r="E254" i="1"/>
  <c r="I253" i="1"/>
  <c r="P253" i="6"/>
  <c r="E256" i="6"/>
  <c r="I255" i="6"/>
  <c r="J254" i="6"/>
  <c r="K254" i="6"/>
  <c r="P252" i="5"/>
  <c r="L252" i="5"/>
  <c r="K253" i="5"/>
  <c r="J253" i="5"/>
  <c r="E255" i="5"/>
  <c r="I254" i="5"/>
  <c r="I253" i="4"/>
  <c r="E254" i="4"/>
  <c r="J255" i="12" l="1"/>
  <c r="P255" i="12" s="1"/>
  <c r="L256" i="12"/>
  <c r="K256" i="12" s="1"/>
  <c r="E258" i="12"/>
  <c r="I257" i="12"/>
  <c r="J255" i="11"/>
  <c r="P255" i="11" s="1"/>
  <c r="I257" i="11"/>
  <c r="E258" i="11"/>
  <c r="L256" i="11"/>
  <c r="K256" i="11" s="1"/>
  <c r="L256" i="9"/>
  <c r="K256" i="9" s="1"/>
  <c r="E258" i="9"/>
  <c r="I257" i="9"/>
  <c r="J255" i="9"/>
  <c r="P255" i="9" s="1"/>
  <c r="J255" i="8"/>
  <c r="P255" i="8" s="1"/>
  <c r="L256" i="8"/>
  <c r="K256" i="8" s="1"/>
  <c r="E258" i="8"/>
  <c r="I258" i="7"/>
  <c r="E259" i="7"/>
  <c r="P256" i="7"/>
  <c r="K253" i="1"/>
  <c r="J253" i="1"/>
  <c r="E255" i="1"/>
  <c r="I254" i="1"/>
  <c r="K253" i="4"/>
  <c r="J253" i="4"/>
  <c r="P253" i="4" s="1"/>
  <c r="P254" i="6"/>
  <c r="K255" i="6"/>
  <c r="J255" i="6"/>
  <c r="E257" i="6"/>
  <c r="I256" i="6"/>
  <c r="P253" i="5"/>
  <c r="L253" i="5"/>
  <c r="J254" i="5"/>
  <c r="K254" i="5"/>
  <c r="E256" i="5"/>
  <c r="I255" i="5"/>
  <c r="E255" i="4"/>
  <c r="I254" i="4"/>
  <c r="J256" i="12" l="1"/>
  <c r="P256" i="12" s="1"/>
  <c r="L257" i="12"/>
  <c r="K257" i="12" s="1"/>
  <c r="E259" i="12"/>
  <c r="I258" i="12"/>
  <c r="J256" i="11"/>
  <c r="P256" i="11" s="1"/>
  <c r="I258" i="11"/>
  <c r="E259" i="11"/>
  <c r="L257" i="11"/>
  <c r="K257" i="11" s="1"/>
  <c r="L257" i="9"/>
  <c r="K257" i="9" s="1"/>
  <c r="E259" i="9"/>
  <c r="I258" i="9"/>
  <c r="J256" i="9"/>
  <c r="P256" i="9" s="1"/>
  <c r="J256" i="8"/>
  <c r="P256" i="8" s="1"/>
  <c r="L257" i="8"/>
  <c r="K257" i="8" s="1"/>
  <c r="E259" i="8"/>
  <c r="P257" i="7"/>
  <c r="I259" i="7"/>
  <c r="E260" i="7"/>
  <c r="J254" i="1"/>
  <c r="K254" i="1"/>
  <c r="J254" i="4"/>
  <c r="K254" i="4"/>
  <c r="E256" i="1"/>
  <c r="I255" i="1"/>
  <c r="P255" i="6"/>
  <c r="K256" i="6"/>
  <c r="J256" i="6"/>
  <c r="I257" i="6"/>
  <c r="E258" i="6"/>
  <c r="L254" i="5"/>
  <c r="K255" i="5"/>
  <c r="J255" i="5"/>
  <c r="I256" i="5"/>
  <c r="E257" i="5"/>
  <c r="P254" i="5"/>
  <c r="I255" i="4"/>
  <c r="E256" i="4"/>
  <c r="J257" i="12" l="1"/>
  <c r="P257" i="12" s="1"/>
  <c r="L258" i="12"/>
  <c r="K258" i="12" s="1"/>
  <c r="E260" i="12"/>
  <c r="I259" i="12"/>
  <c r="J257" i="11"/>
  <c r="P257" i="11" s="1"/>
  <c r="I259" i="11"/>
  <c r="E260" i="11"/>
  <c r="L258" i="11"/>
  <c r="K258" i="11" s="1"/>
  <c r="J257" i="9"/>
  <c r="P257" i="9" s="1"/>
  <c r="E260" i="9"/>
  <c r="I259" i="9"/>
  <c r="L258" i="9"/>
  <c r="K258" i="9" s="1"/>
  <c r="J257" i="8"/>
  <c r="P257" i="8" s="1"/>
  <c r="L258" i="8"/>
  <c r="J258" i="8" s="1"/>
  <c r="E260" i="8"/>
  <c r="P258" i="7"/>
  <c r="I260" i="7"/>
  <c r="E261" i="7"/>
  <c r="J255" i="1"/>
  <c r="K255" i="1"/>
  <c r="E257" i="1"/>
  <c r="I256" i="1"/>
  <c r="P254" i="4"/>
  <c r="J255" i="4"/>
  <c r="K255" i="4"/>
  <c r="P256" i="6"/>
  <c r="K257" i="6"/>
  <c r="J257" i="6"/>
  <c r="I258" i="6"/>
  <c r="E259" i="6"/>
  <c r="P255" i="5"/>
  <c r="L255" i="5"/>
  <c r="I257" i="5"/>
  <c r="E258" i="5"/>
  <c r="J256" i="5"/>
  <c r="K256" i="5"/>
  <c r="E257" i="4"/>
  <c r="I256" i="4"/>
  <c r="J258" i="12" l="1"/>
  <c r="P258" i="12" s="1"/>
  <c r="L259" i="12"/>
  <c r="K259" i="12" s="1"/>
  <c r="I260" i="12"/>
  <c r="E261" i="12"/>
  <c r="J258" i="11"/>
  <c r="P258" i="11" s="1"/>
  <c r="I260" i="11"/>
  <c r="E261" i="11"/>
  <c r="L259" i="11"/>
  <c r="K259" i="11" s="1"/>
  <c r="J258" i="9"/>
  <c r="P258" i="9" s="1"/>
  <c r="E261" i="9"/>
  <c r="I260" i="9"/>
  <c r="L259" i="9"/>
  <c r="K259" i="9" s="1"/>
  <c r="K258" i="8"/>
  <c r="P258" i="8" s="1"/>
  <c r="E261" i="8"/>
  <c r="L259" i="8"/>
  <c r="K259" i="8" s="1"/>
  <c r="E262" i="7"/>
  <c r="I261" i="7"/>
  <c r="P259" i="7"/>
  <c r="P255" i="4"/>
  <c r="J256" i="4"/>
  <c r="K256" i="4"/>
  <c r="J256" i="1"/>
  <c r="K256" i="1"/>
  <c r="E258" i="1"/>
  <c r="I257" i="1"/>
  <c r="P257" i="6"/>
  <c r="I259" i="6"/>
  <c r="E260" i="6"/>
  <c r="K258" i="6"/>
  <c r="J258" i="6"/>
  <c r="L256" i="5"/>
  <c r="P256" i="5"/>
  <c r="I258" i="5"/>
  <c r="E259" i="5"/>
  <c r="J257" i="5"/>
  <c r="K257" i="5"/>
  <c r="I257" i="4"/>
  <c r="E258" i="4"/>
  <c r="J259" i="12" l="1"/>
  <c r="P259" i="12" s="1"/>
  <c r="I261" i="12"/>
  <c r="E262" i="12"/>
  <c r="L260" i="12"/>
  <c r="J260" i="12" s="1"/>
  <c r="J259" i="11"/>
  <c r="P259" i="11" s="1"/>
  <c r="I261" i="11"/>
  <c r="E262" i="11"/>
  <c r="L260" i="11"/>
  <c r="K260" i="11" s="1"/>
  <c r="E262" i="9"/>
  <c r="I261" i="9"/>
  <c r="J259" i="9"/>
  <c r="P259" i="9" s="1"/>
  <c r="L260" i="9"/>
  <c r="K260" i="9" s="1"/>
  <c r="J259" i="8"/>
  <c r="P259" i="8" s="1"/>
  <c r="L260" i="8"/>
  <c r="K260" i="8" s="1"/>
  <c r="E262" i="8"/>
  <c r="P260" i="7"/>
  <c r="E263" i="7"/>
  <c r="I262" i="7"/>
  <c r="J257" i="1"/>
  <c r="K257" i="1"/>
  <c r="E259" i="1"/>
  <c r="I258" i="1"/>
  <c r="K257" i="4"/>
  <c r="J257" i="4"/>
  <c r="P257" i="4" s="1"/>
  <c r="P256" i="4"/>
  <c r="P258" i="6"/>
  <c r="I260" i="6"/>
  <c r="E261" i="6"/>
  <c r="J259" i="6"/>
  <c r="K259" i="6"/>
  <c r="P257" i="5"/>
  <c r="L257" i="5"/>
  <c r="K258" i="5"/>
  <c r="J258" i="5"/>
  <c r="I259" i="5"/>
  <c r="E260" i="5"/>
  <c r="E259" i="4"/>
  <c r="I258" i="4"/>
  <c r="K260" i="12" l="1"/>
  <c r="P260" i="12" s="1"/>
  <c r="E263" i="12"/>
  <c r="I262" i="12"/>
  <c r="L261" i="12"/>
  <c r="K261" i="12" s="1"/>
  <c r="J260" i="11"/>
  <c r="P260" i="11" s="1"/>
  <c r="I262" i="11"/>
  <c r="E263" i="11"/>
  <c r="L261" i="11"/>
  <c r="K261" i="11" s="1"/>
  <c r="E263" i="9"/>
  <c r="I262" i="9"/>
  <c r="J260" i="9"/>
  <c r="P260" i="9" s="1"/>
  <c r="L261" i="9"/>
  <c r="K261" i="9" s="1"/>
  <c r="J260" i="8"/>
  <c r="P260" i="8" s="1"/>
  <c r="L261" i="8"/>
  <c r="K261" i="8" s="1"/>
  <c r="E263" i="8"/>
  <c r="P261" i="7"/>
  <c r="E264" i="7"/>
  <c r="I263" i="7"/>
  <c r="K258" i="4"/>
  <c r="J258" i="4"/>
  <c r="P258" i="4" s="1"/>
  <c r="J258" i="1"/>
  <c r="K258" i="1"/>
  <c r="E260" i="1"/>
  <c r="I259" i="1"/>
  <c r="P259" i="6"/>
  <c r="E262" i="6"/>
  <c r="I261" i="6"/>
  <c r="K260" i="6"/>
  <c r="J260" i="6"/>
  <c r="P258" i="5"/>
  <c r="L258" i="5"/>
  <c r="E261" i="5"/>
  <c r="I260" i="5"/>
  <c r="K259" i="5"/>
  <c r="J259" i="5"/>
  <c r="I259" i="4"/>
  <c r="E260" i="4"/>
  <c r="J261" i="12" l="1"/>
  <c r="P261" i="12" s="1"/>
  <c r="L262" i="12"/>
  <c r="K262" i="12" s="1"/>
  <c r="E264" i="12"/>
  <c r="I263" i="12"/>
  <c r="J261" i="11"/>
  <c r="P261" i="11" s="1"/>
  <c r="I263" i="11"/>
  <c r="E264" i="11"/>
  <c r="L262" i="11"/>
  <c r="K262" i="11" s="1"/>
  <c r="L262" i="9"/>
  <c r="J262" i="9" s="1"/>
  <c r="J261" i="9"/>
  <c r="P261" i="9" s="1"/>
  <c r="E264" i="9"/>
  <c r="I263" i="9"/>
  <c r="J261" i="8"/>
  <c r="P261" i="8" s="1"/>
  <c r="L262" i="8"/>
  <c r="J262" i="8" s="1"/>
  <c r="E264" i="8"/>
  <c r="E265" i="7"/>
  <c r="I264" i="7"/>
  <c r="P262" i="7"/>
  <c r="K259" i="1"/>
  <c r="J259" i="1"/>
  <c r="E261" i="1"/>
  <c r="I260" i="1"/>
  <c r="K259" i="4"/>
  <c r="J259" i="4"/>
  <c r="P259" i="4" s="1"/>
  <c r="P260" i="6"/>
  <c r="K261" i="6"/>
  <c r="J261" i="6"/>
  <c r="E263" i="6"/>
  <c r="I262" i="6"/>
  <c r="P259" i="5"/>
  <c r="L259" i="5"/>
  <c r="K260" i="5"/>
  <c r="J260" i="5"/>
  <c r="E262" i="5"/>
  <c r="I261" i="5"/>
  <c r="E261" i="4"/>
  <c r="I260" i="4"/>
  <c r="J262" i="12" l="1"/>
  <c r="P262" i="12" s="1"/>
  <c r="L263" i="12"/>
  <c r="K263" i="12" s="1"/>
  <c r="E265" i="12"/>
  <c r="I264" i="12"/>
  <c r="J262" i="11"/>
  <c r="P262" i="11" s="1"/>
  <c r="I264" i="11"/>
  <c r="E265" i="11"/>
  <c r="L263" i="11"/>
  <c r="K263" i="11" s="1"/>
  <c r="K262" i="9"/>
  <c r="P262" i="9" s="1"/>
  <c r="L263" i="9"/>
  <c r="K263" i="9" s="1"/>
  <c r="E265" i="9"/>
  <c r="I264" i="9"/>
  <c r="L263" i="8"/>
  <c r="K263" i="8" s="1"/>
  <c r="E265" i="8"/>
  <c r="K262" i="8"/>
  <c r="P262" i="8" s="1"/>
  <c r="P263" i="7"/>
  <c r="I265" i="7"/>
  <c r="E266" i="7"/>
  <c r="K260" i="1"/>
  <c r="J260" i="1"/>
  <c r="K260" i="4"/>
  <c r="J260" i="4"/>
  <c r="P260" i="4" s="1"/>
  <c r="E262" i="1"/>
  <c r="I261" i="1"/>
  <c r="P261" i="6"/>
  <c r="E264" i="6"/>
  <c r="I263" i="6"/>
  <c r="J262" i="6"/>
  <c r="K262" i="6"/>
  <c r="P260" i="5"/>
  <c r="L260" i="5"/>
  <c r="K261" i="5"/>
  <c r="J261" i="5"/>
  <c r="E263" i="5"/>
  <c r="I262" i="5"/>
  <c r="I261" i="4"/>
  <c r="E262" i="4"/>
  <c r="J263" i="12" l="1"/>
  <c r="P263" i="12" s="1"/>
  <c r="L264" i="12"/>
  <c r="K264" i="12" s="1"/>
  <c r="E266" i="12"/>
  <c r="I265" i="12"/>
  <c r="J263" i="11"/>
  <c r="P263" i="11" s="1"/>
  <c r="I265" i="11"/>
  <c r="E266" i="11"/>
  <c r="L264" i="11"/>
  <c r="K264" i="11" s="1"/>
  <c r="J263" i="9"/>
  <c r="P263" i="9" s="1"/>
  <c r="L264" i="9"/>
  <c r="K264" i="9" s="1"/>
  <c r="E266" i="9"/>
  <c r="I265" i="9"/>
  <c r="E266" i="8"/>
  <c r="L264" i="8"/>
  <c r="K264" i="8" s="1"/>
  <c r="J263" i="8"/>
  <c r="P263" i="8" s="1"/>
  <c r="P264" i="7"/>
  <c r="I266" i="7"/>
  <c r="E267" i="7"/>
  <c r="K261" i="1"/>
  <c r="J261" i="1"/>
  <c r="E263" i="1"/>
  <c r="I262" i="1"/>
  <c r="K261" i="4"/>
  <c r="J261" i="4"/>
  <c r="P261" i="4" s="1"/>
  <c r="P262" i="6"/>
  <c r="J263" i="6"/>
  <c r="K263" i="6"/>
  <c r="I264" i="6"/>
  <c r="E265" i="6"/>
  <c r="P261" i="5"/>
  <c r="L261" i="5"/>
  <c r="J262" i="5"/>
  <c r="K262" i="5"/>
  <c r="E264" i="5"/>
  <c r="I263" i="5"/>
  <c r="E263" i="4"/>
  <c r="I262" i="4"/>
  <c r="J264" i="12" l="1"/>
  <c r="P264" i="12" s="1"/>
  <c r="L265" i="12"/>
  <c r="K265" i="12" s="1"/>
  <c r="E267" i="12"/>
  <c r="I266" i="12"/>
  <c r="J264" i="11"/>
  <c r="P264" i="11" s="1"/>
  <c r="I266" i="11"/>
  <c r="E267" i="11"/>
  <c r="L265" i="11"/>
  <c r="K265" i="11" s="1"/>
  <c r="J264" i="9"/>
  <c r="P264" i="9" s="1"/>
  <c r="L265" i="9"/>
  <c r="K265" i="9" s="1"/>
  <c r="E267" i="9"/>
  <c r="I266" i="9"/>
  <c r="J264" i="8"/>
  <c r="P264" i="8" s="1"/>
  <c r="L265" i="8"/>
  <c r="K265" i="8" s="1"/>
  <c r="E267" i="8"/>
  <c r="P265" i="7"/>
  <c r="I267" i="7"/>
  <c r="E268" i="7"/>
  <c r="J262" i="1"/>
  <c r="K262" i="1"/>
  <c r="J262" i="4"/>
  <c r="K262" i="4"/>
  <c r="E264" i="1"/>
  <c r="I263" i="1"/>
  <c r="E266" i="6"/>
  <c r="I265" i="6"/>
  <c r="K264" i="6"/>
  <c r="J264" i="6"/>
  <c r="P263" i="6"/>
  <c r="L262" i="5"/>
  <c r="J263" i="5"/>
  <c r="K263" i="5"/>
  <c r="I264" i="5"/>
  <c r="E265" i="5"/>
  <c r="P262" i="5"/>
  <c r="I263" i="4"/>
  <c r="E264" i="4"/>
  <c r="J265" i="12" l="1"/>
  <c r="P265" i="12" s="1"/>
  <c r="L266" i="12"/>
  <c r="K266" i="12" s="1"/>
  <c r="E268" i="12"/>
  <c r="I267" i="12"/>
  <c r="J265" i="11"/>
  <c r="P265" i="11" s="1"/>
  <c r="I267" i="11"/>
  <c r="E268" i="11"/>
  <c r="L266" i="11"/>
  <c r="K266" i="11" s="1"/>
  <c r="J265" i="9"/>
  <c r="P265" i="9" s="1"/>
  <c r="L266" i="9"/>
  <c r="K266" i="9" s="1"/>
  <c r="E268" i="9"/>
  <c r="I267" i="9"/>
  <c r="J265" i="8"/>
  <c r="P265" i="8" s="1"/>
  <c r="L266" i="8"/>
  <c r="J266" i="8" s="1"/>
  <c r="E268" i="8"/>
  <c r="P266" i="7"/>
  <c r="I268" i="7"/>
  <c r="E269" i="7"/>
  <c r="J263" i="1"/>
  <c r="K263" i="1"/>
  <c r="E265" i="1"/>
  <c r="I264" i="1"/>
  <c r="P262" i="4"/>
  <c r="J263" i="4"/>
  <c r="K263" i="4"/>
  <c r="P264" i="6"/>
  <c r="K265" i="6"/>
  <c r="J265" i="6"/>
  <c r="I266" i="6"/>
  <c r="E267" i="6"/>
  <c r="L263" i="5"/>
  <c r="J264" i="5"/>
  <c r="K264" i="5"/>
  <c r="I265" i="5"/>
  <c r="E266" i="5"/>
  <c r="P263" i="5"/>
  <c r="E265" i="4"/>
  <c r="I264" i="4"/>
  <c r="J266" i="12" l="1"/>
  <c r="P266" i="12" s="1"/>
  <c r="L267" i="12"/>
  <c r="K267" i="12" s="1"/>
  <c r="E269" i="12"/>
  <c r="I268" i="12"/>
  <c r="J266" i="11"/>
  <c r="P266" i="11" s="1"/>
  <c r="I268" i="11"/>
  <c r="E269" i="11"/>
  <c r="L267" i="11"/>
  <c r="K267" i="11" s="1"/>
  <c r="J266" i="9"/>
  <c r="P266" i="9" s="1"/>
  <c r="L267" i="9"/>
  <c r="K267" i="9" s="1"/>
  <c r="E269" i="9"/>
  <c r="I268" i="9"/>
  <c r="K266" i="8"/>
  <c r="P266" i="8" s="1"/>
  <c r="E269" i="8"/>
  <c r="L267" i="8"/>
  <c r="K267" i="8" s="1"/>
  <c r="P267" i="7"/>
  <c r="E270" i="7"/>
  <c r="I269" i="7"/>
  <c r="P263" i="4"/>
  <c r="J264" i="1"/>
  <c r="K264" i="1"/>
  <c r="J264" i="4"/>
  <c r="K264" i="4"/>
  <c r="E266" i="1"/>
  <c r="I265" i="1"/>
  <c r="P265" i="6"/>
  <c r="I267" i="6"/>
  <c r="E268" i="6"/>
  <c r="J266" i="6"/>
  <c r="K266" i="6"/>
  <c r="L264" i="5"/>
  <c r="J265" i="5"/>
  <c r="K265" i="5"/>
  <c r="I266" i="5"/>
  <c r="E267" i="5"/>
  <c r="P264" i="5"/>
  <c r="I265" i="4"/>
  <c r="E266" i="4"/>
  <c r="J267" i="12" l="1"/>
  <c r="P267" i="12" s="1"/>
  <c r="L268" i="12"/>
  <c r="K268" i="12" s="1"/>
  <c r="E270" i="12"/>
  <c r="I269" i="12"/>
  <c r="J267" i="11"/>
  <c r="P267" i="11" s="1"/>
  <c r="I269" i="11"/>
  <c r="E270" i="11"/>
  <c r="L268" i="11"/>
  <c r="K268" i="11" s="1"/>
  <c r="J267" i="9"/>
  <c r="P267" i="9" s="1"/>
  <c r="L268" i="9"/>
  <c r="K268" i="9" s="1"/>
  <c r="E270" i="9"/>
  <c r="I269" i="9"/>
  <c r="J267" i="8"/>
  <c r="P267" i="8" s="1"/>
  <c r="L268" i="8"/>
  <c r="K268" i="8" s="1"/>
  <c r="E270" i="8"/>
  <c r="P268" i="7"/>
  <c r="E271" i="7"/>
  <c r="I270" i="7"/>
  <c r="J265" i="1"/>
  <c r="K265" i="1"/>
  <c r="P264" i="4"/>
  <c r="K265" i="4"/>
  <c r="J265" i="4"/>
  <c r="P265" i="4" s="1"/>
  <c r="E267" i="1"/>
  <c r="I266" i="1"/>
  <c r="P266" i="6"/>
  <c r="E269" i="6"/>
  <c r="I268" i="6"/>
  <c r="J267" i="6"/>
  <c r="K267" i="6"/>
  <c r="L265" i="5"/>
  <c r="K266" i="5"/>
  <c r="J266" i="5"/>
  <c r="I267" i="5"/>
  <c r="E268" i="5"/>
  <c r="P265" i="5"/>
  <c r="E267" i="4"/>
  <c r="I266" i="4"/>
  <c r="J268" i="12" l="1"/>
  <c r="P268" i="12" s="1"/>
  <c r="L269" i="12"/>
  <c r="K269" i="12" s="1"/>
  <c r="E271" i="12"/>
  <c r="I270" i="12"/>
  <c r="J268" i="11"/>
  <c r="P268" i="11" s="1"/>
  <c r="I270" i="11"/>
  <c r="E271" i="11"/>
  <c r="L269" i="11"/>
  <c r="J269" i="11" s="1"/>
  <c r="L269" i="9"/>
  <c r="K269" i="9" s="1"/>
  <c r="E271" i="9"/>
  <c r="I270" i="9"/>
  <c r="J268" i="9"/>
  <c r="P268" i="9" s="1"/>
  <c r="J268" i="8"/>
  <c r="P268" i="8" s="1"/>
  <c r="L269" i="8"/>
  <c r="K269" i="8" s="1"/>
  <c r="E271" i="8"/>
  <c r="P269" i="7"/>
  <c r="E272" i="7"/>
  <c r="I271" i="7"/>
  <c r="J266" i="1"/>
  <c r="K266" i="1"/>
  <c r="E268" i="1"/>
  <c r="I267" i="1"/>
  <c r="K266" i="4"/>
  <c r="J266" i="4"/>
  <c r="P266" i="4" s="1"/>
  <c r="P267" i="6"/>
  <c r="K268" i="6"/>
  <c r="J268" i="6"/>
  <c r="E270" i="6"/>
  <c r="I269" i="6"/>
  <c r="P266" i="5"/>
  <c r="L266" i="5"/>
  <c r="E269" i="5"/>
  <c r="I268" i="5"/>
  <c r="K267" i="5"/>
  <c r="J267" i="5"/>
  <c r="I267" i="4"/>
  <c r="E268" i="4"/>
  <c r="J269" i="12" l="1"/>
  <c r="P269" i="12" s="1"/>
  <c r="L270" i="12"/>
  <c r="K270" i="12" s="1"/>
  <c r="E272" i="12"/>
  <c r="I271" i="12"/>
  <c r="K269" i="11"/>
  <c r="P269" i="11" s="1"/>
  <c r="I271" i="11"/>
  <c r="E272" i="11"/>
  <c r="L270" i="11"/>
  <c r="K270" i="11" s="1"/>
  <c r="J269" i="9"/>
  <c r="P269" i="9" s="1"/>
  <c r="L270" i="9"/>
  <c r="K270" i="9" s="1"/>
  <c r="E272" i="9"/>
  <c r="I271" i="9"/>
  <c r="E272" i="8"/>
  <c r="L270" i="8"/>
  <c r="J270" i="8" s="1"/>
  <c r="J269" i="8"/>
  <c r="P269" i="8" s="1"/>
  <c r="E273" i="7"/>
  <c r="I272" i="7"/>
  <c r="P270" i="7"/>
  <c r="K267" i="1"/>
  <c r="J267" i="1"/>
  <c r="E269" i="1"/>
  <c r="I268" i="1"/>
  <c r="K267" i="4"/>
  <c r="J267" i="4"/>
  <c r="P267" i="4" s="1"/>
  <c r="P268" i="6"/>
  <c r="K269" i="6"/>
  <c r="J269" i="6"/>
  <c r="E271" i="6"/>
  <c r="I270" i="6"/>
  <c r="P267" i="5"/>
  <c r="L267" i="5"/>
  <c r="K268" i="5"/>
  <c r="J268" i="5"/>
  <c r="E270" i="5"/>
  <c r="I269" i="5"/>
  <c r="E269" i="4"/>
  <c r="I268" i="4"/>
  <c r="J270" i="12" l="1"/>
  <c r="P270" i="12" s="1"/>
  <c r="L271" i="12"/>
  <c r="K271" i="12" s="1"/>
  <c r="E273" i="12"/>
  <c r="I272" i="12"/>
  <c r="J270" i="11"/>
  <c r="P270" i="11" s="1"/>
  <c r="I272" i="11"/>
  <c r="E273" i="11"/>
  <c r="L271" i="11"/>
  <c r="K271" i="11" s="1"/>
  <c r="J270" i="9"/>
  <c r="P270" i="9" s="1"/>
  <c r="L271" i="9"/>
  <c r="K271" i="9" s="1"/>
  <c r="E273" i="9"/>
  <c r="I272" i="9"/>
  <c r="K270" i="8"/>
  <c r="P270" i="8" s="1"/>
  <c r="L271" i="8"/>
  <c r="K271" i="8" s="1"/>
  <c r="E273" i="8"/>
  <c r="I273" i="7"/>
  <c r="E274" i="7"/>
  <c r="P271" i="7"/>
  <c r="K268" i="1"/>
  <c r="J268" i="1"/>
  <c r="K268" i="4"/>
  <c r="J268" i="4"/>
  <c r="P268" i="4" s="1"/>
  <c r="E270" i="1"/>
  <c r="I269" i="1"/>
  <c r="P269" i="6"/>
  <c r="J270" i="6"/>
  <c r="K270" i="6"/>
  <c r="E272" i="6"/>
  <c r="I271" i="6"/>
  <c r="P268" i="5"/>
  <c r="L268" i="5"/>
  <c r="K269" i="5"/>
  <c r="J269" i="5"/>
  <c r="E271" i="5"/>
  <c r="I270" i="5"/>
  <c r="I269" i="4"/>
  <c r="E270" i="4"/>
  <c r="J271" i="12" l="1"/>
  <c r="P271" i="12" s="1"/>
  <c r="L272" i="12"/>
  <c r="K272" i="12" s="1"/>
  <c r="E274" i="12"/>
  <c r="I273" i="12"/>
  <c r="J271" i="11"/>
  <c r="P271" i="11" s="1"/>
  <c r="I273" i="11"/>
  <c r="E274" i="11"/>
  <c r="L272" i="11"/>
  <c r="K272" i="11" s="1"/>
  <c r="J271" i="9"/>
  <c r="P271" i="9" s="1"/>
  <c r="L272" i="9"/>
  <c r="K272" i="9" s="1"/>
  <c r="E274" i="9"/>
  <c r="I273" i="9"/>
  <c r="E274" i="8"/>
  <c r="L272" i="8"/>
  <c r="K272" i="8" s="1"/>
  <c r="J271" i="8"/>
  <c r="P271" i="8" s="1"/>
  <c r="I274" i="7"/>
  <c r="E275" i="7"/>
  <c r="P272" i="7"/>
  <c r="E271" i="1"/>
  <c r="I270" i="1"/>
  <c r="K269" i="4"/>
  <c r="J269" i="4"/>
  <c r="P269" i="4" s="1"/>
  <c r="K269" i="1"/>
  <c r="J269" i="1"/>
  <c r="K271" i="6"/>
  <c r="J271" i="6"/>
  <c r="E273" i="6"/>
  <c r="I272" i="6"/>
  <c r="P270" i="6"/>
  <c r="P269" i="5"/>
  <c r="L269" i="5"/>
  <c r="J270" i="5"/>
  <c r="K270" i="5"/>
  <c r="E272" i="5"/>
  <c r="I271" i="5"/>
  <c r="E271" i="4"/>
  <c r="I270" i="4"/>
  <c r="J272" i="12" l="1"/>
  <c r="P272" i="12" s="1"/>
  <c r="L273" i="12"/>
  <c r="K273" i="12" s="1"/>
  <c r="E275" i="12"/>
  <c r="I274" i="12"/>
  <c r="J272" i="11"/>
  <c r="P272" i="11" s="1"/>
  <c r="I274" i="11"/>
  <c r="E275" i="11"/>
  <c r="L273" i="11"/>
  <c r="K273" i="11" s="1"/>
  <c r="J272" i="9"/>
  <c r="P272" i="9" s="1"/>
  <c r="L273" i="9"/>
  <c r="K273" i="9" s="1"/>
  <c r="E275" i="9"/>
  <c r="I274" i="9"/>
  <c r="J272" i="8"/>
  <c r="P272" i="8" s="1"/>
  <c r="E275" i="8"/>
  <c r="L273" i="8"/>
  <c r="K273" i="8" s="1"/>
  <c r="P273" i="7"/>
  <c r="I275" i="7"/>
  <c r="E276" i="7"/>
  <c r="J270" i="4"/>
  <c r="K270" i="4"/>
  <c r="J270" i="1"/>
  <c r="K270" i="1"/>
  <c r="E272" i="1"/>
  <c r="I271" i="1"/>
  <c r="P271" i="6"/>
  <c r="K272" i="6"/>
  <c r="J272" i="6"/>
  <c r="I273" i="6"/>
  <c r="E274" i="6"/>
  <c r="L270" i="5"/>
  <c r="K271" i="5"/>
  <c r="J271" i="5"/>
  <c r="I272" i="5"/>
  <c r="E273" i="5"/>
  <c r="P270" i="5"/>
  <c r="I271" i="4"/>
  <c r="E272" i="4"/>
  <c r="J273" i="12" l="1"/>
  <c r="P273" i="12" s="1"/>
  <c r="L274" i="12"/>
  <c r="K274" i="12" s="1"/>
  <c r="E276" i="12"/>
  <c r="I275" i="12"/>
  <c r="J273" i="11"/>
  <c r="P273" i="11" s="1"/>
  <c r="I275" i="11"/>
  <c r="E276" i="11"/>
  <c r="L274" i="11"/>
  <c r="K274" i="11" s="1"/>
  <c r="J273" i="9"/>
  <c r="P273" i="9" s="1"/>
  <c r="E276" i="9"/>
  <c r="I275" i="9"/>
  <c r="L274" i="9"/>
  <c r="K274" i="9" s="1"/>
  <c r="J273" i="8"/>
  <c r="P273" i="8" s="1"/>
  <c r="E276" i="8"/>
  <c r="L274" i="8"/>
  <c r="K274" i="8" s="1"/>
  <c r="P274" i="7"/>
  <c r="I276" i="7"/>
  <c r="E277" i="7"/>
  <c r="E273" i="1"/>
  <c r="I272" i="1"/>
  <c r="J271" i="1"/>
  <c r="K271" i="1"/>
  <c r="J271" i="4"/>
  <c r="P271" i="4" s="1"/>
  <c r="K271" i="4"/>
  <c r="P270" i="4"/>
  <c r="P272" i="6"/>
  <c r="I274" i="6"/>
  <c r="E275" i="6"/>
  <c r="K273" i="6"/>
  <c r="J273" i="6"/>
  <c r="P271" i="5"/>
  <c r="L271" i="5"/>
  <c r="I273" i="5"/>
  <c r="E274" i="5"/>
  <c r="J272" i="5"/>
  <c r="K272" i="5"/>
  <c r="E273" i="4"/>
  <c r="I272" i="4"/>
  <c r="J274" i="12" l="1"/>
  <c r="P274" i="12" s="1"/>
  <c r="L275" i="12"/>
  <c r="K275" i="12" s="1"/>
  <c r="E277" i="12"/>
  <c r="I276" i="12"/>
  <c r="J274" i="11"/>
  <c r="P274" i="11" s="1"/>
  <c r="I276" i="11"/>
  <c r="E277" i="11"/>
  <c r="L275" i="11"/>
  <c r="K275" i="11" s="1"/>
  <c r="J274" i="9"/>
  <c r="P274" i="9" s="1"/>
  <c r="L275" i="9"/>
  <c r="K275" i="9" s="1"/>
  <c r="E277" i="9"/>
  <c r="I276" i="9"/>
  <c r="J274" i="8"/>
  <c r="P274" i="8" s="1"/>
  <c r="E277" i="8"/>
  <c r="L275" i="8"/>
  <c r="K275" i="8" s="1"/>
  <c r="P275" i="7"/>
  <c r="E278" i="7"/>
  <c r="I277" i="7"/>
  <c r="J272" i="4"/>
  <c r="K272" i="4"/>
  <c r="J272" i="1"/>
  <c r="K272" i="1"/>
  <c r="E274" i="1"/>
  <c r="I273" i="1"/>
  <c r="P273" i="6"/>
  <c r="I275" i="6"/>
  <c r="E276" i="6"/>
  <c r="K274" i="6"/>
  <c r="J274" i="6"/>
  <c r="L272" i="5"/>
  <c r="P272" i="5"/>
  <c r="I274" i="5"/>
  <c r="E275" i="5"/>
  <c r="J273" i="5"/>
  <c r="K273" i="5"/>
  <c r="I273" i="4"/>
  <c r="E274" i="4"/>
  <c r="J275" i="12" l="1"/>
  <c r="P275" i="12" s="1"/>
  <c r="L276" i="12"/>
  <c r="K276" i="12" s="1"/>
  <c r="E278" i="12"/>
  <c r="I277" i="12"/>
  <c r="J275" i="11"/>
  <c r="P275" i="11" s="1"/>
  <c r="I277" i="11"/>
  <c r="E278" i="11"/>
  <c r="L276" i="11"/>
  <c r="K276" i="11" s="1"/>
  <c r="J275" i="9"/>
  <c r="P275" i="9" s="1"/>
  <c r="L276" i="9"/>
  <c r="K276" i="9" s="1"/>
  <c r="E278" i="9"/>
  <c r="I277" i="9"/>
  <c r="J275" i="8"/>
  <c r="P275" i="8" s="1"/>
  <c r="L276" i="8"/>
  <c r="K276" i="8" s="1"/>
  <c r="E278" i="8"/>
  <c r="E279" i="7"/>
  <c r="I278" i="7"/>
  <c r="P276" i="7"/>
  <c r="J273" i="1"/>
  <c r="K273" i="1"/>
  <c r="E275" i="1"/>
  <c r="I274" i="1"/>
  <c r="K273" i="4"/>
  <c r="J273" i="4"/>
  <c r="P273" i="4" s="1"/>
  <c r="P272" i="4"/>
  <c r="P274" i="6"/>
  <c r="E277" i="6"/>
  <c r="I276" i="6"/>
  <c r="J275" i="6"/>
  <c r="K275" i="6"/>
  <c r="P273" i="5"/>
  <c r="L273" i="5"/>
  <c r="K274" i="5"/>
  <c r="J274" i="5"/>
  <c r="I275" i="5"/>
  <c r="E276" i="5"/>
  <c r="E275" i="4"/>
  <c r="I274" i="4"/>
  <c r="J276" i="12" l="1"/>
  <c r="P276" i="12" s="1"/>
  <c r="L277" i="12"/>
  <c r="K277" i="12" s="1"/>
  <c r="E279" i="12"/>
  <c r="I278" i="12"/>
  <c r="J276" i="11"/>
  <c r="P276" i="11" s="1"/>
  <c r="I278" i="11"/>
  <c r="E279" i="11"/>
  <c r="L277" i="11"/>
  <c r="K277" i="11" s="1"/>
  <c r="J276" i="9"/>
  <c r="P276" i="9" s="1"/>
  <c r="L277" i="9"/>
  <c r="K277" i="9" s="1"/>
  <c r="E279" i="9"/>
  <c r="I278" i="9"/>
  <c r="E279" i="8"/>
  <c r="L277" i="8"/>
  <c r="K277" i="8" s="1"/>
  <c r="J276" i="8"/>
  <c r="P276" i="8" s="1"/>
  <c r="E280" i="7"/>
  <c r="I279" i="7"/>
  <c r="P277" i="7"/>
  <c r="K274" i="4"/>
  <c r="J274" i="4"/>
  <c r="P274" i="4" s="1"/>
  <c r="J274" i="1"/>
  <c r="K274" i="1"/>
  <c r="E276" i="1"/>
  <c r="I275" i="1"/>
  <c r="K276" i="6"/>
  <c r="J276" i="6"/>
  <c r="P275" i="6"/>
  <c r="E278" i="6"/>
  <c r="I277" i="6"/>
  <c r="P274" i="5"/>
  <c r="L274" i="5"/>
  <c r="E277" i="5"/>
  <c r="I276" i="5"/>
  <c r="K275" i="5"/>
  <c r="J275" i="5"/>
  <c r="I275" i="4"/>
  <c r="E276" i="4"/>
  <c r="J277" i="12" l="1"/>
  <c r="P277" i="12" s="1"/>
  <c r="L278" i="12"/>
  <c r="K278" i="12" s="1"/>
  <c r="E280" i="12"/>
  <c r="I279" i="12"/>
  <c r="J277" i="11"/>
  <c r="P277" i="11" s="1"/>
  <c r="I279" i="11"/>
  <c r="E280" i="11"/>
  <c r="L278" i="11"/>
  <c r="K278" i="11" s="1"/>
  <c r="L278" i="9"/>
  <c r="K278" i="9" s="1"/>
  <c r="E280" i="9"/>
  <c r="I279" i="9"/>
  <c r="J277" i="9"/>
  <c r="P277" i="9" s="1"/>
  <c r="J277" i="8"/>
  <c r="P277" i="8" s="1"/>
  <c r="E280" i="8"/>
  <c r="L278" i="8"/>
  <c r="K278" i="8" s="1"/>
  <c r="E281" i="7"/>
  <c r="I280" i="7"/>
  <c r="P278" i="7"/>
  <c r="E277" i="1"/>
  <c r="I276" i="1"/>
  <c r="K275" i="1"/>
  <c r="J275" i="1"/>
  <c r="K275" i="4"/>
  <c r="J275" i="4"/>
  <c r="P275" i="4" s="1"/>
  <c r="P276" i="6"/>
  <c r="K277" i="6"/>
  <c r="J277" i="6"/>
  <c r="E279" i="6"/>
  <c r="I278" i="6"/>
  <c r="P275" i="5"/>
  <c r="L275" i="5"/>
  <c r="K276" i="5"/>
  <c r="J276" i="5"/>
  <c r="E278" i="5"/>
  <c r="I277" i="5"/>
  <c r="E277" i="4"/>
  <c r="I276" i="4"/>
  <c r="J278" i="12" l="1"/>
  <c r="P278" i="12" s="1"/>
  <c r="L279" i="12"/>
  <c r="K279" i="12" s="1"/>
  <c r="E281" i="12"/>
  <c r="I280" i="12"/>
  <c r="J278" i="11"/>
  <c r="P278" i="11" s="1"/>
  <c r="I280" i="11"/>
  <c r="E281" i="11"/>
  <c r="L279" i="11"/>
  <c r="J279" i="11" s="1"/>
  <c r="J278" i="9"/>
  <c r="P278" i="9" s="1"/>
  <c r="E281" i="9"/>
  <c r="I280" i="9"/>
  <c r="L279" i="9"/>
  <c r="K279" i="9" s="1"/>
  <c r="J278" i="8"/>
  <c r="P278" i="8" s="1"/>
  <c r="L279" i="8"/>
  <c r="K279" i="8" s="1"/>
  <c r="E281" i="8"/>
  <c r="I281" i="7"/>
  <c r="E282" i="7"/>
  <c r="P279" i="7"/>
  <c r="K276" i="4"/>
  <c r="J276" i="4"/>
  <c r="P276" i="4" s="1"/>
  <c r="K276" i="1"/>
  <c r="J276" i="1"/>
  <c r="E278" i="1"/>
  <c r="I277" i="1"/>
  <c r="P277" i="6"/>
  <c r="J278" i="6"/>
  <c r="K278" i="6"/>
  <c r="E280" i="6"/>
  <c r="I279" i="6"/>
  <c r="P276" i="5"/>
  <c r="L276" i="5"/>
  <c r="K277" i="5"/>
  <c r="J277" i="5"/>
  <c r="E279" i="5"/>
  <c r="I278" i="5"/>
  <c r="I277" i="4"/>
  <c r="E278" i="4"/>
  <c r="J279" i="12" l="1"/>
  <c r="P279" i="12" s="1"/>
  <c r="L280" i="12"/>
  <c r="K280" i="12" s="1"/>
  <c r="E282" i="12"/>
  <c r="I281" i="12"/>
  <c r="K279" i="11"/>
  <c r="P279" i="11" s="1"/>
  <c r="I281" i="11"/>
  <c r="E282" i="11"/>
  <c r="L280" i="11"/>
  <c r="K280" i="11" s="1"/>
  <c r="J279" i="9"/>
  <c r="P279" i="9" s="1"/>
  <c r="L280" i="9"/>
  <c r="K280" i="9" s="1"/>
  <c r="E282" i="9"/>
  <c r="I281" i="9"/>
  <c r="J279" i="8"/>
  <c r="P279" i="8" s="1"/>
  <c r="L280" i="8"/>
  <c r="K280" i="8" s="1"/>
  <c r="E282" i="8"/>
  <c r="I282" i="7"/>
  <c r="E283" i="7"/>
  <c r="P280" i="7"/>
  <c r="E279" i="1"/>
  <c r="I278" i="1"/>
  <c r="K277" i="1"/>
  <c r="J277" i="1"/>
  <c r="K277" i="4"/>
  <c r="J277" i="4"/>
  <c r="P277" i="4" s="1"/>
  <c r="K279" i="6"/>
  <c r="J279" i="6"/>
  <c r="I280" i="6"/>
  <c r="E281" i="6"/>
  <c r="P278" i="6"/>
  <c r="P277" i="5"/>
  <c r="L277" i="5"/>
  <c r="J278" i="5"/>
  <c r="K278" i="5"/>
  <c r="E280" i="5"/>
  <c r="I279" i="5"/>
  <c r="E279" i="4"/>
  <c r="I278" i="4"/>
  <c r="J280" i="12" l="1"/>
  <c r="P280" i="12" s="1"/>
  <c r="L281" i="12"/>
  <c r="K281" i="12" s="1"/>
  <c r="E283" i="12"/>
  <c r="I282" i="12"/>
  <c r="J280" i="11"/>
  <c r="P280" i="11" s="1"/>
  <c r="I282" i="11"/>
  <c r="E283" i="11"/>
  <c r="L281" i="11"/>
  <c r="K281" i="11" s="1"/>
  <c r="J280" i="9"/>
  <c r="P280" i="9" s="1"/>
  <c r="E283" i="9"/>
  <c r="I282" i="9"/>
  <c r="L281" i="9"/>
  <c r="K281" i="9" s="1"/>
  <c r="E283" i="8"/>
  <c r="L281" i="8"/>
  <c r="K281" i="8" s="1"/>
  <c r="J280" i="8"/>
  <c r="P280" i="8" s="1"/>
  <c r="P281" i="7"/>
  <c r="I283" i="7"/>
  <c r="E284" i="7"/>
  <c r="J278" i="4"/>
  <c r="P278" i="4" s="1"/>
  <c r="K278" i="4"/>
  <c r="J278" i="1"/>
  <c r="K278" i="1"/>
  <c r="E280" i="1"/>
  <c r="I279" i="1"/>
  <c r="P279" i="6"/>
  <c r="E282" i="6"/>
  <c r="I281" i="6"/>
  <c r="K280" i="6"/>
  <c r="J280" i="6"/>
  <c r="L278" i="5"/>
  <c r="K279" i="5"/>
  <c r="J279" i="5"/>
  <c r="I280" i="5"/>
  <c r="E281" i="5"/>
  <c r="P278" i="5"/>
  <c r="I279" i="4"/>
  <c r="E280" i="4"/>
  <c r="J281" i="12" l="1"/>
  <c r="P281" i="12" s="1"/>
  <c r="L282" i="12"/>
  <c r="K282" i="12" s="1"/>
  <c r="E284" i="12"/>
  <c r="I283" i="12"/>
  <c r="J281" i="11"/>
  <c r="P281" i="11" s="1"/>
  <c r="I283" i="11"/>
  <c r="E284" i="11"/>
  <c r="L282" i="11"/>
  <c r="K282" i="11" s="1"/>
  <c r="J281" i="9"/>
  <c r="P281" i="9" s="1"/>
  <c r="L282" i="9"/>
  <c r="K282" i="9" s="1"/>
  <c r="E284" i="9"/>
  <c r="I283" i="9"/>
  <c r="J281" i="8"/>
  <c r="P281" i="8" s="1"/>
  <c r="E284" i="8"/>
  <c r="L282" i="8"/>
  <c r="K282" i="8" s="1"/>
  <c r="P282" i="7"/>
  <c r="I284" i="7"/>
  <c r="E285" i="7"/>
  <c r="E281" i="1"/>
  <c r="I280" i="1"/>
  <c r="J279" i="1"/>
  <c r="K279" i="1"/>
  <c r="J279" i="4"/>
  <c r="K279" i="4"/>
  <c r="P280" i="6"/>
  <c r="K281" i="6"/>
  <c r="J281" i="6"/>
  <c r="I282" i="6"/>
  <c r="E283" i="6"/>
  <c r="P279" i="5"/>
  <c r="L279" i="5"/>
  <c r="I281" i="5"/>
  <c r="E282" i="5"/>
  <c r="J280" i="5"/>
  <c r="K280" i="5"/>
  <c r="E281" i="4"/>
  <c r="I280" i="4"/>
  <c r="J282" i="12" l="1"/>
  <c r="P282" i="12" s="1"/>
  <c r="L283" i="12"/>
  <c r="K283" i="12" s="1"/>
  <c r="E285" i="12"/>
  <c r="I284" i="12"/>
  <c r="J282" i="11"/>
  <c r="P282" i="11" s="1"/>
  <c r="I284" i="11"/>
  <c r="E285" i="11"/>
  <c r="L283" i="11"/>
  <c r="K283" i="11" s="1"/>
  <c r="J282" i="9"/>
  <c r="P282" i="9" s="1"/>
  <c r="L283" i="9"/>
  <c r="K283" i="9" s="1"/>
  <c r="E285" i="9"/>
  <c r="I284" i="9"/>
  <c r="J282" i="8"/>
  <c r="P282" i="8" s="1"/>
  <c r="L283" i="8"/>
  <c r="K283" i="8" s="1"/>
  <c r="E285" i="8"/>
  <c r="P283" i="7"/>
  <c r="E286" i="7"/>
  <c r="I285" i="7"/>
  <c r="P279" i="4"/>
  <c r="J280" i="4"/>
  <c r="K280" i="4"/>
  <c r="J280" i="1"/>
  <c r="K280" i="1"/>
  <c r="E282" i="1"/>
  <c r="I281" i="1"/>
  <c r="P281" i="6"/>
  <c r="J282" i="6"/>
  <c r="K282" i="6"/>
  <c r="I283" i="6"/>
  <c r="E284" i="6"/>
  <c r="L280" i="5"/>
  <c r="P280" i="5"/>
  <c r="J281" i="5"/>
  <c r="K281" i="5"/>
  <c r="I282" i="5"/>
  <c r="E283" i="5"/>
  <c r="I281" i="4"/>
  <c r="E282" i="4"/>
  <c r="J283" i="12" l="1"/>
  <c r="P283" i="12" s="1"/>
  <c r="L284" i="12"/>
  <c r="K284" i="12" s="1"/>
  <c r="E286" i="12"/>
  <c r="I285" i="12"/>
  <c r="J283" i="11"/>
  <c r="P283" i="11" s="1"/>
  <c r="I285" i="11"/>
  <c r="E286" i="11"/>
  <c r="L284" i="11"/>
  <c r="K284" i="11" s="1"/>
  <c r="J283" i="9"/>
  <c r="P283" i="9" s="1"/>
  <c r="L284" i="9"/>
  <c r="K284" i="9" s="1"/>
  <c r="E286" i="9"/>
  <c r="I285" i="9"/>
  <c r="J283" i="8"/>
  <c r="P283" i="8" s="1"/>
  <c r="L284" i="8"/>
  <c r="K284" i="8" s="1"/>
  <c r="E286" i="8"/>
  <c r="P284" i="7"/>
  <c r="E287" i="7"/>
  <c r="I286" i="7"/>
  <c r="E283" i="1"/>
  <c r="I282" i="1"/>
  <c r="J281" i="1"/>
  <c r="K281" i="1"/>
  <c r="K281" i="4"/>
  <c r="J281" i="4"/>
  <c r="P281" i="4" s="1"/>
  <c r="P280" i="4"/>
  <c r="J283" i="6"/>
  <c r="K283" i="6"/>
  <c r="E285" i="6"/>
  <c r="I284" i="6"/>
  <c r="P282" i="6"/>
  <c r="P281" i="5"/>
  <c r="L281" i="5"/>
  <c r="I283" i="5"/>
  <c r="E284" i="5"/>
  <c r="K282" i="5"/>
  <c r="J282" i="5"/>
  <c r="E283" i="4"/>
  <c r="I282" i="4"/>
  <c r="J284" i="12" l="1"/>
  <c r="P284" i="12" s="1"/>
  <c r="L285" i="12"/>
  <c r="K285" i="12" s="1"/>
  <c r="E287" i="12"/>
  <c r="I286" i="12"/>
  <c r="J284" i="11"/>
  <c r="P284" i="11" s="1"/>
  <c r="I286" i="11"/>
  <c r="E287" i="11"/>
  <c r="L285" i="11"/>
  <c r="K285" i="11" s="1"/>
  <c r="J284" i="9"/>
  <c r="P284" i="9" s="1"/>
  <c r="E287" i="9"/>
  <c r="I286" i="9"/>
  <c r="L285" i="9"/>
  <c r="K285" i="9" s="1"/>
  <c r="J284" i="8"/>
  <c r="P284" i="8" s="1"/>
  <c r="E287" i="8"/>
  <c r="L285" i="8"/>
  <c r="K285" i="8" s="1"/>
  <c r="E288" i="7"/>
  <c r="I287" i="7"/>
  <c r="P285" i="7"/>
  <c r="K282" i="4"/>
  <c r="J282" i="4"/>
  <c r="P282" i="4" s="1"/>
  <c r="J282" i="1"/>
  <c r="K282" i="1"/>
  <c r="E284" i="1"/>
  <c r="I283" i="1"/>
  <c r="K284" i="6"/>
  <c r="J284" i="6"/>
  <c r="E286" i="6"/>
  <c r="I285" i="6"/>
  <c r="P283" i="6"/>
  <c r="P282" i="5"/>
  <c r="L282" i="5"/>
  <c r="E285" i="5"/>
  <c r="I284" i="5"/>
  <c r="K283" i="5"/>
  <c r="J283" i="5"/>
  <c r="I283" i="4"/>
  <c r="E284" i="4"/>
  <c r="J285" i="12" l="1"/>
  <c r="P285" i="12" s="1"/>
  <c r="L286" i="12"/>
  <c r="K286" i="12" s="1"/>
  <c r="E288" i="12"/>
  <c r="I287" i="12"/>
  <c r="J285" i="11"/>
  <c r="P285" i="11" s="1"/>
  <c r="I287" i="11"/>
  <c r="E288" i="11"/>
  <c r="L286" i="11"/>
  <c r="K286" i="11" s="1"/>
  <c r="J285" i="9"/>
  <c r="P285" i="9" s="1"/>
  <c r="L286" i="9"/>
  <c r="K286" i="9" s="1"/>
  <c r="E288" i="9"/>
  <c r="I287" i="9"/>
  <c r="J285" i="8"/>
  <c r="P285" i="8" s="1"/>
  <c r="E288" i="8"/>
  <c r="L286" i="8"/>
  <c r="K286" i="8" s="1"/>
  <c r="E289" i="7"/>
  <c r="I288" i="7"/>
  <c r="P286" i="7"/>
  <c r="K283" i="1"/>
  <c r="J283" i="1"/>
  <c r="E285" i="1"/>
  <c r="I284" i="1"/>
  <c r="K283" i="4"/>
  <c r="J283" i="4"/>
  <c r="P283" i="4" s="1"/>
  <c r="P284" i="6"/>
  <c r="K285" i="6"/>
  <c r="J285" i="6"/>
  <c r="E287" i="6"/>
  <c r="I286" i="6"/>
  <c r="P283" i="5"/>
  <c r="L283" i="5"/>
  <c r="K284" i="5"/>
  <c r="J284" i="5"/>
  <c r="E286" i="5"/>
  <c r="I285" i="5"/>
  <c r="E285" i="4"/>
  <c r="I284" i="4"/>
  <c r="J286" i="12" l="1"/>
  <c r="P286" i="12" s="1"/>
  <c r="L287" i="12"/>
  <c r="K287" i="12" s="1"/>
  <c r="E289" i="12"/>
  <c r="I288" i="12"/>
  <c r="J286" i="11"/>
  <c r="P286" i="11" s="1"/>
  <c r="I288" i="11"/>
  <c r="E289" i="11"/>
  <c r="L287" i="11"/>
  <c r="K287" i="11" s="1"/>
  <c r="J286" i="9"/>
  <c r="P286" i="9" s="1"/>
  <c r="L287" i="9"/>
  <c r="K287" i="9" s="1"/>
  <c r="E289" i="9"/>
  <c r="I288" i="9"/>
  <c r="J286" i="8"/>
  <c r="P286" i="8" s="1"/>
  <c r="E289" i="8"/>
  <c r="L287" i="8"/>
  <c r="K287" i="8" s="1"/>
  <c r="I289" i="7"/>
  <c r="E290" i="7"/>
  <c r="P287" i="7"/>
  <c r="K284" i="1"/>
  <c r="J284" i="1"/>
  <c r="K284" i="4"/>
  <c r="J284" i="4"/>
  <c r="P284" i="4" s="1"/>
  <c r="E286" i="1"/>
  <c r="I285" i="1"/>
  <c r="P285" i="6"/>
  <c r="E288" i="6"/>
  <c r="I287" i="6"/>
  <c r="J286" i="6"/>
  <c r="K286" i="6"/>
  <c r="P284" i="5"/>
  <c r="L284" i="5"/>
  <c r="E287" i="5"/>
  <c r="I286" i="5"/>
  <c r="K285" i="5"/>
  <c r="J285" i="5"/>
  <c r="I285" i="4"/>
  <c r="E286" i="4"/>
  <c r="J287" i="12" l="1"/>
  <c r="P287" i="12" s="1"/>
  <c r="L288" i="12"/>
  <c r="K288" i="12" s="1"/>
  <c r="E290" i="12"/>
  <c r="I289" i="12"/>
  <c r="J287" i="11"/>
  <c r="P287" i="11" s="1"/>
  <c r="I289" i="11"/>
  <c r="E290" i="11"/>
  <c r="L288" i="11"/>
  <c r="K288" i="11" s="1"/>
  <c r="J287" i="9"/>
  <c r="P287" i="9" s="1"/>
  <c r="E290" i="9"/>
  <c r="I289" i="9"/>
  <c r="L288" i="9"/>
  <c r="K288" i="9" s="1"/>
  <c r="J287" i="8"/>
  <c r="P287" i="8" s="1"/>
  <c r="E290" i="8"/>
  <c r="L288" i="8"/>
  <c r="K288" i="8" s="1"/>
  <c r="I290" i="7"/>
  <c r="E291" i="7"/>
  <c r="P288" i="7"/>
  <c r="K285" i="1"/>
  <c r="J285" i="1"/>
  <c r="E287" i="1"/>
  <c r="I286" i="1"/>
  <c r="K285" i="4"/>
  <c r="J285" i="4"/>
  <c r="P285" i="4" s="1"/>
  <c r="P286" i="6"/>
  <c r="K287" i="6"/>
  <c r="J287" i="6"/>
  <c r="E289" i="6"/>
  <c r="I288" i="6"/>
  <c r="P285" i="5"/>
  <c r="L285" i="5"/>
  <c r="J286" i="5"/>
  <c r="K286" i="5"/>
  <c r="E288" i="5"/>
  <c r="I287" i="5"/>
  <c r="E287" i="4"/>
  <c r="I286" i="4"/>
  <c r="J288" i="12" l="1"/>
  <c r="P288" i="12" s="1"/>
  <c r="L289" i="12"/>
  <c r="K289" i="12" s="1"/>
  <c r="E291" i="12"/>
  <c r="I290" i="12"/>
  <c r="J288" i="11"/>
  <c r="P288" i="11" s="1"/>
  <c r="I290" i="11"/>
  <c r="E291" i="11"/>
  <c r="L289" i="11"/>
  <c r="K289" i="11" s="1"/>
  <c r="J288" i="9"/>
  <c r="P288" i="9" s="1"/>
  <c r="L289" i="9"/>
  <c r="K289" i="9" s="1"/>
  <c r="E291" i="9"/>
  <c r="I290" i="9"/>
  <c r="J288" i="8"/>
  <c r="P288" i="8" s="1"/>
  <c r="E291" i="8"/>
  <c r="L289" i="8"/>
  <c r="K289" i="8" s="1"/>
  <c r="P289" i="7"/>
  <c r="I291" i="7"/>
  <c r="E292" i="7"/>
  <c r="J286" i="1"/>
  <c r="K286" i="1"/>
  <c r="J286" i="4"/>
  <c r="K286" i="4"/>
  <c r="E288" i="1"/>
  <c r="I287" i="1"/>
  <c r="P287" i="6"/>
  <c r="K288" i="6"/>
  <c r="J288" i="6"/>
  <c r="I289" i="6"/>
  <c r="E290" i="6"/>
  <c r="L286" i="5"/>
  <c r="J287" i="5"/>
  <c r="K287" i="5"/>
  <c r="I288" i="5"/>
  <c r="E289" i="5"/>
  <c r="P286" i="5"/>
  <c r="I287" i="4"/>
  <c r="E288" i="4"/>
  <c r="J289" i="12" l="1"/>
  <c r="P289" i="12" s="1"/>
  <c r="L290" i="12"/>
  <c r="K290" i="12" s="1"/>
  <c r="E292" i="12"/>
  <c r="I291" i="12"/>
  <c r="J289" i="11"/>
  <c r="P289" i="11" s="1"/>
  <c r="I291" i="11"/>
  <c r="E292" i="11"/>
  <c r="L290" i="11"/>
  <c r="K290" i="11" s="1"/>
  <c r="J289" i="9"/>
  <c r="P289" i="9" s="1"/>
  <c r="L290" i="9"/>
  <c r="K290" i="9" s="1"/>
  <c r="E292" i="9"/>
  <c r="I291" i="9"/>
  <c r="J289" i="8"/>
  <c r="P289" i="8" s="1"/>
  <c r="L290" i="8"/>
  <c r="K290" i="8" s="1"/>
  <c r="E292" i="8"/>
  <c r="P290" i="7"/>
  <c r="I292" i="7"/>
  <c r="E293" i="7"/>
  <c r="E289" i="1"/>
  <c r="I288" i="1"/>
  <c r="P286" i="4"/>
  <c r="J287" i="1"/>
  <c r="K287" i="1"/>
  <c r="J287" i="4"/>
  <c r="P287" i="4" s="1"/>
  <c r="K287" i="4"/>
  <c r="P288" i="6"/>
  <c r="I290" i="6"/>
  <c r="E291" i="6"/>
  <c r="K289" i="6"/>
  <c r="J289" i="6"/>
  <c r="P287" i="5"/>
  <c r="L287" i="5"/>
  <c r="I289" i="5"/>
  <c r="E290" i="5"/>
  <c r="J288" i="5"/>
  <c r="K288" i="5"/>
  <c r="E289" i="4"/>
  <c r="I288" i="4"/>
  <c r="J290" i="12" l="1"/>
  <c r="P290" i="12" s="1"/>
  <c r="L291" i="12"/>
  <c r="K291" i="12" s="1"/>
  <c r="E293" i="12"/>
  <c r="I292" i="12"/>
  <c r="J290" i="11"/>
  <c r="P290" i="11" s="1"/>
  <c r="I292" i="11"/>
  <c r="E293" i="11"/>
  <c r="L291" i="11"/>
  <c r="K291" i="11" s="1"/>
  <c r="J290" i="9"/>
  <c r="P290" i="9" s="1"/>
  <c r="L291" i="9"/>
  <c r="K291" i="9" s="1"/>
  <c r="E293" i="9"/>
  <c r="I292" i="9"/>
  <c r="J290" i="8"/>
  <c r="P290" i="8" s="1"/>
  <c r="E293" i="8"/>
  <c r="L291" i="8"/>
  <c r="K291" i="8" s="1"/>
  <c r="P291" i="7"/>
  <c r="E294" i="7"/>
  <c r="I293" i="7"/>
  <c r="J288" i="4"/>
  <c r="K288" i="4"/>
  <c r="J288" i="1"/>
  <c r="K288" i="1"/>
  <c r="E290" i="1"/>
  <c r="I289" i="1"/>
  <c r="P289" i="6"/>
  <c r="I291" i="6"/>
  <c r="E292" i="6"/>
  <c r="K290" i="6"/>
  <c r="J290" i="6"/>
  <c r="L288" i="5"/>
  <c r="I290" i="5"/>
  <c r="E291" i="5"/>
  <c r="P288" i="5"/>
  <c r="J289" i="5"/>
  <c r="K289" i="5"/>
  <c r="I289" i="4"/>
  <c r="E290" i="4"/>
  <c r="J291" i="12" l="1"/>
  <c r="P291" i="12" s="1"/>
  <c r="L292" i="12"/>
  <c r="K292" i="12" s="1"/>
  <c r="E294" i="12"/>
  <c r="I293" i="12"/>
  <c r="J291" i="11"/>
  <c r="P291" i="11" s="1"/>
  <c r="I293" i="11"/>
  <c r="E294" i="11"/>
  <c r="L292" i="11"/>
  <c r="K292" i="11" s="1"/>
  <c r="J291" i="9"/>
  <c r="P291" i="9" s="1"/>
  <c r="L292" i="9"/>
  <c r="K292" i="9" s="1"/>
  <c r="E294" i="9"/>
  <c r="I293" i="9"/>
  <c r="J291" i="8"/>
  <c r="P291" i="8" s="1"/>
  <c r="E294" i="8"/>
  <c r="L292" i="8"/>
  <c r="K292" i="8" s="1"/>
  <c r="E295" i="7"/>
  <c r="I294" i="7"/>
  <c r="P292" i="7"/>
  <c r="E291" i="1"/>
  <c r="I290" i="1"/>
  <c r="J289" i="1"/>
  <c r="K289" i="1"/>
  <c r="K289" i="4"/>
  <c r="J289" i="4"/>
  <c r="P289" i="4" s="1"/>
  <c r="P288" i="4"/>
  <c r="P290" i="6"/>
  <c r="E293" i="6"/>
  <c r="I292" i="6"/>
  <c r="J291" i="6"/>
  <c r="K291" i="6"/>
  <c r="P289" i="5"/>
  <c r="L289" i="5"/>
  <c r="I291" i="5"/>
  <c r="E292" i="5"/>
  <c r="K290" i="5"/>
  <c r="J290" i="5"/>
  <c r="E291" i="4"/>
  <c r="I290" i="4"/>
  <c r="J292" i="12" l="1"/>
  <c r="P292" i="12" s="1"/>
  <c r="L293" i="12"/>
  <c r="K293" i="12" s="1"/>
  <c r="E295" i="12"/>
  <c r="I294" i="12"/>
  <c r="J292" i="11"/>
  <c r="P292" i="11" s="1"/>
  <c r="I294" i="11"/>
  <c r="E295" i="11"/>
  <c r="L293" i="11"/>
  <c r="K293" i="11" s="1"/>
  <c r="J292" i="9"/>
  <c r="P292" i="9" s="1"/>
  <c r="L293" i="9"/>
  <c r="K293" i="9" s="1"/>
  <c r="E295" i="9"/>
  <c r="I294" i="9"/>
  <c r="J292" i="8"/>
  <c r="P292" i="8" s="1"/>
  <c r="E295" i="8"/>
  <c r="L293" i="8"/>
  <c r="K293" i="8" s="1"/>
  <c r="P293" i="7"/>
  <c r="E296" i="7"/>
  <c r="I295" i="7"/>
  <c r="J290" i="1"/>
  <c r="K290" i="1"/>
  <c r="K290" i="4"/>
  <c r="J290" i="4"/>
  <c r="P290" i="4" s="1"/>
  <c r="E292" i="1"/>
  <c r="I291" i="1"/>
  <c r="P291" i="6"/>
  <c r="K292" i="6"/>
  <c r="J292" i="6"/>
  <c r="E294" i="6"/>
  <c r="I293" i="6"/>
  <c r="P290" i="5"/>
  <c r="L290" i="5"/>
  <c r="E293" i="5"/>
  <c r="I292" i="5"/>
  <c r="K291" i="5"/>
  <c r="J291" i="5"/>
  <c r="I291" i="4"/>
  <c r="E292" i="4"/>
  <c r="J293" i="12" l="1"/>
  <c r="P293" i="12" s="1"/>
  <c r="L294" i="12"/>
  <c r="K294" i="12" s="1"/>
  <c r="E296" i="12"/>
  <c r="I295" i="12"/>
  <c r="J293" i="11"/>
  <c r="P293" i="11" s="1"/>
  <c r="I295" i="11"/>
  <c r="E296" i="11"/>
  <c r="L294" i="11"/>
  <c r="K294" i="11" s="1"/>
  <c r="J293" i="9"/>
  <c r="P293" i="9" s="1"/>
  <c r="L294" i="9"/>
  <c r="K294" i="9" s="1"/>
  <c r="E296" i="9"/>
  <c r="I295" i="9"/>
  <c r="J293" i="8"/>
  <c r="P293" i="8" s="1"/>
  <c r="E296" i="8"/>
  <c r="L294" i="8"/>
  <c r="K294" i="8" s="1"/>
  <c r="E297" i="7"/>
  <c r="I296" i="7"/>
  <c r="P294" i="7"/>
  <c r="E293" i="1"/>
  <c r="I292" i="1"/>
  <c r="K291" i="1"/>
  <c r="J291" i="1"/>
  <c r="K291" i="4"/>
  <c r="J291" i="4"/>
  <c r="P291" i="4" s="1"/>
  <c r="P292" i="6"/>
  <c r="E295" i="6"/>
  <c r="I294" i="6"/>
  <c r="K293" i="6"/>
  <c r="J293" i="6"/>
  <c r="P291" i="5"/>
  <c r="L291" i="5"/>
  <c r="K292" i="5"/>
  <c r="J292" i="5"/>
  <c r="E294" i="5"/>
  <c r="I293" i="5"/>
  <c r="E293" i="4"/>
  <c r="I292" i="4"/>
  <c r="J294" i="12" l="1"/>
  <c r="P294" i="12" s="1"/>
  <c r="L295" i="12"/>
  <c r="K295" i="12" s="1"/>
  <c r="E297" i="12"/>
  <c r="I296" i="12"/>
  <c r="J294" i="11"/>
  <c r="P294" i="11" s="1"/>
  <c r="I296" i="11"/>
  <c r="E297" i="11"/>
  <c r="L295" i="11"/>
  <c r="K295" i="11" s="1"/>
  <c r="L295" i="9"/>
  <c r="K295" i="9" s="1"/>
  <c r="E297" i="9"/>
  <c r="I296" i="9"/>
  <c r="J294" i="9"/>
  <c r="P294" i="9" s="1"/>
  <c r="J294" i="8"/>
  <c r="P294" i="8" s="1"/>
  <c r="E297" i="8"/>
  <c r="L295" i="8"/>
  <c r="K295" i="8" s="1"/>
  <c r="I297" i="7"/>
  <c r="E298" i="7"/>
  <c r="P295" i="7"/>
  <c r="K292" i="4"/>
  <c r="J292" i="4"/>
  <c r="P292" i="4" s="1"/>
  <c r="K292" i="1"/>
  <c r="J292" i="1"/>
  <c r="E294" i="1"/>
  <c r="I293" i="1"/>
  <c r="P293" i="6"/>
  <c r="K294" i="6"/>
  <c r="J294" i="6"/>
  <c r="E296" i="6"/>
  <c r="I295" i="6"/>
  <c r="P292" i="5"/>
  <c r="L292" i="5"/>
  <c r="K293" i="5"/>
  <c r="J293" i="5"/>
  <c r="E295" i="5"/>
  <c r="I294" i="5"/>
  <c r="I293" i="4"/>
  <c r="E294" i="4"/>
  <c r="J295" i="12" l="1"/>
  <c r="P295" i="12" s="1"/>
  <c r="L296" i="12"/>
  <c r="K296" i="12" s="1"/>
  <c r="E298" i="12"/>
  <c r="I297" i="12"/>
  <c r="J295" i="11"/>
  <c r="P295" i="11" s="1"/>
  <c r="I297" i="11"/>
  <c r="E298" i="11"/>
  <c r="L296" i="11"/>
  <c r="K296" i="11" s="1"/>
  <c r="J295" i="9"/>
  <c r="P295" i="9" s="1"/>
  <c r="E298" i="9"/>
  <c r="I297" i="9"/>
  <c r="L296" i="9"/>
  <c r="K296" i="9" s="1"/>
  <c r="J295" i="8"/>
  <c r="P295" i="8" s="1"/>
  <c r="E298" i="8"/>
  <c r="L296" i="8"/>
  <c r="K296" i="8" s="1"/>
  <c r="I298" i="7"/>
  <c r="E299" i="7"/>
  <c r="P297" i="7"/>
  <c r="P296" i="7"/>
  <c r="E295" i="1"/>
  <c r="I294" i="1"/>
  <c r="K293" i="1"/>
  <c r="J293" i="1"/>
  <c r="K293" i="4"/>
  <c r="J293" i="4"/>
  <c r="P293" i="4" s="1"/>
  <c r="P294" i="6"/>
  <c r="I296" i="6"/>
  <c r="E297" i="6"/>
  <c r="K295" i="6"/>
  <c r="J295" i="6"/>
  <c r="P293" i="5"/>
  <c r="L293" i="5"/>
  <c r="J294" i="5"/>
  <c r="K294" i="5"/>
  <c r="E296" i="5"/>
  <c r="I295" i="5"/>
  <c r="E295" i="4"/>
  <c r="I294" i="4"/>
  <c r="J296" i="12" l="1"/>
  <c r="P296" i="12" s="1"/>
  <c r="L297" i="12"/>
  <c r="K297" i="12" s="1"/>
  <c r="E299" i="12"/>
  <c r="I298" i="12"/>
  <c r="J296" i="11"/>
  <c r="P296" i="11" s="1"/>
  <c r="I298" i="11"/>
  <c r="E299" i="11"/>
  <c r="L297" i="11"/>
  <c r="K297" i="11" s="1"/>
  <c r="J296" i="9"/>
  <c r="P296" i="9" s="1"/>
  <c r="L297" i="9"/>
  <c r="K297" i="9" s="1"/>
  <c r="E299" i="9"/>
  <c r="I298" i="9"/>
  <c r="J296" i="8"/>
  <c r="P296" i="8" s="1"/>
  <c r="E299" i="8"/>
  <c r="L297" i="8"/>
  <c r="K297" i="8" s="1"/>
  <c r="I299" i="7"/>
  <c r="E300" i="7"/>
  <c r="J294" i="4"/>
  <c r="K294" i="4"/>
  <c r="J294" i="1"/>
  <c r="K294" i="1"/>
  <c r="E296" i="1"/>
  <c r="I295" i="1"/>
  <c r="P295" i="6"/>
  <c r="I297" i="6"/>
  <c r="E298" i="6"/>
  <c r="K296" i="6"/>
  <c r="J296" i="6"/>
  <c r="L294" i="5"/>
  <c r="J295" i="5"/>
  <c r="K295" i="5"/>
  <c r="I296" i="5"/>
  <c r="E297" i="5"/>
  <c r="P294" i="5"/>
  <c r="I295" i="4"/>
  <c r="E296" i="4"/>
  <c r="J297" i="12" l="1"/>
  <c r="P297" i="12" s="1"/>
  <c r="L298" i="12"/>
  <c r="K298" i="12" s="1"/>
  <c r="E300" i="12"/>
  <c r="I299" i="12"/>
  <c r="J297" i="11"/>
  <c r="P297" i="11" s="1"/>
  <c r="I299" i="11"/>
  <c r="E300" i="11"/>
  <c r="L298" i="11"/>
  <c r="K298" i="11" s="1"/>
  <c r="J297" i="9"/>
  <c r="P297" i="9" s="1"/>
  <c r="E300" i="9"/>
  <c r="I299" i="9"/>
  <c r="L298" i="9"/>
  <c r="K298" i="9" s="1"/>
  <c r="J297" i="8"/>
  <c r="P297" i="8" s="1"/>
  <c r="E300" i="8"/>
  <c r="L298" i="8"/>
  <c r="K298" i="8" s="1"/>
  <c r="P298" i="7"/>
  <c r="I300" i="7"/>
  <c r="E301" i="7"/>
  <c r="E297" i="1"/>
  <c r="I296" i="1"/>
  <c r="J295" i="1"/>
  <c r="K295" i="1"/>
  <c r="J295" i="4"/>
  <c r="P295" i="4" s="1"/>
  <c r="K295" i="4"/>
  <c r="P294" i="4"/>
  <c r="P296" i="6"/>
  <c r="I298" i="6"/>
  <c r="E299" i="6"/>
  <c r="J297" i="6"/>
  <c r="K297" i="6"/>
  <c r="L295" i="5"/>
  <c r="I297" i="5"/>
  <c r="E298" i="5"/>
  <c r="J296" i="5"/>
  <c r="K296" i="5"/>
  <c r="P295" i="5"/>
  <c r="E297" i="4"/>
  <c r="I296" i="4"/>
  <c r="J298" i="12" l="1"/>
  <c r="P298" i="12" s="1"/>
  <c r="L299" i="12"/>
  <c r="K299" i="12" s="1"/>
  <c r="E301" i="12"/>
  <c r="I300" i="12"/>
  <c r="J298" i="11"/>
  <c r="P298" i="11" s="1"/>
  <c r="I300" i="11"/>
  <c r="E301" i="11"/>
  <c r="L299" i="11"/>
  <c r="K299" i="11" s="1"/>
  <c r="J298" i="9"/>
  <c r="P298" i="9" s="1"/>
  <c r="L299" i="9"/>
  <c r="K299" i="9" s="1"/>
  <c r="E301" i="9"/>
  <c r="I300" i="9"/>
  <c r="J298" i="8"/>
  <c r="P298" i="8" s="1"/>
  <c r="L299" i="8"/>
  <c r="K299" i="8" s="1"/>
  <c r="E301" i="8"/>
  <c r="P299" i="7"/>
  <c r="E302" i="7"/>
  <c r="I301" i="7"/>
  <c r="J296" i="4"/>
  <c r="K296" i="4"/>
  <c r="J296" i="1"/>
  <c r="K296" i="1"/>
  <c r="E298" i="1"/>
  <c r="I297" i="1"/>
  <c r="P297" i="6"/>
  <c r="I299" i="6"/>
  <c r="E300" i="6"/>
  <c r="K298" i="6"/>
  <c r="J298" i="6"/>
  <c r="P296" i="5"/>
  <c r="L296" i="5"/>
  <c r="I298" i="5"/>
  <c r="E299" i="5"/>
  <c r="J297" i="5"/>
  <c r="K297" i="5"/>
  <c r="I297" i="4"/>
  <c r="E298" i="4"/>
  <c r="J299" i="12" l="1"/>
  <c r="P299" i="12" s="1"/>
  <c r="L300" i="12"/>
  <c r="K300" i="12" s="1"/>
  <c r="E302" i="12"/>
  <c r="I301" i="12"/>
  <c r="J299" i="11"/>
  <c r="P299" i="11" s="1"/>
  <c r="I301" i="11"/>
  <c r="E302" i="11"/>
  <c r="L300" i="11"/>
  <c r="K300" i="11" s="1"/>
  <c r="J299" i="9"/>
  <c r="P299" i="9" s="1"/>
  <c r="L300" i="9"/>
  <c r="K300" i="9" s="1"/>
  <c r="E302" i="9"/>
  <c r="I301" i="9"/>
  <c r="J299" i="8"/>
  <c r="P299" i="8" s="1"/>
  <c r="E302" i="8"/>
  <c r="L300" i="8"/>
  <c r="K300" i="8" s="1"/>
  <c r="E303" i="7"/>
  <c r="I302" i="7"/>
  <c r="P300" i="7"/>
  <c r="E299" i="1"/>
  <c r="I298" i="1"/>
  <c r="J297" i="1"/>
  <c r="K297" i="1"/>
  <c r="K297" i="4"/>
  <c r="J297" i="4"/>
  <c r="P297" i="4" s="1"/>
  <c r="P296" i="4"/>
  <c r="P298" i="6"/>
  <c r="K299" i="6"/>
  <c r="J299" i="6"/>
  <c r="E301" i="6"/>
  <c r="I300" i="6"/>
  <c r="L297" i="5"/>
  <c r="P297" i="5"/>
  <c r="I299" i="5"/>
  <c r="E300" i="5"/>
  <c r="K298" i="5"/>
  <c r="J298" i="5"/>
  <c r="E299" i="4"/>
  <c r="I298" i="4"/>
  <c r="J300" i="12" l="1"/>
  <c r="P300" i="12" s="1"/>
  <c r="L301" i="12"/>
  <c r="K301" i="12" s="1"/>
  <c r="E303" i="12"/>
  <c r="I302" i="12"/>
  <c r="J300" i="11"/>
  <c r="P300" i="11" s="1"/>
  <c r="I302" i="11"/>
  <c r="E303" i="11"/>
  <c r="L301" i="11"/>
  <c r="K301" i="11" s="1"/>
  <c r="J300" i="9"/>
  <c r="P300" i="9" s="1"/>
  <c r="L301" i="9"/>
  <c r="K301" i="9" s="1"/>
  <c r="E303" i="9"/>
  <c r="I302" i="9"/>
  <c r="J300" i="8"/>
  <c r="P300" i="8" s="1"/>
  <c r="L301" i="8"/>
  <c r="K301" i="8" s="1"/>
  <c r="E303" i="8"/>
  <c r="P301" i="7"/>
  <c r="E304" i="7"/>
  <c r="I303" i="7"/>
  <c r="K298" i="4"/>
  <c r="J298" i="4"/>
  <c r="P298" i="4" s="1"/>
  <c r="J298" i="1"/>
  <c r="K298" i="1"/>
  <c r="E300" i="1"/>
  <c r="I299" i="1"/>
  <c r="P299" i="6"/>
  <c r="E302" i="6"/>
  <c r="I301" i="6"/>
  <c r="K300" i="6"/>
  <c r="J300" i="6"/>
  <c r="P298" i="5"/>
  <c r="L298" i="5"/>
  <c r="K299" i="5"/>
  <c r="J299" i="5"/>
  <c r="E301" i="5"/>
  <c r="I300" i="5"/>
  <c r="I299" i="4"/>
  <c r="E300" i="4"/>
  <c r="J301" i="12" l="1"/>
  <c r="P301" i="12" s="1"/>
  <c r="L302" i="12"/>
  <c r="K302" i="12" s="1"/>
  <c r="E304" i="12"/>
  <c r="I303" i="12"/>
  <c r="J301" i="11"/>
  <c r="P301" i="11" s="1"/>
  <c r="L302" i="11"/>
  <c r="K302" i="11" s="1"/>
  <c r="I303" i="11"/>
  <c r="E304" i="11"/>
  <c r="J301" i="9"/>
  <c r="P301" i="9" s="1"/>
  <c r="L302" i="9"/>
  <c r="K302" i="9" s="1"/>
  <c r="E304" i="9"/>
  <c r="I303" i="9"/>
  <c r="J301" i="8"/>
  <c r="P301" i="8" s="1"/>
  <c r="E304" i="8"/>
  <c r="L302" i="8"/>
  <c r="K302" i="8" s="1"/>
  <c r="E305" i="7"/>
  <c r="I304" i="7"/>
  <c r="P302" i="7"/>
  <c r="E301" i="1"/>
  <c r="I300" i="1"/>
  <c r="K299" i="1"/>
  <c r="J299" i="1"/>
  <c r="K299" i="4"/>
  <c r="J299" i="4"/>
  <c r="P299" i="4" s="1"/>
  <c r="P300" i="6"/>
  <c r="K301" i="6"/>
  <c r="J301" i="6"/>
  <c r="E303" i="6"/>
  <c r="I302" i="6"/>
  <c r="P299" i="5"/>
  <c r="L299" i="5"/>
  <c r="K300" i="5"/>
  <c r="J300" i="5"/>
  <c r="E302" i="5"/>
  <c r="I301" i="5"/>
  <c r="E301" i="4"/>
  <c r="I300" i="4"/>
  <c r="J302" i="12" l="1"/>
  <c r="P302" i="12" s="1"/>
  <c r="L303" i="12"/>
  <c r="K303" i="12" s="1"/>
  <c r="E305" i="12"/>
  <c r="I304" i="12"/>
  <c r="J302" i="11"/>
  <c r="P302" i="11" s="1"/>
  <c r="I304" i="11"/>
  <c r="E305" i="11"/>
  <c r="L303" i="11"/>
  <c r="K303" i="11" s="1"/>
  <c r="J302" i="9"/>
  <c r="P302" i="9" s="1"/>
  <c r="L303" i="9"/>
  <c r="K303" i="9" s="1"/>
  <c r="E305" i="9"/>
  <c r="I304" i="9"/>
  <c r="J302" i="8"/>
  <c r="P302" i="8" s="1"/>
  <c r="L303" i="8"/>
  <c r="K303" i="8" s="1"/>
  <c r="E305" i="8"/>
  <c r="I305" i="7"/>
  <c r="E306" i="7"/>
  <c r="P303" i="7"/>
  <c r="K300" i="4"/>
  <c r="J300" i="4"/>
  <c r="P300" i="4" s="1"/>
  <c r="K300" i="1"/>
  <c r="J300" i="1"/>
  <c r="E302" i="1"/>
  <c r="I301" i="1"/>
  <c r="P301" i="6"/>
  <c r="J302" i="6"/>
  <c r="K302" i="6"/>
  <c r="E304" i="6"/>
  <c r="I303" i="6"/>
  <c r="P300" i="5"/>
  <c r="L300" i="5"/>
  <c r="K301" i="5"/>
  <c r="J301" i="5"/>
  <c r="E303" i="5"/>
  <c r="I302" i="5"/>
  <c r="I301" i="4"/>
  <c r="E302" i="4"/>
  <c r="J303" i="12" l="1"/>
  <c r="P303" i="12" s="1"/>
  <c r="L304" i="12"/>
  <c r="K304" i="12" s="1"/>
  <c r="E306" i="12"/>
  <c r="I305" i="12"/>
  <c r="J303" i="11"/>
  <c r="P303" i="11" s="1"/>
  <c r="I305" i="11"/>
  <c r="E306" i="11"/>
  <c r="L304" i="11"/>
  <c r="K304" i="11" s="1"/>
  <c r="J303" i="9"/>
  <c r="P303" i="9" s="1"/>
  <c r="E306" i="9"/>
  <c r="I305" i="9"/>
  <c r="L304" i="9"/>
  <c r="K304" i="9" s="1"/>
  <c r="L304" i="8"/>
  <c r="K304" i="8" s="1"/>
  <c r="J303" i="8"/>
  <c r="P303" i="8" s="1"/>
  <c r="E306" i="8"/>
  <c r="I306" i="7"/>
  <c r="E307" i="7"/>
  <c r="P304" i="7"/>
  <c r="K301" i="1"/>
  <c r="J301" i="1"/>
  <c r="E303" i="1"/>
  <c r="I302" i="1"/>
  <c r="K301" i="4"/>
  <c r="J301" i="4"/>
  <c r="P301" i="4" s="1"/>
  <c r="J303" i="6"/>
  <c r="K303" i="6"/>
  <c r="I304" i="6"/>
  <c r="E305" i="6"/>
  <c r="P302" i="6"/>
  <c r="P301" i="5"/>
  <c r="L301" i="5"/>
  <c r="J302" i="5"/>
  <c r="K302" i="5"/>
  <c r="E304" i="5"/>
  <c r="I303" i="5"/>
  <c r="E303" i="4"/>
  <c r="I302" i="4"/>
  <c r="J304" i="12" l="1"/>
  <c r="P304" i="12" s="1"/>
  <c r="L305" i="12"/>
  <c r="K305" i="12" s="1"/>
  <c r="E307" i="12"/>
  <c r="I306" i="12"/>
  <c r="J304" i="11"/>
  <c r="P304" i="11" s="1"/>
  <c r="I306" i="11"/>
  <c r="E307" i="11"/>
  <c r="L305" i="11"/>
  <c r="K305" i="11" s="1"/>
  <c r="J304" i="9"/>
  <c r="P304" i="9" s="1"/>
  <c r="L305" i="9"/>
  <c r="K305" i="9" s="1"/>
  <c r="E307" i="9"/>
  <c r="I306" i="9"/>
  <c r="J304" i="8"/>
  <c r="P304" i="8" s="1"/>
  <c r="E307" i="8"/>
  <c r="L305" i="8"/>
  <c r="K305" i="8" s="1"/>
  <c r="P305" i="7"/>
  <c r="I307" i="7"/>
  <c r="E308" i="7"/>
  <c r="J302" i="1"/>
  <c r="K302" i="1"/>
  <c r="E304" i="1"/>
  <c r="I303" i="1"/>
  <c r="J302" i="4"/>
  <c r="K302" i="4"/>
  <c r="I305" i="6"/>
  <c r="E306" i="6"/>
  <c r="K304" i="6"/>
  <c r="J304" i="6"/>
  <c r="P303" i="6"/>
  <c r="L302" i="5"/>
  <c r="K303" i="5"/>
  <c r="J303" i="5"/>
  <c r="I304" i="5"/>
  <c r="E305" i="5"/>
  <c r="P302" i="5"/>
  <c r="I303" i="4"/>
  <c r="E304" i="4"/>
  <c r="J305" i="12" l="1"/>
  <c r="P305" i="12" s="1"/>
  <c r="L306" i="12"/>
  <c r="K306" i="12" s="1"/>
  <c r="E308" i="12"/>
  <c r="I307" i="12"/>
  <c r="J305" i="11"/>
  <c r="P305" i="11" s="1"/>
  <c r="I307" i="11"/>
  <c r="E308" i="11"/>
  <c r="L306" i="11"/>
  <c r="K306" i="11" s="1"/>
  <c r="E308" i="9"/>
  <c r="I307" i="9"/>
  <c r="L306" i="9"/>
  <c r="K306" i="9" s="1"/>
  <c r="J305" i="9"/>
  <c r="P305" i="9" s="1"/>
  <c r="L306" i="8"/>
  <c r="K306" i="8" s="1"/>
  <c r="J305" i="8"/>
  <c r="P305" i="8" s="1"/>
  <c r="E308" i="8"/>
  <c r="P306" i="7"/>
  <c r="I308" i="7"/>
  <c r="E309" i="7"/>
  <c r="J303" i="1"/>
  <c r="K303" i="1"/>
  <c r="P302" i="4"/>
  <c r="E305" i="1"/>
  <c r="I304" i="1"/>
  <c r="J303" i="4"/>
  <c r="P303" i="4" s="1"/>
  <c r="K303" i="4"/>
  <c r="P304" i="6"/>
  <c r="I306" i="6"/>
  <c r="E307" i="6"/>
  <c r="J305" i="6"/>
  <c r="K305" i="6"/>
  <c r="P303" i="5"/>
  <c r="L303" i="5"/>
  <c r="I305" i="5"/>
  <c r="E306" i="5"/>
  <c r="J304" i="5"/>
  <c r="K304" i="5"/>
  <c r="E305" i="4"/>
  <c r="I304" i="4"/>
  <c r="J306" i="12" l="1"/>
  <c r="P306" i="12" s="1"/>
  <c r="L307" i="12"/>
  <c r="K307" i="12" s="1"/>
  <c r="E309" i="12"/>
  <c r="I308" i="12"/>
  <c r="J306" i="11"/>
  <c r="P306" i="11" s="1"/>
  <c r="I308" i="11"/>
  <c r="E309" i="11"/>
  <c r="L307" i="11"/>
  <c r="K307" i="11" s="1"/>
  <c r="J306" i="9"/>
  <c r="P306" i="9" s="1"/>
  <c r="L307" i="9"/>
  <c r="J307" i="9" s="1"/>
  <c r="E309" i="9"/>
  <c r="I308" i="9"/>
  <c r="J306" i="8"/>
  <c r="P306" i="8" s="1"/>
  <c r="E309" i="8"/>
  <c r="L307" i="8"/>
  <c r="K307" i="8" s="1"/>
  <c r="P307" i="7"/>
  <c r="E310" i="7"/>
  <c r="I309" i="7"/>
  <c r="J304" i="1"/>
  <c r="K304" i="1"/>
  <c r="E306" i="1"/>
  <c r="I305" i="1"/>
  <c r="J304" i="4"/>
  <c r="K304" i="4"/>
  <c r="P305" i="6"/>
  <c r="I307" i="6"/>
  <c r="E308" i="6"/>
  <c r="K306" i="6"/>
  <c r="J306" i="6"/>
  <c r="P304" i="5"/>
  <c r="L304" i="5"/>
  <c r="I306" i="5"/>
  <c r="E307" i="5"/>
  <c r="J305" i="5"/>
  <c r="K305" i="5"/>
  <c r="I305" i="4"/>
  <c r="E306" i="4"/>
  <c r="J307" i="12" l="1"/>
  <c r="P307" i="12" s="1"/>
  <c r="L308" i="12"/>
  <c r="K308" i="12" s="1"/>
  <c r="E310" i="12"/>
  <c r="I309" i="12"/>
  <c r="J307" i="11"/>
  <c r="P307" i="11" s="1"/>
  <c r="I309" i="11"/>
  <c r="E310" i="11"/>
  <c r="L308" i="11"/>
  <c r="K308" i="11" s="1"/>
  <c r="K307" i="9"/>
  <c r="P307" i="9" s="1"/>
  <c r="L308" i="9"/>
  <c r="K308" i="9" s="1"/>
  <c r="E310" i="9"/>
  <c r="I309" i="9"/>
  <c r="J307" i="8"/>
  <c r="P307" i="8" s="1"/>
  <c r="E310" i="8"/>
  <c r="L308" i="8"/>
  <c r="K308" i="8" s="1"/>
  <c r="P308" i="7"/>
  <c r="E311" i="7"/>
  <c r="I310" i="7"/>
  <c r="P304" i="4"/>
  <c r="J305" i="1"/>
  <c r="K305" i="1"/>
  <c r="E307" i="1"/>
  <c r="I306" i="1"/>
  <c r="K305" i="4"/>
  <c r="J305" i="4"/>
  <c r="P305" i="4" s="1"/>
  <c r="P306" i="6"/>
  <c r="E309" i="6"/>
  <c r="I308" i="6"/>
  <c r="K307" i="6"/>
  <c r="J307" i="6"/>
  <c r="P305" i="5"/>
  <c r="L305" i="5"/>
  <c r="I307" i="5"/>
  <c r="E308" i="5"/>
  <c r="K306" i="5"/>
  <c r="J306" i="5"/>
  <c r="E307" i="4"/>
  <c r="I306" i="4"/>
  <c r="J308" i="12" l="1"/>
  <c r="P308" i="12" s="1"/>
  <c r="L309" i="12"/>
  <c r="K309" i="12" s="1"/>
  <c r="E311" i="12"/>
  <c r="I310" i="12"/>
  <c r="J308" i="11"/>
  <c r="P308" i="11" s="1"/>
  <c r="I310" i="11"/>
  <c r="E311" i="11"/>
  <c r="L309" i="11"/>
  <c r="K309" i="11" s="1"/>
  <c r="J308" i="9"/>
  <c r="P308" i="9" s="1"/>
  <c r="E311" i="9"/>
  <c r="I310" i="9"/>
  <c r="L309" i="9"/>
  <c r="K309" i="9" s="1"/>
  <c r="J308" i="8"/>
  <c r="P308" i="8" s="1"/>
  <c r="E311" i="8"/>
  <c r="L309" i="8"/>
  <c r="K309" i="8" s="1"/>
  <c r="E312" i="7"/>
  <c r="I311" i="7"/>
  <c r="P309" i="7"/>
  <c r="J306" i="1"/>
  <c r="K306" i="1"/>
  <c r="E308" i="1"/>
  <c r="I307" i="1"/>
  <c r="K306" i="4"/>
  <c r="J306" i="4"/>
  <c r="P306" i="4" s="1"/>
  <c r="P307" i="6"/>
  <c r="K308" i="6"/>
  <c r="J308" i="6"/>
  <c r="E310" i="6"/>
  <c r="I309" i="6"/>
  <c r="P306" i="5"/>
  <c r="L306" i="5"/>
  <c r="E309" i="5"/>
  <c r="I308" i="5"/>
  <c r="K307" i="5"/>
  <c r="J307" i="5"/>
  <c r="I307" i="4"/>
  <c r="E308" i="4"/>
  <c r="J309" i="12" l="1"/>
  <c r="P309" i="12" s="1"/>
  <c r="L310" i="12"/>
  <c r="K310" i="12" s="1"/>
  <c r="E312" i="12"/>
  <c r="I311" i="12"/>
  <c r="J309" i="11"/>
  <c r="P309" i="11" s="1"/>
  <c r="I311" i="11"/>
  <c r="E312" i="11"/>
  <c r="L310" i="11"/>
  <c r="K310" i="11" s="1"/>
  <c r="J309" i="9"/>
  <c r="P309" i="9" s="1"/>
  <c r="L310" i="9"/>
  <c r="K310" i="9" s="1"/>
  <c r="E312" i="9"/>
  <c r="I311" i="9"/>
  <c r="J309" i="8"/>
  <c r="P309" i="8" s="1"/>
  <c r="L310" i="8"/>
  <c r="K310" i="8" s="1"/>
  <c r="E312" i="8"/>
  <c r="E313" i="7"/>
  <c r="I312" i="7"/>
  <c r="P310" i="7"/>
  <c r="K307" i="1"/>
  <c r="J307" i="1"/>
  <c r="E309" i="1"/>
  <c r="I308" i="1"/>
  <c r="K307" i="4"/>
  <c r="J307" i="4"/>
  <c r="P307" i="4" s="1"/>
  <c r="P308" i="6"/>
  <c r="E311" i="6"/>
  <c r="I310" i="6"/>
  <c r="K309" i="6"/>
  <c r="J309" i="6"/>
  <c r="P307" i="5"/>
  <c r="L307" i="5"/>
  <c r="K308" i="5"/>
  <c r="J308" i="5"/>
  <c r="E310" i="5"/>
  <c r="I309" i="5"/>
  <c r="E309" i="4"/>
  <c r="I308" i="4"/>
  <c r="J310" i="12" l="1"/>
  <c r="P310" i="12" s="1"/>
  <c r="L311" i="12"/>
  <c r="K311" i="12" s="1"/>
  <c r="E313" i="12"/>
  <c r="I312" i="12"/>
  <c r="J310" i="11"/>
  <c r="P310" i="11" s="1"/>
  <c r="I312" i="11"/>
  <c r="E313" i="11"/>
  <c r="L311" i="11"/>
  <c r="K311" i="11" s="1"/>
  <c r="J310" i="9"/>
  <c r="P310" i="9" s="1"/>
  <c r="L311" i="9"/>
  <c r="K311" i="9" s="1"/>
  <c r="E313" i="9"/>
  <c r="I312" i="9"/>
  <c r="J310" i="8"/>
  <c r="P310" i="8" s="1"/>
  <c r="E313" i="8"/>
  <c r="L311" i="8"/>
  <c r="K311" i="8" s="1"/>
  <c r="I313" i="7"/>
  <c r="E314" i="7"/>
  <c r="P311" i="7"/>
  <c r="K308" i="1"/>
  <c r="J308" i="1"/>
  <c r="E310" i="1"/>
  <c r="I309" i="1"/>
  <c r="K308" i="4"/>
  <c r="J308" i="4"/>
  <c r="P308" i="4" s="1"/>
  <c r="P309" i="6"/>
  <c r="K310" i="6"/>
  <c r="J310" i="6"/>
  <c r="E312" i="6"/>
  <c r="I311" i="6"/>
  <c r="P308" i="5"/>
  <c r="L308" i="5"/>
  <c r="K309" i="5"/>
  <c r="J309" i="5"/>
  <c r="E311" i="5"/>
  <c r="I310" i="5"/>
  <c r="I309" i="4"/>
  <c r="E310" i="4"/>
  <c r="J311" i="12" l="1"/>
  <c r="P311" i="12" s="1"/>
  <c r="L312" i="12"/>
  <c r="K312" i="12" s="1"/>
  <c r="E314" i="12"/>
  <c r="I313" i="12"/>
  <c r="J311" i="11"/>
  <c r="P311" i="11" s="1"/>
  <c r="I313" i="11"/>
  <c r="E314" i="11"/>
  <c r="L312" i="11"/>
  <c r="K312" i="11" s="1"/>
  <c r="J311" i="9"/>
  <c r="P311" i="9" s="1"/>
  <c r="E314" i="9"/>
  <c r="I313" i="9"/>
  <c r="L312" i="9"/>
  <c r="K312" i="9" s="1"/>
  <c r="J311" i="8"/>
  <c r="P311" i="8" s="1"/>
  <c r="E314" i="8"/>
  <c r="L312" i="8"/>
  <c r="K312" i="8" s="1"/>
  <c r="I314" i="7"/>
  <c r="E315" i="7"/>
  <c r="P312" i="7"/>
  <c r="K309" i="1"/>
  <c r="J309" i="1"/>
  <c r="E311" i="1"/>
  <c r="I310" i="1"/>
  <c r="K309" i="4"/>
  <c r="J309" i="4"/>
  <c r="P309" i="4" s="1"/>
  <c r="P310" i="6"/>
  <c r="I312" i="6"/>
  <c r="E313" i="6"/>
  <c r="K311" i="6"/>
  <c r="J311" i="6"/>
  <c r="P309" i="5"/>
  <c r="L309" i="5"/>
  <c r="J310" i="5"/>
  <c r="K310" i="5"/>
  <c r="E312" i="5"/>
  <c r="I311" i="5"/>
  <c r="E311" i="4"/>
  <c r="I310" i="4"/>
  <c r="J312" i="12" l="1"/>
  <c r="P312" i="12" s="1"/>
  <c r="L313" i="12"/>
  <c r="K313" i="12" s="1"/>
  <c r="E315" i="12"/>
  <c r="I314" i="12"/>
  <c r="J312" i="11"/>
  <c r="P312" i="11" s="1"/>
  <c r="I314" i="11"/>
  <c r="E315" i="11"/>
  <c r="L313" i="11"/>
  <c r="K313" i="11" s="1"/>
  <c r="J312" i="9"/>
  <c r="P312" i="9" s="1"/>
  <c r="L313" i="9"/>
  <c r="K313" i="9" s="1"/>
  <c r="E315" i="9"/>
  <c r="I314" i="9"/>
  <c r="J312" i="8"/>
  <c r="P312" i="8" s="1"/>
  <c r="E315" i="8"/>
  <c r="L313" i="8"/>
  <c r="K313" i="8" s="1"/>
  <c r="P313" i="7"/>
  <c r="I315" i="7"/>
  <c r="E316" i="7"/>
  <c r="J310" i="1"/>
  <c r="K310" i="1"/>
  <c r="E312" i="1"/>
  <c r="I311" i="1"/>
  <c r="J310" i="4"/>
  <c r="K310" i="4"/>
  <c r="P311" i="6"/>
  <c r="I313" i="6"/>
  <c r="E314" i="6"/>
  <c r="K312" i="6"/>
  <c r="J312" i="6"/>
  <c r="L310" i="5"/>
  <c r="K311" i="5"/>
  <c r="J311" i="5"/>
  <c r="I312" i="5"/>
  <c r="E313" i="5"/>
  <c r="P310" i="5"/>
  <c r="I311" i="4"/>
  <c r="E312" i="4"/>
  <c r="J313" i="12" l="1"/>
  <c r="P313" i="12" s="1"/>
  <c r="L314" i="12"/>
  <c r="K314" i="12" s="1"/>
  <c r="E316" i="12"/>
  <c r="I315" i="12"/>
  <c r="J313" i="11"/>
  <c r="P313" i="11" s="1"/>
  <c r="I315" i="11"/>
  <c r="E316" i="11"/>
  <c r="L314" i="11"/>
  <c r="K314" i="11" s="1"/>
  <c r="J313" i="9"/>
  <c r="P313" i="9" s="1"/>
  <c r="L314" i="9"/>
  <c r="K314" i="9" s="1"/>
  <c r="E316" i="9"/>
  <c r="I315" i="9"/>
  <c r="J313" i="8"/>
  <c r="P313" i="8" s="1"/>
  <c r="E316" i="8"/>
  <c r="L314" i="8"/>
  <c r="K314" i="8" s="1"/>
  <c r="P314" i="7"/>
  <c r="I316" i="7"/>
  <c r="E317" i="7"/>
  <c r="J311" i="1"/>
  <c r="K311" i="1"/>
  <c r="E313" i="1"/>
  <c r="I312" i="1"/>
  <c r="P310" i="4"/>
  <c r="J311" i="4"/>
  <c r="P311" i="4" s="1"/>
  <c r="K311" i="4"/>
  <c r="P312" i="6"/>
  <c r="I314" i="6"/>
  <c r="E315" i="6"/>
  <c r="J313" i="6"/>
  <c r="K313" i="6"/>
  <c r="P311" i="5"/>
  <c r="L311" i="5"/>
  <c r="I313" i="5"/>
  <c r="E314" i="5"/>
  <c r="J312" i="5"/>
  <c r="K312" i="5"/>
  <c r="E313" i="4"/>
  <c r="I312" i="4"/>
  <c r="J314" i="12" l="1"/>
  <c r="P314" i="12" s="1"/>
  <c r="L315" i="12"/>
  <c r="K315" i="12" s="1"/>
  <c r="E317" i="12"/>
  <c r="I316" i="12"/>
  <c r="J314" i="11"/>
  <c r="P314" i="11" s="1"/>
  <c r="I316" i="11"/>
  <c r="E317" i="11"/>
  <c r="L315" i="11"/>
  <c r="K315" i="11" s="1"/>
  <c r="L315" i="9"/>
  <c r="K315" i="9" s="1"/>
  <c r="E317" i="9"/>
  <c r="I316" i="9"/>
  <c r="J314" i="9"/>
  <c r="P314" i="9" s="1"/>
  <c r="J314" i="8"/>
  <c r="P314" i="8" s="1"/>
  <c r="E317" i="8"/>
  <c r="L315" i="8"/>
  <c r="K315" i="8" s="1"/>
  <c r="P315" i="7"/>
  <c r="E318" i="7"/>
  <c r="I317" i="7"/>
  <c r="J312" i="1"/>
  <c r="K312" i="1"/>
  <c r="E314" i="1"/>
  <c r="I313" i="1"/>
  <c r="J312" i="4"/>
  <c r="K312" i="4"/>
  <c r="P313" i="6"/>
  <c r="I315" i="6"/>
  <c r="E316" i="6"/>
  <c r="K314" i="6"/>
  <c r="J314" i="6"/>
  <c r="L312" i="5"/>
  <c r="P312" i="5"/>
  <c r="I314" i="5"/>
  <c r="E315" i="5"/>
  <c r="J313" i="5"/>
  <c r="K313" i="5"/>
  <c r="I313" i="4"/>
  <c r="E314" i="4"/>
  <c r="J315" i="12" l="1"/>
  <c r="P315" i="12" s="1"/>
  <c r="L316" i="12"/>
  <c r="K316" i="12" s="1"/>
  <c r="E318" i="12"/>
  <c r="I317" i="12"/>
  <c r="J315" i="11"/>
  <c r="P315" i="11" s="1"/>
  <c r="I317" i="11"/>
  <c r="E318" i="11"/>
  <c r="L316" i="11"/>
  <c r="J316" i="11" s="1"/>
  <c r="J315" i="9"/>
  <c r="P315" i="9" s="1"/>
  <c r="E318" i="9"/>
  <c r="I317" i="9"/>
  <c r="L316" i="9"/>
  <c r="K316" i="9" s="1"/>
  <c r="J315" i="8"/>
  <c r="P315" i="8" s="1"/>
  <c r="E318" i="8"/>
  <c r="L316" i="8"/>
  <c r="K316" i="8" s="1"/>
  <c r="E319" i="7"/>
  <c r="I318" i="7"/>
  <c r="P316" i="7"/>
  <c r="P312" i="4"/>
  <c r="J313" i="1"/>
  <c r="K313" i="1"/>
  <c r="E315" i="1"/>
  <c r="I314" i="1"/>
  <c r="K313" i="4"/>
  <c r="J313" i="4"/>
  <c r="P313" i="4" s="1"/>
  <c r="P314" i="6"/>
  <c r="E317" i="6"/>
  <c r="I316" i="6"/>
  <c r="K315" i="6"/>
  <c r="J315" i="6"/>
  <c r="P313" i="5"/>
  <c r="L313" i="5"/>
  <c r="K314" i="5"/>
  <c r="J314" i="5"/>
  <c r="I315" i="5"/>
  <c r="E316" i="5"/>
  <c r="E315" i="4"/>
  <c r="I314" i="4"/>
  <c r="J316" i="12" l="1"/>
  <c r="P316" i="12" s="1"/>
  <c r="L317" i="12"/>
  <c r="K317" i="12" s="1"/>
  <c r="E319" i="12"/>
  <c r="I318" i="12"/>
  <c r="K316" i="11"/>
  <c r="P316" i="11" s="1"/>
  <c r="I318" i="11"/>
  <c r="E319" i="11"/>
  <c r="L317" i="11"/>
  <c r="J317" i="11" s="1"/>
  <c r="J316" i="9"/>
  <c r="P316" i="9" s="1"/>
  <c r="L317" i="9"/>
  <c r="K317" i="9" s="1"/>
  <c r="E319" i="9"/>
  <c r="I318" i="9"/>
  <c r="J316" i="8"/>
  <c r="P316" i="8" s="1"/>
  <c r="E319" i="8"/>
  <c r="L317" i="8"/>
  <c r="K317" i="8" s="1"/>
  <c r="P317" i="7"/>
  <c r="E320" i="7"/>
  <c r="I319" i="7"/>
  <c r="J314" i="1"/>
  <c r="K314" i="1"/>
  <c r="E316" i="1"/>
  <c r="I315" i="1"/>
  <c r="K314" i="4"/>
  <c r="J314" i="4"/>
  <c r="P314" i="4" s="1"/>
  <c r="P315" i="6"/>
  <c r="K316" i="6"/>
  <c r="J316" i="6"/>
  <c r="E318" i="6"/>
  <c r="I317" i="6"/>
  <c r="P314" i="5"/>
  <c r="L314" i="5"/>
  <c r="E317" i="5"/>
  <c r="I316" i="5"/>
  <c r="K315" i="5"/>
  <c r="J315" i="5"/>
  <c r="I315" i="4"/>
  <c r="E316" i="4"/>
  <c r="J317" i="12" l="1"/>
  <c r="P317" i="12" s="1"/>
  <c r="L318" i="12"/>
  <c r="K318" i="12" s="1"/>
  <c r="I319" i="12"/>
  <c r="E320" i="12"/>
  <c r="K317" i="11"/>
  <c r="P317" i="11" s="1"/>
  <c r="I319" i="11"/>
  <c r="E320" i="11"/>
  <c r="L318" i="11"/>
  <c r="J318" i="11" s="1"/>
  <c r="L318" i="9"/>
  <c r="K318" i="9" s="1"/>
  <c r="E320" i="9"/>
  <c r="I319" i="9"/>
  <c r="J317" i="9"/>
  <c r="P317" i="9" s="1"/>
  <c r="E320" i="8"/>
  <c r="J317" i="8"/>
  <c r="P317" i="8" s="1"/>
  <c r="L318" i="8"/>
  <c r="K318" i="8" s="1"/>
  <c r="E321" i="7"/>
  <c r="I320" i="7"/>
  <c r="P318" i="7"/>
  <c r="J315" i="1"/>
  <c r="K315" i="1"/>
  <c r="E317" i="1"/>
  <c r="I316" i="1"/>
  <c r="K315" i="4"/>
  <c r="J315" i="4"/>
  <c r="P315" i="4" s="1"/>
  <c r="P316" i="6"/>
  <c r="E319" i="6"/>
  <c r="I318" i="6"/>
  <c r="K317" i="6"/>
  <c r="J317" i="6"/>
  <c r="P315" i="5"/>
  <c r="L315" i="5"/>
  <c r="K316" i="5"/>
  <c r="J316" i="5"/>
  <c r="E318" i="5"/>
  <c r="I317" i="5"/>
  <c r="E317" i="4"/>
  <c r="I316" i="4"/>
  <c r="J318" i="12" l="1"/>
  <c r="P318" i="12" s="1"/>
  <c r="I320" i="12"/>
  <c r="E321" i="12"/>
  <c r="L319" i="12"/>
  <c r="K319" i="12" s="1"/>
  <c r="K318" i="11"/>
  <c r="P318" i="11" s="1"/>
  <c r="I320" i="11"/>
  <c r="E321" i="11"/>
  <c r="L319" i="11"/>
  <c r="J319" i="11" s="1"/>
  <c r="J318" i="9"/>
  <c r="P318" i="9" s="1"/>
  <c r="E321" i="9"/>
  <c r="I320" i="9"/>
  <c r="L319" i="9"/>
  <c r="K319" i="9" s="1"/>
  <c r="J318" i="8"/>
  <c r="P318" i="8" s="1"/>
  <c r="E321" i="8"/>
  <c r="L319" i="8"/>
  <c r="K319" i="8" s="1"/>
  <c r="I321" i="7"/>
  <c r="E322" i="7"/>
  <c r="P319" i="7"/>
  <c r="K316" i="1"/>
  <c r="J316" i="1"/>
  <c r="E318" i="1"/>
  <c r="I317" i="1"/>
  <c r="K316" i="4"/>
  <c r="J316" i="4"/>
  <c r="P316" i="4" s="1"/>
  <c r="P317" i="6"/>
  <c r="K318" i="6"/>
  <c r="J318" i="6"/>
  <c r="E320" i="6"/>
  <c r="I319" i="6"/>
  <c r="P316" i="5"/>
  <c r="L316" i="5"/>
  <c r="K317" i="5"/>
  <c r="J317" i="5"/>
  <c r="E319" i="5"/>
  <c r="I318" i="5"/>
  <c r="I317" i="4"/>
  <c r="E318" i="4"/>
  <c r="J319" i="12" l="1"/>
  <c r="P319" i="12" s="1"/>
  <c r="I321" i="12"/>
  <c r="E322" i="12"/>
  <c r="L320" i="12"/>
  <c r="K320" i="12" s="1"/>
  <c r="K319" i="11"/>
  <c r="P319" i="11" s="1"/>
  <c r="L320" i="11"/>
  <c r="K320" i="11" s="1"/>
  <c r="I321" i="11"/>
  <c r="E322" i="11"/>
  <c r="J319" i="9"/>
  <c r="P319" i="9" s="1"/>
  <c r="L320" i="9"/>
  <c r="K320" i="9" s="1"/>
  <c r="E322" i="9"/>
  <c r="I321" i="9"/>
  <c r="J319" i="8"/>
  <c r="P319" i="8" s="1"/>
  <c r="E322" i="8"/>
  <c r="L320" i="8"/>
  <c r="K320" i="8" s="1"/>
  <c r="I322" i="7"/>
  <c r="E323" i="7"/>
  <c r="P320" i="7"/>
  <c r="K317" i="1"/>
  <c r="J317" i="1"/>
  <c r="E319" i="1"/>
  <c r="I318" i="1"/>
  <c r="K317" i="4"/>
  <c r="J317" i="4"/>
  <c r="P317" i="4" s="1"/>
  <c r="P318" i="6"/>
  <c r="K319" i="6"/>
  <c r="J319" i="6"/>
  <c r="I320" i="6"/>
  <c r="E321" i="6"/>
  <c r="P317" i="5"/>
  <c r="L317" i="5"/>
  <c r="J318" i="5"/>
  <c r="K318" i="5"/>
  <c r="E320" i="5"/>
  <c r="I319" i="5"/>
  <c r="E319" i="4"/>
  <c r="I318" i="4"/>
  <c r="J320" i="12" l="1"/>
  <c r="P320" i="12" s="1"/>
  <c r="I322" i="12"/>
  <c r="E323" i="12"/>
  <c r="L321" i="12"/>
  <c r="K321" i="12" s="1"/>
  <c r="I322" i="11"/>
  <c r="E323" i="11"/>
  <c r="L321" i="11"/>
  <c r="K321" i="11" s="1"/>
  <c r="J320" i="11"/>
  <c r="P320" i="11" s="1"/>
  <c r="L321" i="9"/>
  <c r="K321" i="9" s="1"/>
  <c r="E323" i="9"/>
  <c r="I322" i="9"/>
  <c r="J320" i="9"/>
  <c r="P320" i="9" s="1"/>
  <c r="J320" i="8"/>
  <c r="P320" i="8" s="1"/>
  <c r="E323" i="8"/>
  <c r="L321" i="8"/>
  <c r="K321" i="8" s="1"/>
  <c r="P321" i="7"/>
  <c r="I323" i="7"/>
  <c r="E324" i="7"/>
  <c r="K318" i="1"/>
  <c r="J318" i="1"/>
  <c r="J318" i="4"/>
  <c r="K318" i="4"/>
  <c r="E320" i="1"/>
  <c r="I319" i="1"/>
  <c r="P319" i="6"/>
  <c r="K320" i="6"/>
  <c r="J320" i="6"/>
  <c r="I321" i="6"/>
  <c r="E322" i="6"/>
  <c r="L318" i="5"/>
  <c r="I320" i="5"/>
  <c r="E321" i="5"/>
  <c r="K319" i="5"/>
  <c r="J319" i="5"/>
  <c r="P318" i="5"/>
  <c r="I319" i="4"/>
  <c r="E320" i="4"/>
  <c r="J321" i="12" l="1"/>
  <c r="P321" i="12" s="1"/>
  <c r="I323" i="12"/>
  <c r="E324" i="12"/>
  <c r="L322" i="12"/>
  <c r="K322" i="12" s="1"/>
  <c r="J321" i="11"/>
  <c r="P321" i="11" s="1"/>
  <c r="I323" i="11"/>
  <c r="E324" i="11"/>
  <c r="L322" i="11"/>
  <c r="K322" i="11" s="1"/>
  <c r="J321" i="9"/>
  <c r="P321" i="9" s="1"/>
  <c r="L322" i="9"/>
  <c r="K322" i="9" s="1"/>
  <c r="E324" i="9"/>
  <c r="I323" i="9"/>
  <c r="J321" i="8"/>
  <c r="P321" i="8" s="1"/>
  <c r="E324" i="8"/>
  <c r="L322" i="8"/>
  <c r="K322" i="8" s="1"/>
  <c r="P322" i="7"/>
  <c r="I324" i="7"/>
  <c r="E325" i="7"/>
  <c r="E321" i="1"/>
  <c r="I320" i="1"/>
  <c r="P318" i="4"/>
  <c r="J319" i="4"/>
  <c r="K319" i="4"/>
  <c r="J319" i="1"/>
  <c r="K319" i="1"/>
  <c r="P320" i="6"/>
  <c r="J321" i="6"/>
  <c r="K321" i="6"/>
  <c r="I322" i="6"/>
  <c r="E323" i="6"/>
  <c r="P319" i="5"/>
  <c r="L319" i="5"/>
  <c r="I321" i="5"/>
  <c r="E322" i="5"/>
  <c r="J320" i="5"/>
  <c r="K320" i="5"/>
  <c r="E321" i="4"/>
  <c r="I320" i="4"/>
  <c r="J322" i="12" l="1"/>
  <c r="P322" i="12" s="1"/>
  <c r="I324" i="12"/>
  <c r="E325" i="12"/>
  <c r="L323" i="12"/>
  <c r="K323" i="12" s="1"/>
  <c r="J322" i="11"/>
  <c r="P322" i="11" s="1"/>
  <c r="I324" i="11"/>
  <c r="E325" i="11"/>
  <c r="L323" i="11"/>
  <c r="K323" i="11" s="1"/>
  <c r="J322" i="9"/>
  <c r="P322" i="9" s="1"/>
  <c r="L323" i="9"/>
  <c r="K323" i="9" s="1"/>
  <c r="E325" i="9"/>
  <c r="I324" i="9"/>
  <c r="J322" i="8"/>
  <c r="P322" i="8" s="1"/>
  <c r="E325" i="8"/>
  <c r="L323" i="8"/>
  <c r="K323" i="8" s="1"/>
  <c r="E326" i="7"/>
  <c r="I325" i="7"/>
  <c r="P323" i="7"/>
  <c r="P319" i="4"/>
  <c r="J320" i="4"/>
  <c r="K320" i="4"/>
  <c r="J320" i="1"/>
  <c r="K320" i="1"/>
  <c r="E322" i="1"/>
  <c r="I321" i="1"/>
  <c r="I323" i="6"/>
  <c r="E324" i="6"/>
  <c r="K322" i="6"/>
  <c r="J322" i="6"/>
  <c r="P321" i="6"/>
  <c r="P320" i="5"/>
  <c r="L320" i="5"/>
  <c r="I322" i="5"/>
  <c r="E323" i="5"/>
  <c r="J321" i="5"/>
  <c r="K321" i="5"/>
  <c r="I321" i="4"/>
  <c r="E322" i="4"/>
  <c r="J323" i="12" l="1"/>
  <c r="P323" i="12" s="1"/>
  <c r="I325" i="12"/>
  <c r="E326" i="12"/>
  <c r="L324" i="12"/>
  <c r="K324" i="12" s="1"/>
  <c r="J323" i="11"/>
  <c r="P323" i="11" s="1"/>
  <c r="I325" i="11"/>
  <c r="E326" i="11"/>
  <c r="L324" i="11"/>
  <c r="K324" i="11" s="1"/>
  <c r="L324" i="9"/>
  <c r="K324" i="9" s="1"/>
  <c r="E326" i="9"/>
  <c r="I325" i="9"/>
  <c r="J323" i="9"/>
  <c r="P323" i="9" s="1"/>
  <c r="J323" i="8"/>
  <c r="P323" i="8" s="1"/>
  <c r="E326" i="8"/>
  <c r="L324" i="8"/>
  <c r="K324" i="8" s="1"/>
  <c r="P324" i="7"/>
  <c r="E327" i="7"/>
  <c r="I326" i="7"/>
  <c r="J321" i="1"/>
  <c r="K321" i="1"/>
  <c r="E323" i="1"/>
  <c r="I322" i="1"/>
  <c r="K321" i="4"/>
  <c r="J321" i="4"/>
  <c r="P321" i="4" s="1"/>
  <c r="P320" i="4"/>
  <c r="P322" i="6"/>
  <c r="E325" i="6"/>
  <c r="I324" i="6"/>
  <c r="K323" i="6"/>
  <c r="J323" i="6"/>
  <c r="P321" i="5"/>
  <c r="L321" i="5"/>
  <c r="I323" i="5"/>
  <c r="E324" i="5"/>
  <c r="K322" i="5"/>
  <c r="J322" i="5"/>
  <c r="E323" i="4"/>
  <c r="I322" i="4"/>
  <c r="J324" i="12" l="1"/>
  <c r="P324" i="12" s="1"/>
  <c r="I326" i="12"/>
  <c r="E327" i="12"/>
  <c r="L325" i="12"/>
  <c r="K325" i="12" s="1"/>
  <c r="J324" i="11"/>
  <c r="P324" i="11" s="1"/>
  <c r="I326" i="11"/>
  <c r="E327" i="11"/>
  <c r="L325" i="11"/>
  <c r="K325" i="11" s="1"/>
  <c r="L325" i="9"/>
  <c r="K325" i="9" s="1"/>
  <c r="E327" i="9"/>
  <c r="I326" i="9"/>
  <c r="J324" i="9"/>
  <c r="P324" i="9" s="1"/>
  <c r="J324" i="8"/>
  <c r="P324" i="8" s="1"/>
  <c r="E327" i="8"/>
  <c r="L325" i="8"/>
  <c r="K325" i="8" s="1"/>
  <c r="P325" i="7"/>
  <c r="E328" i="7"/>
  <c r="I327" i="7"/>
  <c r="J322" i="1"/>
  <c r="K322" i="1"/>
  <c r="K322" i="4"/>
  <c r="J322" i="4"/>
  <c r="P322" i="4" s="1"/>
  <c r="E324" i="1"/>
  <c r="I323" i="1"/>
  <c r="P323" i="6"/>
  <c r="K324" i="6"/>
  <c r="J324" i="6"/>
  <c r="E326" i="6"/>
  <c r="I325" i="6"/>
  <c r="P322" i="5"/>
  <c r="L322" i="5"/>
  <c r="E325" i="5"/>
  <c r="I324" i="5"/>
  <c r="K323" i="5"/>
  <c r="J323" i="5"/>
  <c r="I323" i="4"/>
  <c r="E324" i="4"/>
  <c r="J325" i="12" l="1"/>
  <c r="P325" i="12" s="1"/>
  <c r="I327" i="12"/>
  <c r="E328" i="12"/>
  <c r="L326" i="12"/>
  <c r="K326" i="12" s="1"/>
  <c r="J325" i="11"/>
  <c r="P325" i="11" s="1"/>
  <c r="I327" i="11"/>
  <c r="E328" i="11"/>
  <c r="L326" i="11"/>
  <c r="K326" i="11" s="1"/>
  <c r="J325" i="9"/>
  <c r="P325" i="9" s="1"/>
  <c r="L326" i="9"/>
  <c r="K326" i="9" s="1"/>
  <c r="E328" i="9"/>
  <c r="I327" i="9"/>
  <c r="J325" i="8"/>
  <c r="P325" i="8" s="1"/>
  <c r="E328" i="8"/>
  <c r="L326" i="8"/>
  <c r="K326" i="8" s="1"/>
  <c r="E329" i="7"/>
  <c r="I328" i="7"/>
  <c r="P326" i="7"/>
  <c r="J323" i="1"/>
  <c r="K323" i="1"/>
  <c r="E325" i="1"/>
  <c r="I324" i="1"/>
  <c r="K323" i="4"/>
  <c r="J323" i="4"/>
  <c r="P323" i="4" s="1"/>
  <c r="P324" i="6"/>
  <c r="K325" i="6"/>
  <c r="J325" i="6"/>
  <c r="E327" i="6"/>
  <c r="I326" i="6"/>
  <c r="P323" i="5"/>
  <c r="L323" i="5"/>
  <c r="K324" i="5"/>
  <c r="J324" i="5"/>
  <c r="E326" i="5"/>
  <c r="I325" i="5"/>
  <c r="E325" i="4"/>
  <c r="I324" i="4"/>
  <c r="J326" i="12" l="1"/>
  <c r="P326" i="12" s="1"/>
  <c r="I328" i="12"/>
  <c r="E329" i="12"/>
  <c r="L327" i="12"/>
  <c r="K327" i="12" s="1"/>
  <c r="J326" i="11"/>
  <c r="P326" i="11" s="1"/>
  <c r="I328" i="11"/>
  <c r="E329" i="11"/>
  <c r="L327" i="11"/>
  <c r="J327" i="11" s="1"/>
  <c r="J326" i="9"/>
  <c r="P326" i="9" s="1"/>
  <c r="L327" i="9"/>
  <c r="K327" i="9" s="1"/>
  <c r="E329" i="9"/>
  <c r="I328" i="9"/>
  <c r="J326" i="8"/>
  <c r="P326" i="8" s="1"/>
  <c r="E329" i="8"/>
  <c r="L327" i="8"/>
  <c r="K327" i="8" s="1"/>
  <c r="P327" i="7"/>
  <c r="I329" i="7"/>
  <c r="E330" i="7"/>
  <c r="J324" i="1"/>
  <c r="K324" i="1"/>
  <c r="K324" i="4"/>
  <c r="J324" i="4"/>
  <c r="P324" i="4" s="1"/>
  <c r="E326" i="1"/>
  <c r="I325" i="1"/>
  <c r="P325" i="6"/>
  <c r="K326" i="6"/>
  <c r="J326" i="6"/>
  <c r="E328" i="6"/>
  <c r="I327" i="6"/>
  <c r="P324" i="5"/>
  <c r="L324" i="5"/>
  <c r="K325" i="5"/>
  <c r="J325" i="5"/>
  <c r="E327" i="5"/>
  <c r="I326" i="5"/>
  <c r="I325" i="4"/>
  <c r="E326" i="4"/>
  <c r="J327" i="12" l="1"/>
  <c r="P327" i="12" s="1"/>
  <c r="I329" i="12"/>
  <c r="E330" i="12"/>
  <c r="L328" i="12"/>
  <c r="K328" i="12" s="1"/>
  <c r="K327" i="11"/>
  <c r="P327" i="11" s="1"/>
  <c r="I329" i="11"/>
  <c r="E330" i="11"/>
  <c r="L328" i="11"/>
  <c r="K328" i="11" s="1"/>
  <c r="E330" i="9"/>
  <c r="I329" i="9"/>
  <c r="L328" i="9"/>
  <c r="K328" i="9" s="1"/>
  <c r="J327" i="9"/>
  <c r="P327" i="9" s="1"/>
  <c r="J327" i="8"/>
  <c r="P327" i="8" s="1"/>
  <c r="E330" i="8"/>
  <c r="L328" i="8"/>
  <c r="K328" i="8" s="1"/>
  <c r="I330" i="7"/>
  <c r="E331" i="7"/>
  <c r="P328" i="7"/>
  <c r="E327" i="1"/>
  <c r="I326" i="1"/>
  <c r="K325" i="1"/>
  <c r="J325" i="1"/>
  <c r="K325" i="4"/>
  <c r="J325" i="4"/>
  <c r="P325" i="4" s="1"/>
  <c r="P326" i="6"/>
  <c r="K327" i="6"/>
  <c r="J327" i="6"/>
  <c r="I328" i="6"/>
  <c r="E329" i="6"/>
  <c r="P325" i="5"/>
  <c r="L325" i="5"/>
  <c r="J326" i="5"/>
  <c r="K326" i="5"/>
  <c r="E328" i="5"/>
  <c r="I327" i="5"/>
  <c r="E327" i="4"/>
  <c r="I326" i="4"/>
  <c r="J328" i="12" l="1"/>
  <c r="P328" i="12" s="1"/>
  <c r="I330" i="12"/>
  <c r="E331" i="12"/>
  <c r="L329" i="12"/>
  <c r="K329" i="12" s="1"/>
  <c r="J328" i="11"/>
  <c r="P328" i="11" s="1"/>
  <c r="L329" i="11"/>
  <c r="K329" i="11" s="1"/>
  <c r="I330" i="11"/>
  <c r="E331" i="11"/>
  <c r="J328" i="9"/>
  <c r="P328" i="9" s="1"/>
  <c r="L329" i="9"/>
  <c r="K329" i="9" s="1"/>
  <c r="E331" i="9"/>
  <c r="I330" i="9"/>
  <c r="E331" i="8"/>
  <c r="J328" i="8"/>
  <c r="P328" i="8" s="1"/>
  <c r="L329" i="8"/>
  <c r="K329" i="8" s="1"/>
  <c r="P329" i="7"/>
  <c r="I331" i="7"/>
  <c r="E332" i="7"/>
  <c r="J326" i="4"/>
  <c r="K326" i="4"/>
  <c r="J326" i="1"/>
  <c r="K326" i="1"/>
  <c r="E328" i="1"/>
  <c r="I327" i="1"/>
  <c r="P327" i="6"/>
  <c r="I329" i="6"/>
  <c r="E330" i="6"/>
  <c r="J328" i="6"/>
  <c r="K328" i="6"/>
  <c r="L326" i="5"/>
  <c r="I328" i="5"/>
  <c r="E329" i="5"/>
  <c r="J327" i="5"/>
  <c r="K327" i="5"/>
  <c r="P326" i="5"/>
  <c r="I327" i="4"/>
  <c r="E328" i="4"/>
  <c r="J329" i="12" l="1"/>
  <c r="P329" i="12" s="1"/>
  <c r="I331" i="12"/>
  <c r="E332" i="12"/>
  <c r="L330" i="12"/>
  <c r="K330" i="12" s="1"/>
  <c r="I331" i="11"/>
  <c r="E332" i="11"/>
  <c r="L330" i="11"/>
  <c r="K330" i="11" s="1"/>
  <c r="J329" i="11"/>
  <c r="P329" i="11" s="1"/>
  <c r="E332" i="9"/>
  <c r="I331" i="9"/>
  <c r="J329" i="9"/>
  <c r="P329" i="9" s="1"/>
  <c r="L330" i="9"/>
  <c r="K330" i="9" s="1"/>
  <c r="E332" i="8"/>
  <c r="J329" i="8"/>
  <c r="P329" i="8" s="1"/>
  <c r="L330" i="8"/>
  <c r="K330" i="8" s="1"/>
  <c r="P330" i="7"/>
  <c r="I332" i="7"/>
  <c r="E333" i="7"/>
  <c r="J327" i="1"/>
  <c r="K327" i="1"/>
  <c r="E329" i="1"/>
  <c r="I328" i="1"/>
  <c r="J327" i="4"/>
  <c r="K327" i="4"/>
  <c r="P326" i="4"/>
  <c r="P328" i="6"/>
  <c r="I330" i="6"/>
  <c r="E331" i="6"/>
  <c r="J329" i="6"/>
  <c r="K329" i="6"/>
  <c r="P327" i="5"/>
  <c r="L327" i="5"/>
  <c r="I329" i="5"/>
  <c r="E330" i="5"/>
  <c r="J328" i="5"/>
  <c r="K328" i="5"/>
  <c r="E329" i="4"/>
  <c r="I328" i="4"/>
  <c r="J330" i="12" l="1"/>
  <c r="P330" i="12" s="1"/>
  <c r="I332" i="12"/>
  <c r="E333" i="12"/>
  <c r="L331" i="12"/>
  <c r="K331" i="12" s="1"/>
  <c r="J330" i="11"/>
  <c r="P330" i="11" s="1"/>
  <c r="I332" i="11"/>
  <c r="E333" i="11"/>
  <c r="L331" i="11"/>
  <c r="K331" i="11" s="1"/>
  <c r="J330" i="9"/>
  <c r="P330" i="9" s="1"/>
  <c r="L331" i="9"/>
  <c r="K331" i="9" s="1"/>
  <c r="E333" i="9"/>
  <c r="I332" i="9"/>
  <c r="J330" i="8"/>
  <c r="P330" i="8" s="1"/>
  <c r="E333" i="8"/>
  <c r="L331" i="8"/>
  <c r="K331" i="8" s="1"/>
  <c r="P331" i="7"/>
  <c r="E334" i="7"/>
  <c r="I333" i="7"/>
  <c r="P327" i="4"/>
  <c r="J328" i="1"/>
  <c r="K328" i="1"/>
  <c r="E330" i="1"/>
  <c r="I329" i="1"/>
  <c r="J328" i="4"/>
  <c r="P328" i="4" s="1"/>
  <c r="K328" i="4"/>
  <c r="P329" i="6"/>
  <c r="I331" i="6"/>
  <c r="E332" i="6"/>
  <c r="K330" i="6"/>
  <c r="J330" i="6"/>
  <c r="P328" i="5"/>
  <c r="L328" i="5"/>
  <c r="I330" i="5"/>
  <c r="E331" i="5"/>
  <c r="J329" i="5"/>
  <c r="K329" i="5"/>
  <c r="I329" i="4"/>
  <c r="E330" i="4"/>
  <c r="J331" i="12" l="1"/>
  <c r="P331" i="12" s="1"/>
  <c r="I333" i="12"/>
  <c r="E334" i="12"/>
  <c r="L332" i="12"/>
  <c r="K332" i="12" s="1"/>
  <c r="J331" i="11"/>
  <c r="P331" i="11" s="1"/>
  <c r="I333" i="11"/>
  <c r="E334" i="11"/>
  <c r="L332" i="11"/>
  <c r="K332" i="11" s="1"/>
  <c r="J331" i="9"/>
  <c r="P331" i="9" s="1"/>
  <c r="L332" i="9"/>
  <c r="K332" i="9" s="1"/>
  <c r="E334" i="9"/>
  <c r="I333" i="9"/>
  <c r="E334" i="8"/>
  <c r="J331" i="8"/>
  <c r="P331" i="8" s="1"/>
  <c r="L332" i="8"/>
  <c r="K332" i="8" s="1"/>
  <c r="E335" i="7"/>
  <c r="I334" i="7"/>
  <c r="P332" i="7"/>
  <c r="J329" i="1"/>
  <c r="K329" i="1"/>
  <c r="E331" i="1"/>
  <c r="I330" i="1"/>
  <c r="K329" i="4"/>
  <c r="J329" i="4"/>
  <c r="P329" i="4" s="1"/>
  <c r="P330" i="6"/>
  <c r="E333" i="6"/>
  <c r="I332" i="6"/>
  <c r="K331" i="6"/>
  <c r="J331" i="6"/>
  <c r="L329" i="5"/>
  <c r="P329" i="5"/>
  <c r="I331" i="5"/>
  <c r="E332" i="5"/>
  <c r="K330" i="5"/>
  <c r="J330" i="5"/>
  <c r="E331" i="4"/>
  <c r="I330" i="4"/>
  <c r="J332" i="12" l="1"/>
  <c r="P332" i="12" s="1"/>
  <c r="I334" i="12"/>
  <c r="E335" i="12"/>
  <c r="L333" i="12"/>
  <c r="K333" i="12" s="1"/>
  <c r="J332" i="11"/>
  <c r="P332" i="11" s="1"/>
  <c r="I334" i="11"/>
  <c r="E335" i="11"/>
  <c r="L333" i="11"/>
  <c r="K333" i="11" s="1"/>
  <c r="J332" i="9"/>
  <c r="P332" i="9" s="1"/>
  <c r="E335" i="9"/>
  <c r="I334" i="9"/>
  <c r="L333" i="9"/>
  <c r="K333" i="9" s="1"/>
  <c r="J332" i="8"/>
  <c r="P332" i="8" s="1"/>
  <c r="E335" i="8"/>
  <c r="L333" i="8"/>
  <c r="K333" i="8" s="1"/>
  <c r="E336" i="7"/>
  <c r="I335" i="7"/>
  <c r="P333" i="7"/>
  <c r="J330" i="1"/>
  <c r="K330" i="1"/>
  <c r="K330" i="4"/>
  <c r="J330" i="4"/>
  <c r="P330" i="4" s="1"/>
  <c r="E332" i="1"/>
  <c r="I331" i="1"/>
  <c r="P331" i="6"/>
  <c r="K332" i="6"/>
  <c r="J332" i="6"/>
  <c r="E334" i="6"/>
  <c r="I333" i="6"/>
  <c r="P330" i="5"/>
  <c r="L330" i="5"/>
  <c r="E333" i="5"/>
  <c r="I332" i="5"/>
  <c r="K331" i="5"/>
  <c r="J331" i="5"/>
  <c r="I331" i="4"/>
  <c r="E332" i="4"/>
  <c r="J333" i="12" l="1"/>
  <c r="P333" i="12" s="1"/>
  <c r="I335" i="12"/>
  <c r="E336" i="12"/>
  <c r="L334" i="12"/>
  <c r="K334" i="12" s="1"/>
  <c r="J333" i="11"/>
  <c r="P333" i="11" s="1"/>
  <c r="I335" i="11"/>
  <c r="E336" i="11"/>
  <c r="L334" i="11"/>
  <c r="K334" i="11" s="1"/>
  <c r="J333" i="9"/>
  <c r="P333" i="9" s="1"/>
  <c r="E336" i="9"/>
  <c r="I335" i="9"/>
  <c r="L334" i="9"/>
  <c r="K334" i="9" s="1"/>
  <c r="J333" i="8"/>
  <c r="P333" i="8" s="1"/>
  <c r="E336" i="8"/>
  <c r="L334" i="8"/>
  <c r="K334" i="8" s="1"/>
  <c r="E337" i="7"/>
  <c r="E338" i="7" s="1"/>
  <c r="I336" i="7"/>
  <c r="P334" i="7"/>
  <c r="E333" i="1"/>
  <c r="I332" i="1"/>
  <c r="J331" i="1"/>
  <c r="K331" i="1"/>
  <c r="K331" i="4"/>
  <c r="J331" i="4"/>
  <c r="P331" i="4" s="1"/>
  <c r="P332" i="6"/>
  <c r="E335" i="6"/>
  <c r="I334" i="6"/>
  <c r="K333" i="6"/>
  <c r="J333" i="6"/>
  <c r="P331" i="5"/>
  <c r="L331" i="5"/>
  <c r="K332" i="5"/>
  <c r="J332" i="5"/>
  <c r="E334" i="5"/>
  <c r="I333" i="5"/>
  <c r="E333" i="4"/>
  <c r="I332" i="4"/>
  <c r="J334" i="12" l="1"/>
  <c r="P334" i="12" s="1"/>
  <c r="I336" i="12"/>
  <c r="E337" i="12"/>
  <c r="E338" i="12" s="1"/>
  <c r="L335" i="12"/>
  <c r="K335" i="12" s="1"/>
  <c r="J334" i="11"/>
  <c r="P334" i="11" s="1"/>
  <c r="I336" i="11"/>
  <c r="E337" i="11"/>
  <c r="E338" i="11" s="1"/>
  <c r="L335" i="11"/>
  <c r="K335" i="11" s="1"/>
  <c r="J334" i="9"/>
  <c r="P334" i="9" s="1"/>
  <c r="L335" i="9"/>
  <c r="K335" i="9" s="1"/>
  <c r="E337" i="9"/>
  <c r="E338" i="9" s="1"/>
  <c r="I336" i="9"/>
  <c r="J334" i="8"/>
  <c r="P334" i="8" s="1"/>
  <c r="E337" i="8"/>
  <c r="E338" i="8" s="1"/>
  <c r="L335" i="8"/>
  <c r="K335" i="8" s="1"/>
  <c r="P335" i="7"/>
  <c r="P11" i="7" s="1"/>
  <c r="L11" i="7" s="1"/>
  <c r="K332" i="4"/>
  <c r="J332" i="4"/>
  <c r="P332" i="4" s="1"/>
  <c r="J332" i="1"/>
  <c r="K332" i="1"/>
  <c r="E334" i="1"/>
  <c r="I333" i="1"/>
  <c r="P333" i="6"/>
  <c r="J334" i="6"/>
  <c r="K334" i="6"/>
  <c r="E336" i="6"/>
  <c r="E337" i="6" s="1"/>
  <c r="I335" i="6"/>
  <c r="P332" i="5"/>
  <c r="L332" i="5"/>
  <c r="K333" i="5"/>
  <c r="J333" i="5"/>
  <c r="E335" i="5"/>
  <c r="I334" i="5"/>
  <c r="I333" i="4"/>
  <c r="E334" i="4"/>
  <c r="J335" i="12" l="1"/>
  <c r="P335" i="12" s="1"/>
  <c r="P11" i="12" s="1"/>
  <c r="L336" i="12"/>
  <c r="K336" i="12" s="1"/>
  <c r="J335" i="11"/>
  <c r="P335" i="11" s="1"/>
  <c r="P11" i="11" s="1"/>
  <c r="L336" i="11"/>
  <c r="K336" i="11" s="1"/>
  <c r="J335" i="9"/>
  <c r="P335" i="9" s="1"/>
  <c r="P11" i="9" s="1"/>
  <c r="L336" i="9"/>
  <c r="K336" i="9" s="1"/>
  <c r="J335" i="8"/>
  <c r="K11" i="8" s="1"/>
  <c r="L336" i="8"/>
  <c r="K336" i="8" s="1"/>
  <c r="P336" i="7"/>
  <c r="P12" i="7" s="1"/>
  <c r="J333" i="1"/>
  <c r="K333" i="1"/>
  <c r="E335" i="1"/>
  <c r="I334" i="1"/>
  <c r="K333" i="4"/>
  <c r="J333" i="4"/>
  <c r="P333" i="4" s="1"/>
  <c r="J335" i="6"/>
  <c r="K335" i="6"/>
  <c r="P334" i="6"/>
  <c r="P333" i="5"/>
  <c r="L333" i="5"/>
  <c r="J334" i="5"/>
  <c r="K334" i="5"/>
  <c r="E336" i="5"/>
  <c r="E337" i="5" s="1"/>
  <c r="I335" i="5"/>
  <c r="E335" i="4"/>
  <c r="I334" i="4"/>
  <c r="J336" i="12" l="1"/>
  <c r="P336" i="12" s="1"/>
  <c r="P12" i="12" s="1"/>
  <c r="K11" i="12"/>
  <c r="L11" i="12" s="1"/>
  <c r="K11" i="11"/>
  <c r="L11" i="11" s="1"/>
  <c r="J336" i="11"/>
  <c r="P336" i="11" s="1"/>
  <c r="P12" i="11" s="1"/>
  <c r="K11" i="9"/>
  <c r="L11" i="9" s="1"/>
  <c r="J336" i="9"/>
  <c r="K12" i="9" s="1"/>
  <c r="P335" i="8"/>
  <c r="P11" i="8" s="1"/>
  <c r="J336" i="8"/>
  <c r="P336" i="8" s="1"/>
  <c r="L12" i="7"/>
  <c r="J334" i="1"/>
  <c r="K334" i="1"/>
  <c r="E336" i="1"/>
  <c r="E337" i="1" s="1"/>
  <c r="I335" i="1"/>
  <c r="J334" i="4"/>
  <c r="K334" i="4"/>
  <c r="K11" i="6"/>
  <c r="P335" i="6"/>
  <c r="P11" i="6" s="1"/>
  <c r="K10" i="6"/>
  <c r="L334" i="5"/>
  <c r="K335" i="5"/>
  <c r="J335" i="5"/>
  <c r="P334" i="5"/>
  <c r="I335" i="4"/>
  <c r="E336" i="4"/>
  <c r="E337" i="4" s="1"/>
  <c r="K12" i="12" l="1"/>
  <c r="L12" i="12" s="1"/>
  <c r="K12" i="11"/>
  <c r="L12" i="11" s="1"/>
  <c r="P336" i="9"/>
  <c r="P12" i="9" s="1"/>
  <c r="L12" i="9" s="1"/>
  <c r="L11" i="8"/>
  <c r="P12" i="8"/>
  <c r="K12" i="8"/>
  <c r="J335" i="4"/>
  <c r="K335" i="4"/>
  <c r="P334" i="4"/>
  <c r="K335" i="1"/>
  <c r="J335" i="1"/>
  <c r="K11" i="1" s="1"/>
  <c r="L11" i="6"/>
  <c r="L335" i="5"/>
  <c r="L11" i="5" s="1"/>
  <c r="K11" i="5"/>
  <c r="P335" i="5"/>
  <c r="P11" i="5" s="1"/>
  <c r="K10" i="5"/>
  <c r="L12" i="8" l="1"/>
  <c r="P335" i="4"/>
  <c r="P11" i="4" s="1"/>
  <c r="K11" i="4"/>
  <c r="K10" i="4"/>
</calcChain>
</file>

<file path=xl/sharedStrings.xml><?xml version="1.0" encoding="utf-8"?>
<sst xmlns="http://schemas.openxmlformats.org/spreadsheetml/2006/main" count="5534" uniqueCount="293">
  <si>
    <t>VARIABLE</t>
  </si>
  <si>
    <t>:</t>
  </si>
  <si>
    <t>unified</t>
  </si>
  <si>
    <t>enso</t>
  </si>
  <si>
    <t>proxy</t>
  </si>
  <si>
    <t>(uep)</t>
  </si>
  <si>
    <t>[normalised]</t>
  </si>
  <si>
    <t>DATA</t>
  </si>
  <si>
    <t>SET</t>
  </si>
  <si>
    <t>Unified</t>
  </si>
  <si>
    <t>ENSO</t>
  </si>
  <si>
    <t>Proxy</t>
  </si>
  <si>
    <t>(UEP)</t>
  </si>
  <si>
    <t>FILENAME</t>
  </si>
  <si>
    <t>UEP</t>
  </si>
  <si>
    <t>FILEPATH</t>
  </si>
  <si>
    <t>http://apdrc.soest.hawaii.edu/dods/public_data/Paleoclimate_modeling/Unified_ENSO_Proxy/</t>
  </si>
  <si>
    <t>SUBSET</t>
  </si>
  <si>
    <t>points</t>
  </si>
  <si>
    <t>(TIME)</t>
  </si>
  <si>
    <t>LONGITUDE:</t>
  </si>
  <si>
    <t>140W</t>
  </si>
  <si>
    <t>LATITUDE</t>
  </si>
  <si>
    <t>JAN-1650</t>
  </si>
  <si>
    <t>/</t>
  </si>
  <si>
    <t>JAN-1651</t>
  </si>
  <si>
    <t>JAN-1652</t>
  </si>
  <si>
    <t>JAN-1653</t>
  </si>
  <si>
    <t>JAN-1654</t>
  </si>
  <si>
    <t>JAN-1655</t>
  </si>
  <si>
    <t>JAN-1656</t>
  </si>
  <si>
    <t>JAN-1657</t>
  </si>
  <si>
    <t>JAN-1658</t>
  </si>
  <si>
    <t>JAN-1659</t>
  </si>
  <si>
    <t>JAN-1660</t>
  </si>
  <si>
    <t>JAN-1661</t>
  </si>
  <si>
    <t>JAN-1662</t>
  </si>
  <si>
    <t>JAN-1663</t>
  </si>
  <si>
    <t>JAN-1664</t>
  </si>
  <si>
    <t>JAN-1665</t>
  </si>
  <si>
    <t>JAN-1666</t>
  </si>
  <si>
    <t>JAN-1667</t>
  </si>
  <si>
    <t>JAN-1668</t>
  </si>
  <si>
    <t>JAN-1669</t>
  </si>
  <si>
    <t>JAN-1670</t>
  </si>
  <si>
    <t>JAN-1671</t>
  </si>
  <si>
    <t>JAN-1672</t>
  </si>
  <si>
    <t>JAN-1673</t>
  </si>
  <si>
    <t>JAN-1674</t>
  </si>
  <si>
    <t>JAN-1675</t>
  </si>
  <si>
    <t>JAN-1676</t>
  </si>
  <si>
    <t>JAN-1677</t>
  </si>
  <si>
    <t>JAN-1678</t>
  </si>
  <si>
    <t>JAN-1679</t>
  </si>
  <si>
    <t>JAN-1680</t>
  </si>
  <si>
    <t>JAN-1681</t>
  </si>
  <si>
    <t>JAN-1682</t>
  </si>
  <si>
    <t>JAN-1683</t>
  </si>
  <si>
    <t>JAN-1684</t>
  </si>
  <si>
    <t>JAN-1685</t>
  </si>
  <si>
    <t>JAN-1686</t>
  </si>
  <si>
    <t>JAN-1687</t>
  </si>
  <si>
    <t>JAN-1688</t>
  </si>
  <si>
    <t>JAN-1689</t>
  </si>
  <si>
    <t>JAN-1690</t>
  </si>
  <si>
    <t>JAN-1691</t>
  </si>
  <si>
    <t>JAN-1692</t>
  </si>
  <si>
    <t>JAN-1693</t>
  </si>
  <si>
    <t>JAN-1694</t>
  </si>
  <si>
    <t>JAN-1695</t>
  </si>
  <si>
    <t>JAN-1696</t>
  </si>
  <si>
    <t>JAN-1697</t>
  </si>
  <si>
    <t>JAN-1698</t>
  </si>
  <si>
    <t>JAN-1699</t>
  </si>
  <si>
    <t>JAN-1700</t>
  </si>
  <si>
    <t>JAN-1701</t>
  </si>
  <si>
    <t>JAN-1702</t>
  </si>
  <si>
    <t>JAN-1703</t>
  </si>
  <si>
    <t>JAN-1704</t>
  </si>
  <si>
    <t>JAN-1705</t>
  </si>
  <si>
    <t>JAN-1706</t>
  </si>
  <si>
    <t>JAN-1707</t>
  </si>
  <si>
    <t>JAN-1708</t>
  </si>
  <si>
    <t>JAN-1709</t>
  </si>
  <si>
    <t>JAN-1710</t>
  </si>
  <si>
    <t>JAN-1711</t>
  </si>
  <si>
    <t>JAN-1712</t>
  </si>
  <si>
    <t>JAN-1713</t>
  </si>
  <si>
    <t>JAN-1714</t>
  </si>
  <si>
    <t>JAN-1715</t>
  </si>
  <si>
    <t>JAN-1716</t>
  </si>
  <si>
    <t>JAN-1717</t>
  </si>
  <si>
    <t>JAN-1718</t>
  </si>
  <si>
    <t>JAN-1719</t>
  </si>
  <si>
    <t>JAN-1720</t>
  </si>
  <si>
    <t>JAN-1721</t>
  </si>
  <si>
    <t>JAN-1722</t>
  </si>
  <si>
    <t>JAN-1723</t>
  </si>
  <si>
    <t>JAN-1724</t>
  </si>
  <si>
    <t>JAN-1725</t>
  </si>
  <si>
    <t>JAN-1726</t>
  </si>
  <si>
    <t>JAN-1727</t>
  </si>
  <si>
    <t>JAN-1728</t>
  </si>
  <si>
    <t>JAN-1729</t>
  </si>
  <si>
    <t>JAN-1730</t>
  </si>
  <si>
    <t>JAN-1731</t>
  </si>
  <si>
    <t>JAN-1732</t>
  </si>
  <si>
    <t>JAN-1733</t>
  </si>
  <si>
    <t>JAN-1734</t>
  </si>
  <si>
    <t>JAN-1735</t>
  </si>
  <si>
    <t>JAN-1736</t>
  </si>
  <si>
    <t>JAN-1737</t>
  </si>
  <si>
    <t>JAN-1738</t>
  </si>
  <si>
    <t>JAN-1739</t>
  </si>
  <si>
    <t>JAN-1740</t>
  </si>
  <si>
    <t>JAN-1741</t>
  </si>
  <si>
    <t>JAN-1742</t>
  </si>
  <si>
    <t>JAN-1743</t>
  </si>
  <si>
    <t>JAN-1744</t>
  </si>
  <si>
    <t>JAN-1745</t>
  </si>
  <si>
    <t>JAN-1746</t>
  </si>
  <si>
    <t>JAN-1747</t>
  </si>
  <si>
    <t>JAN-1748</t>
  </si>
  <si>
    <t>JAN-1749</t>
  </si>
  <si>
    <t>JAN-1750</t>
  </si>
  <si>
    <t>JAN-1751</t>
  </si>
  <si>
    <t>JAN-1752</t>
  </si>
  <si>
    <t>JAN-1753</t>
  </si>
  <si>
    <t>JAN-1754</t>
  </si>
  <si>
    <t>JAN-1755</t>
  </si>
  <si>
    <t>JAN-1756</t>
  </si>
  <si>
    <t>JAN-1757</t>
  </si>
  <si>
    <t>JAN-1758</t>
  </si>
  <si>
    <t>JAN-1759</t>
  </si>
  <si>
    <t>JAN-1760</t>
  </si>
  <si>
    <t>JAN-1761</t>
  </si>
  <si>
    <t>JAN-1762</t>
  </si>
  <si>
    <t>JAN-1763</t>
  </si>
  <si>
    <t>JAN-1764</t>
  </si>
  <si>
    <t>JAN-1765</t>
  </si>
  <si>
    <t>JAN-1766</t>
  </si>
  <si>
    <t>JAN-1767</t>
  </si>
  <si>
    <t>JAN-1768</t>
  </si>
  <si>
    <t>JAN-1769</t>
  </si>
  <si>
    <t>JAN-1770</t>
  </si>
  <si>
    <t>JAN-1771</t>
  </si>
  <si>
    <t>JAN-1772</t>
  </si>
  <si>
    <t>JAN-1773</t>
  </si>
  <si>
    <t>JAN-1774</t>
  </si>
  <si>
    <t>JAN-1775</t>
  </si>
  <si>
    <t>JAN-1776</t>
  </si>
  <si>
    <t>JAN-1777</t>
  </si>
  <si>
    <t>JAN-1778</t>
  </si>
  <si>
    <t>JAN-1779</t>
  </si>
  <si>
    <t>JAN-1780</t>
  </si>
  <si>
    <t>JAN-1781</t>
  </si>
  <si>
    <t>JAN-1782</t>
  </si>
  <si>
    <t>JAN-1783</t>
  </si>
  <si>
    <t>JAN-1784</t>
  </si>
  <si>
    <t>JAN-1785</t>
  </si>
  <si>
    <t>JAN-1786</t>
  </si>
  <si>
    <t>JAN-1787</t>
  </si>
  <si>
    <t>JAN-1788</t>
  </si>
  <si>
    <t>JAN-1789</t>
  </si>
  <si>
    <t>JAN-1790</t>
  </si>
  <si>
    <t>JAN-1791</t>
  </si>
  <si>
    <t>JAN-1792</t>
  </si>
  <si>
    <t>JAN-1793</t>
  </si>
  <si>
    <t>JAN-1794</t>
  </si>
  <si>
    <t>JAN-1795</t>
  </si>
  <si>
    <t>JAN-1796</t>
  </si>
  <si>
    <t>JAN-1797</t>
  </si>
  <si>
    <t>JAN-1798</t>
  </si>
  <si>
    <t>JAN-1799</t>
  </si>
  <si>
    <t>JAN-1800</t>
  </si>
  <si>
    <t>JAN-1801</t>
  </si>
  <si>
    <t>JAN-1802</t>
  </si>
  <si>
    <t>JAN-1803</t>
  </si>
  <si>
    <t>JAN-1804</t>
  </si>
  <si>
    <t>JAN-1805</t>
  </si>
  <si>
    <t>JAN-1806</t>
  </si>
  <si>
    <t>JAN-1807</t>
  </si>
  <si>
    <t>JAN-1808</t>
  </si>
  <si>
    <t>JAN-1809</t>
  </si>
  <si>
    <t>JAN-1810</t>
  </si>
  <si>
    <t>JAN-1811</t>
  </si>
  <si>
    <t>JAN-1812</t>
  </si>
  <si>
    <t>JAN-1813</t>
  </si>
  <si>
    <t>JAN-1814</t>
  </si>
  <si>
    <t>JAN-1815</t>
  </si>
  <si>
    <t>JAN-1816</t>
  </si>
  <si>
    <t>JAN-1817</t>
  </si>
  <si>
    <t>JAN-1818</t>
  </si>
  <si>
    <t>JAN-1819</t>
  </si>
  <si>
    <t>JAN-1820</t>
  </si>
  <si>
    <t>JAN-1821</t>
  </si>
  <si>
    <t>JAN-1822</t>
  </si>
  <si>
    <t>JAN-1823</t>
  </si>
  <si>
    <t>JAN-1824</t>
  </si>
  <si>
    <t>JAN-1825</t>
  </si>
  <si>
    <t>JAN-1826</t>
  </si>
  <si>
    <t>JAN-1827</t>
  </si>
  <si>
    <t>JAN-1828</t>
  </si>
  <si>
    <t>JAN-1829</t>
  </si>
  <si>
    <t>JAN-1830</t>
  </si>
  <si>
    <t>JAN-1831</t>
  </si>
  <si>
    <t>JAN-1832</t>
  </si>
  <si>
    <t>JAN-1833</t>
  </si>
  <si>
    <t>JAN-1834</t>
  </si>
  <si>
    <t>JAN-1835</t>
  </si>
  <si>
    <t>JAN-1836</t>
  </si>
  <si>
    <t>JAN-1837</t>
  </si>
  <si>
    <t>JAN-1838</t>
  </si>
  <si>
    <t>JAN-1839</t>
  </si>
  <si>
    <t>JAN-1840</t>
  </si>
  <si>
    <t>JAN-1841</t>
  </si>
  <si>
    <t>JAN-1842</t>
  </si>
  <si>
    <t>JAN-1843</t>
  </si>
  <si>
    <t>JAN-1844</t>
  </si>
  <si>
    <t>JAN-1845</t>
  </si>
  <si>
    <t>JAN-1846</t>
  </si>
  <si>
    <t>JAN-1847</t>
  </si>
  <si>
    <t>JAN-1848</t>
  </si>
  <si>
    <t>JAN-1849</t>
  </si>
  <si>
    <t>JAN-1850</t>
  </si>
  <si>
    <t>JAN-1851</t>
  </si>
  <si>
    <t>JAN-1852</t>
  </si>
  <si>
    <t>JAN-1853</t>
  </si>
  <si>
    <t>JAN-1854</t>
  </si>
  <si>
    <t>JAN-1855</t>
  </si>
  <si>
    <t>JAN-1856</t>
  </si>
  <si>
    <t>JAN-1857</t>
  </si>
  <si>
    <t>JAN-1858</t>
  </si>
  <si>
    <t>JAN-1859</t>
  </si>
  <si>
    <t>JAN-1860</t>
  </si>
  <si>
    <t>JAN-1861</t>
  </si>
  <si>
    <t>JAN-1862</t>
  </si>
  <si>
    <t>JAN-1863</t>
  </si>
  <si>
    <t>JAN-1864</t>
  </si>
  <si>
    <t>JAN-1865</t>
  </si>
  <si>
    <t>JAN-1866</t>
  </si>
  <si>
    <t>JAN-1867</t>
  </si>
  <si>
    <t>JAN-1868</t>
  </si>
  <si>
    <t>JAN-1869</t>
  </si>
  <si>
    <t>JAN-1870</t>
  </si>
  <si>
    <t>JAN-1871</t>
  </si>
  <si>
    <t>JAN-1872</t>
  </si>
  <si>
    <t>JAN-1873</t>
  </si>
  <si>
    <t>JAN-1874</t>
  </si>
  <si>
    <t>JAN-1875</t>
  </si>
  <si>
    <t>JAN-1876</t>
  </si>
  <si>
    <t>JAN-1877</t>
  </si>
  <si>
    <t>JAN-1878</t>
  </si>
  <si>
    <t>JAN-1879</t>
  </si>
  <si>
    <t>JAN-1880</t>
  </si>
  <si>
    <t>JAN-1881</t>
  </si>
  <si>
    <t>JAN-1882</t>
  </si>
  <si>
    <t>JAN-1883</t>
  </si>
  <si>
    <t>JAN-1884</t>
  </si>
  <si>
    <t>JAN-1885</t>
  </si>
  <si>
    <t>JAN-1886</t>
  </si>
  <si>
    <t>JAN-1887</t>
  </si>
  <si>
    <t>JAN-1888</t>
  </si>
  <si>
    <t>JAN-1889</t>
  </si>
  <si>
    <t>JAN-1890</t>
  </si>
  <si>
    <t>JAN-1891</t>
  </si>
  <si>
    <t>JAN-1892</t>
  </si>
  <si>
    <t>JAN-1893</t>
  </si>
  <si>
    <t>JAN-1894</t>
  </si>
  <si>
    <t>JAN-1895</t>
  </si>
  <si>
    <t>JAN-1896</t>
  </si>
  <si>
    <t>JAN-1897</t>
  </si>
  <si>
    <t>JAN-1898</t>
  </si>
  <si>
    <t>JAN-1899</t>
  </si>
  <si>
    <t>qbo</t>
  </si>
  <si>
    <t>phi</t>
  </si>
  <si>
    <t>QA</t>
  </si>
  <si>
    <t>cf</t>
  </si>
  <si>
    <t>m</t>
  </si>
  <si>
    <t>lambda</t>
  </si>
  <si>
    <t>theta</t>
  </si>
  <si>
    <t>Qmod</t>
  </si>
  <si>
    <t>force</t>
  </si>
  <si>
    <t>hill</t>
  </si>
  <si>
    <t>qbo, cw</t>
  </si>
  <si>
    <t>hQ</t>
  </si>
  <si>
    <t>hC</t>
  </si>
  <si>
    <t>fQ</t>
  </si>
  <si>
    <t>fC</t>
  </si>
  <si>
    <t>CF</t>
  </si>
  <si>
    <t>QMA,QMP</t>
  </si>
  <si>
    <t>mix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</si>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</sst>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20" fontId="0" fillId="0" borderId="0" xfId="0" applyNumberFormat="1"/>
    <xf numFmtId="46" fontId="0" fillId="0" borderId="0" xfId="0" applyNumberFormat="1"/>
    <xf numFmtId="17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100236707452E-2"/>
          <c:y val="5.1400554097404488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data!$E$10:$E$337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data!$F$10:$F$337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24608"/>
        <c:axId val="415925392"/>
      </c:scatterChart>
      <c:valAx>
        <c:axId val="415924608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15925392"/>
        <c:crosses val="autoZero"/>
        <c:crossBetween val="midCat"/>
      </c:valAx>
      <c:valAx>
        <c:axId val="415925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59246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data!$I$12:$I$335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data!$J$12:$J$335</c:f>
              <c:numCache>
                <c:formatCode>General</c:formatCode>
                <c:ptCount val="324"/>
                <c:pt idx="0">
                  <c:v>0.17608900331041166</c:v>
                </c:pt>
                <c:pt idx="1">
                  <c:v>0.14600909514188931</c:v>
                </c:pt>
                <c:pt idx="2">
                  <c:v>3.6084974731059982E-2</c:v>
                </c:pt>
                <c:pt idx="3">
                  <c:v>5.780394018947918E-2</c:v>
                </c:pt>
                <c:pt idx="4">
                  <c:v>1.0797087735223323</c:v>
                </c:pt>
                <c:pt idx="5">
                  <c:v>0.1757290301218622</c:v>
                </c:pt>
                <c:pt idx="6">
                  <c:v>0.51653360577835261</c:v>
                </c:pt>
                <c:pt idx="7">
                  <c:v>0.17596445891827336</c:v>
                </c:pt>
                <c:pt idx="8">
                  <c:v>0.24757791287136333</c:v>
                </c:pt>
                <c:pt idx="9">
                  <c:v>0.39086837728457385</c:v>
                </c:pt>
                <c:pt idx="10">
                  <c:v>-5.1374814153722304E-2</c:v>
                </c:pt>
                <c:pt idx="11">
                  <c:v>-0.3286798171603908</c:v>
                </c:pt>
                <c:pt idx="12">
                  <c:v>-0.6256123269285484</c:v>
                </c:pt>
                <c:pt idx="13">
                  <c:v>-0.29318878100277301</c:v>
                </c:pt>
                <c:pt idx="14">
                  <c:v>-0.47172381953065723</c:v>
                </c:pt>
                <c:pt idx="15">
                  <c:v>-0.34845200813148935</c:v>
                </c:pt>
                <c:pt idx="16">
                  <c:v>-0.68615183547873659</c:v>
                </c:pt>
                <c:pt idx="17">
                  <c:v>-0.24954355836830178</c:v>
                </c:pt>
                <c:pt idx="18">
                  <c:v>-0.44286684666631088</c:v>
                </c:pt>
                <c:pt idx="19">
                  <c:v>4.2010448735280426E-2</c:v>
                </c:pt>
                <c:pt idx="20">
                  <c:v>-2.6694778831383104E-2</c:v>
                </c:pt>
                <c:pt idx="21">
                  <c:v>-5.7004185724179562E-2</c:v>
                </c:pt>
                <c:pt idx="22">
                  <c:v>0.28710024286977054</c:v>
                </c:pt>
                <c:pt idx="23">
                  <c:v>-8.5173741976906414E-2</c:v>
                </c:pt>
                <c:pt idx="24">
                  <c:v>-0.59731483194165125</c:v>
                </c:pt>
                <c:pt idx="25">
                  <c:v>4.9933833000046945E-2</c:v>
                </c:pt>
                <c:pt idx="26">
                  <c:v>-0.21957929690802572</c:v>
                </c:pt>
                <c:pt idx="27">
                  <c:v>-7.7076494817139074E-2</c:v>
                </c:pt>
                <c:pt idx="28">
                  <c:v>0.25682760467759885</c:v>
                </c:pt>
                <c:pt idx="29">
                  <c:v>0.17894861798716766</c:v>
                </c:pt>
                <c:pt idx="30">
                  <c:v>0.7956277177452783</c:v>
                </c:pt>
                <c:pt idx="31">
                  <c:v>-7.3428964042540235E-2</c:v>
                </c:pt>
                <c:pt idx="32">
                  <c:v>0.21181100685136819</c:v>
                </c:pt>
                <c:pt idx="33">
                  <c:v>-6.567011154389113E-2</c:v>
                </c:pt>
                <c:pt idx="34">
                  <c:v>0.17964382670132467</c:v>
                </c:pt>
                <c:pt idx="35">
                  <c:v>0.79316001263089408</c:v>
                </c:pt>
                <c:pt idx="36">
                  <c:v>0.37778792563434832</c:v>
                </c:pt>
                <c:pt idx="37">
                  <c:v>0.73362986289445264</c:v>
                </c:pt>
                <c:pt idx="38">
                  <c:v>0.39646770868905423</c:v>
                </c:pt>
                <c:pt idx="39">
                  <c:v>0.24414092581017438</c:v>
                </c:pt>
                <c:pt idx="40">
                  <c:v>0.53073648084662306</c:v>
                </c:pt>
                <c:pt idx="41">
                  <c:v>0.63025722518459371</c:v>
                </c:pt>
                <c:pt idx="42">
                  <c:v>0.60876421530915659</c:v>
                </c:pt>
                <c:pt idx="43">
                  <c:v>1.0493925494487004</c:v>
                </c:pt>
                <c:pt idx="44">
                  <c:v>-0.851136891602565</c:v>
                </c:pt>
                <c:pt idx="45">
                  <c:v>1.3804129695003109E-2</c:v>
                </c:pt>
                <c:pt idx="46">
                  <c:v>-0.64245280042570041</c:v>
                </c:pt>
                <c:pt idx="47">
                  <c:v>-0.16461381058985153</c:v>
                </c:pt>
                <c:pt idx="48">
                  <c:v>-0.22174680030956823</c:v>
                </c:pt>
                <c:pt idx="49">
                  <c:v>0.22924290246776868</c:v>
                </c:pt>
                <c:pt idx="50">
                  <c:v>4.482899458712436E-2</c:v>
                </c:pt>
                <c:pt idx="51">
                  <c:v>-0.36307663328594003</c:v>
                </c:pt>
                <c:pt idx="52">
                  <c:v>-0.15174121339801128</c:v>
                </c:pt>
                <c:pt idx="53">
                  <c:v>-0.55409360700354282</c:v>
                </c:pt>
                <c:pt idx="54">
                  <c:v>-0.21201748685970104</c:v>
                </c:pt>
                <c:pt idx="55">
                  <c:v>-0.86322576852424948</c:v>
                </c:pt>
                <c:pt idx="56">
                  <c:v>0.2300735922390352</c:v>
                </c:pt>
                <c:pt idx="57">
                  <c:v>-0.43142383872202339</c:v>
                </c:pt>
                <c:pt idx="58">
                  <c:v>0.49955626564453415</c:v>
                </c:pt>
                <c:pt idx="59">
                  <c:v>6.7034075431904705E-2</c:v>
                </c:pt>
                <c:pt idx="60">
                  <c:v>0.60751382708195156</c:v>
                </c:pt>
                <c:pt idx="61">
                  <c:v>0.38282576942728275</c:v>
                </c:pt>
                <c:pt idx="62">
                  <c:v>-0.2805910147902001</c:v>
                </c:pt>
                <c:pt idx="63">
                  <c:v>-0.63605831165039728</c:v>
                </c:pt>
                <c:pt idx="64">
                  <c:v>-0.30828033729162785</c:v>
                </c:pt>
                <c:pt idx="65">
                  <c:v>-0.1839203835537192</c:v>
                </c:pt>
                <c:pt idx="66">
                  <c:v>0.36471997677393975</c:v>
                </c:pt>
                <c:pt idx="67">
                  <c:v>0.69063750567513016</c:v>
                </c:pt>
                <c:pt idx="68">
                  <c:v>1.0924986535331083</c:v>
                </c:pt>
                <c:pt idx="69">
                  <c:v>1.3344699984037194</c:v>
                </c:pt>
                <c:pt idx="70">
                  <c:v>0.56578833905520298</c:v>
                </c:pt>
                <c:pt idx="71">
                  <c:v>0.35608958935909851</c:v>
                </c:pt>
                <c:pt idx="72">
                  <c:v>0.5652170736360298</c:v>
                </c:pt>
                <c:pt idx="73">
                  <c:v>-0.26353824269406356</c:v>
                </c:pt>
                <c:pt idx="74">
                  <c:v>1.3198029828502107</c:v>
                </c:pt>
                <c:pt idx="75">
                  <c:v>0.7040719458250061</c:v>
                </c:pt>
                <c:pt idx="76">
                  <c:v>-0.18758714689279682</c:v>
                </c:pt>
                <c:pt idx="77">
                  <c:v>-5.4340056317238206E-2</c:v>
                </c:pt>
                <c:pt idx="78">
                  <c:v>-0.41201687116610619</c:v>
                </c:pt>
                <c:pt idx="79">
                  <c:v>-0.72400589907628254</c:v>
                </c:pt>
                <c:pt idx="80">
                  <c:v>-0.52098107441399399</c:v>
                </c:pt>
                <c:pt idx="81">
                  <c:v>-1.7537741694407105</c:v>
                </c:pt>
                <c:pt idx="82">
                  <c:v>1.9538648855952967E-2</c:v>
                </c:pt>
                <c:pt idx="83">
                  <c:v>-0.16799030404806645</c:v>
                </c:pt>
                <c:pt idx="84">
                  <c:v>0.3726115758308613</c:v>
                </c:pt>
                <c:pt idx="85">
                  <c:v>0.20483603333694878</c:v>
                </c:pt>
                <c:pt idx="86">
                  <c:v>0.92181224730268951</c:v>
                </c:pt>
                <c:pt idx="87">
                  <c:v>-0.41618547367961889</c:v>
                </c:pt>
                <c:pt idx="88">
                  <c:v>-0.12004803588002724</c:v>
                </c:pt>
                <c:pt idx="89">
                  <c:v>-0.13253177981828296</c:v>
                </c:pt>
                <c:pt idx="90">
                  <c:v>-0.53958238710376838</c:v>
                </c:pt>
                <c:pt idx="91">
                  <c:v>0.17418563955523025</c:v>
                </c:pt>
                <c:pt idx="92">
                  <c:v>0.15163916563789598</c:v>
                </c:pt>
                <c:pt idx="93">
                  <c:v>1.4167791164452586</c:v>
                </c:pt>
                <c:pt idx="94">
                  <c:v>1.5477328196986813</c:v>
                </c:pt>
                <c:pt idx="95">
                  <c:v>2.1492270409685768</c:v>
                </c:pt>
                <c:pt idx="96">
                  <c:v>6.9901231514956308E-2</c:v>
                </c:pt>
                <c:pt idx="97">
                  <c:v>0.85375528204544759</c:v>
                </c:pt>
                <c:pt idx="98">
                  <c:v>-0.39889308749619945</c:v>
                </c:pt>
                <c:pt idx="99">
                  <c:v>0.2194047220625755</c:v>
                </c:pt>
                <c:pt idx="100">
                  <c:v>-2.0432224292346262</c:v>
                </c:pt>
                <c:pt idx="101">
                  <c:v>-1.3593275828911133</c:v>
                </c:pt>
                <c:pt idx="102">
                  <c:v>-1.0188521799244099</c:v>
                </c:pt>
                <c:pt idx="103">
                  <c:v>-1.0842978231400571</c:v>
                </c:pt>
                <c:pt idx="104">
                  <c:v>-0.4129837737649405</c:v>
                </c:pt>
                <c:pt idx="105">
                  <c:v>-1.2538311488165732</c:v>
                </c:pt>
                <c:pt idx="106">
                  <c:v>-0.6625954458923724</c:v>
                </c:pt>
                <c:pt idx="107">
                  <c:v>-0.17456245071604648</c:v>
                </c:pt>
                <c:pt idx="108">
                  <c:v>2.3388296984484844E-2</c:v>
                </c:pt>
                <c:pt idx="109">
                  <c:v>-0.47542416025326595</c:v>
                </c:pt>
                <c:pt idx="110">
                  <c:v>0.15946030949459283</c:v>
                </c:pt>
                <c:pt idx="111">
                  <c:v>-0.64889882402420695</c:v>
                </c:pt>
                <c:pt idx="112">
                  <c:v>0.24922874666193146</c:v>
                </c:pt>
                <c:pt idx="113">
                  <c:v>-0.38700917777079874</c:v>
                </c:pt>
                <c:pt idx="114">
                  <c:v>0.62928524603250158</c:v>
                </c:pt>
                <c:pt idx="115">
                  <c:v>0.26104271556508163</c:v>
                </c:pt>
                <c:pt idx="116">
                  <c:v>0.35690804168549628</c:v>
                </c:pt>
                <c:pt idx="117">
                  <c:v>0.38922129913466263</c:v>
                </c:pt>
                <c:pt idx="118">
                  <c:v>0.39888384843136881</c:v>
                </c:pt>
                <c:pt idx="119">
                  <c:v>0.43213524505195278</c:v>
                </c:pt>
                <c:pt idx="120">
                  <c:v>-0.56386520506003857</c:v>
                </c:pt>
                <c:pt idx="121">
                  <c:v>-0.96678221378020324</c:v>
                </c:pt>
                <c:pt idx="122">
                  <c:v>-0.37048764495770609</c:v>
                </c:pt>
                <c:pt idx="123">
                  <c:v>-0.51066526968132842</c:v>
                </c:pt>
                <c:pt idx="124">
                  <c:v>-0.50867972797369809</c:v>
                </c:pt>
                <c:pt idx="125">
                  <c:v>-0.6651633094019842</c:v>
                </c:pt>
                <c:pt idx="126">
                  <c:v>-1.0944925868381368</c:v>
                </c:pt>
                <c:pt idx="127">
                  <c:v>-0.92829431662702477</c:v>
                </c:pt>
                <c:pt idx="128">
                  <c:v>-0.52343090939171855</c:v>
                </c:pt>
                <c:pt idx="129">
                  <c:v>-0.20537678395070835</c:v>
                </c:pt>
                <c:pt idx="130">
                  <c:v>-5.650842605708617E-2</c:v>
                </c:pt>
                <c:pt idx="131">
                  <c:v>0.26669150321994284</c:v>
                </c:pt>
                <c:pt idx="132">
                  <c:v>1.0582065556849147</c:v>
                </c:pt>
                <c:pt idx="133">
                  <c:v>-0.40071989608126823</c:v>
                </c:pt>
                <c:pt idx="134">
                  <c:v>-0.39439536196057745</c:v>
                </c:pt>
                <c:pt idx="135">
                  <c:v>-0.40041892031138787</c:v>
                </c:pt>
                <c:pt idx="136">
                  <c:v>-0.59745245080084741</c:v>
                </c:pt>
                <c:pt idx="137">
                  <c:v>-0.21907421817521711</c:v>
                </c:pt>
                <c:pt idx="138">
                  <c:v>-0.79538266710277883</c:v>
                </c:pt>
                <c:pt idx="139">
                  <c:v>1.6232126934514435</c:v>
                </c:pt>
                <c:pt idx="140">
                  <c:v>1.6854896288937509</c:v>
                </c:pt>
                <c:pt idx="141">
                  <c:v>1.3750457793612796</c:v>
                </c:pt>
                <c:pt idx="142">
                  <c:v>0.67367687173665236</c:v>
                </c:pt>
                <c:pt idx="143">
                  <c:v>0.47698894712169965</c:v>
                </c:pt>
                <c:pt idx="144">
                  <c:v>1.2674877369429599E-2</c:v>
                </c:pt>
                <c:pt idx="145">
                  <c:v>-0.49407380751866614</c:v>
                </c:pt>
                <c:pt idx="146">
                  <c:v>-0.5342649783126896</c:v>
                </c:pt>
                <c:pt idx="147">
                  <c:v>0.12695109051443243</c:v>
                </c:pt>
                <c:pt idx="148">
                  <c:v>-4.1335904944428736E-2</c:v>
                </c:pt>
                <c:pt idx="149">
                  <c:v>-0.21013814363736794</c:v>
                </c:pt>
                <c:pt idx="150">
                  <c:v>1.5767951208547348E-2</c:v>
                </c:pt>
                <c:pt idx="151">
                  <c:v>-0.78279891762940279</c:v>
                </c:pt>
                <c:pt idx="152">
                  <c:v>0.7924342481068456</c:v>
                </c:pt>
                <c:pt idx="153">
                  <c:v>-0.9218531764786182</c:v>
                </c:pt>
                <c:pt idx="154">
                  <c:v>-0.39672560245871102</c:v>
                </c:pt>
                <c:pt idx="155">
                  <c:v>-0.21943348068525342</c:v>
                </c:pt>
                <c:pt idx="156">
                  <c:v>-0.63463047574154108</c:v>
                </c:pt>
                <c:pt idx="157">
                  <c:v>-0.21218313770891373</c:v>
                </c:pt>
                <c:pt idx="158">
                  <c:v>-0.35257260398409923</c:v>
                </c:pt>
                <c:pt idx="159">
                  <c:v>-0.73626812568710043</c:v>
                </c:pt>
                <c:pt idx="160">
                  <c:v>-0.21808050378635591</c:v>
                </c:pt>
                <c:pt idx="161">
                  <c:v>-8.1368214543603989E-2</c:v>
                </c:pt>
                <c:pt idx="162">
                  <c:v>0.47779347225229191</c:v>
                </c:pt>
                <c:pt idx="163">
                  <c:v>0.66789186365594655</c:v>
                </c:pt>
                <c:pt idx="164">
                  <c:v>1.5732184288358462</c:v>
                </c:pt>
                <c:pt idx="165">
                  <c:v>0.25442583209212355</c:v>
                </c:pt>
                <c:pt idx="166">
                  <c:v>-0.99311982974375312</c:v>
                </c:pt>
                <c:pt idx="167">
                  <c:v>-0.48196726792906786</c:v>
                </c:pt>
                <c:pt idx="168">
                  <c:v>-1.0166202383528231</c:v>
                </c:pt>
                <c:pt idx="169">
                  <c:v>-0.32343219206710594</c:v>
                </c:pt>
                <c:pt idx="170">
                  <c:v>-0.93602069303203295</c:v>
                </c:pt>
                <c:pt idx="171">
                  <c:v>-0.44460427195080732</c:v>
                </c:pt>
                <c:pt idx="172">
                  <c:v>6.0607336172758181E-2</c:v>
                </c:pt>
                <c:pt idx="173">
                  <c:v>0.46973239695231717</c:v>
                </c:pt>
                <c:pt idx="174">
                  <c:v>0.35691901870218751</c:v>
                </c:pt>
                <c:pt idx="175">
                  <c:v>0.7467120626657755</c:v>
                </c:pt>
                <c:pt idx="176">
                  <c:v>0.87193391113248575</c:v>
                </c:pt>
                <c:pt idx="177">
                  <c:v>1.0246807496237997</c:v>
                </c:pt>
                <c:pt idx="178">
                  <c:v>0.52710008794503427</c:v>
                </c:pt>
                <c:pt idx="179">
                  <c:v>0.38008088887556979</c:v>
                </c:pt>
                <c:pt idx="180">
                  <c:v>0.52284717748005127</c:v>
                </c:pt>
                <c:pt idx="181">
                  <c:v>0.54539177429800145</c:v>
                </c:pt>
                <c:pt idx="182">
                  <c:v>0.658908293214161</c:v>
                </c:pt>
                <c:pt idx="183">
                  <c:v>0.81581730425206178</c:v>
                </c:pt>
                <c:pt idx="184">
                  <c:v>0.45055529766358943</c:v>
                </c:pt>
                <c:pt idx="185">
                  <c:v>1.5020998476826009</c:v>
                </c:pt>
                <c:pt idx="186">
                  <c:v>0.58205380212731361</c:v>
                </c:pt>
                <c:pt idx="187">
                  <c:v>0.94818947251521279</c:v>
                </c:pt>
                <c:pt idx="188">
                  <c:v>0.1508234537263336</c:v>
                </c:pt>
                <c:pt idx="189">
                  <c:v>0.60134770722135422</c:v>
                </c:pt>
                <c:pt idx="190">
                  <c:v>-0.68116942344894071</c:v>
                </c:pt>
                <c:pt idx="191">
                  <c:v>0.16222620537737426</c:v>
                </c:pt>
                <c:pt idx="192">
                  <c:v>0.44467561743842265</c:v>
                </c:pt>
                <c:pt idx="193">
                  <c:v>-8.6732325808511035E-2</c:v>
                </c:pt>
                <c:pt idx="194">
                  <c:v>0.53074024546429199</c:v>
                </c:pt>
                <c:pt idx="195">
                  <c:v>-0.45015759375978781</c:v>
                </c:pt>
                <c:pt idx="196">
                  <c:v>0.5258631783754375</c:v>
                </c:pt>
                <c:pt idx="197">
                  <c:v>-0.24646807394742387</c:v>
                </c:pt>
                <c:pt idx="198">
                  <c:v>0.43042718171782857</c:v>
                </c:pt>
                <c:pt idx="199">
                  <c:v>-0.1769271482660526</c:v>
                </c:pt>
                <c:pt idx="200">
                  <c:v>0.36949445467965281</c:v>
                </c:pt>
                <c:pt idx="201">
                  <c:v>4.7931102870922837E-2</c:v>
                </c:pt>
                <c:pt idx="202">
                  <c:v>0.55064303913950674</c:v>
                </c:pt>
                <c:pt idx="203">
                  <c:v>-0.27673574173416954</c:v>
                </c:pt>
                <c:pt idx="204">
                  <c:v>1.6044903638953409</c:v>
                </c:pt>
                <c:pt idx="205">
                  <c:v>-0.47493300755713685</c:v>
                </c:pt>
                <c:pt idx="206">
                  <c:v>0.25153440367766455</c:v>
                </c:pt>
                <c:pt idx="207">
                  <c:v>-0.56122774896296435</c:v>
                </c:pt>
                <c:pt idx="208">
                  <c:v>-0.85786783189103932</c:v>
                </c:pt>
                <c:pt idx="209">
                  <c:v>-1.4673047250099998</c:v>
                </c:pt>
                <c:pt idx="210">
                  <c:v>-1.8261139244284434</c:v>
                </c:pt>
                <c:pt idx="211">
                  <c:v>-1.153496665538013</c:v>
                </c:pt>
                <c:pt idx="212">
                  <c:v>-1.014900792228935</c:v>
                </c:pt>
                <c:pt idx="213">
                  <c:v>-0.13967595756604767</c:v>
                </c:pt>
                <c:pt idx="214">
                  <c:v>-0.28470074703403114</c:v>
                </c:pt>
                <c:pt idx="215">
                  <c:v>0.57073659135820332</c:v>
                </c:pt>
                <c:pt idx="216">
                  <c:v>0.104020028191534</c:v>
                </c:pt>
                <c:pt idx="217">
                  <c:v>1.3729385147623656</c:v>
                </c:pt>
                <c:pt idx="218">
                  <c:v>-0.61169690754329042</c:v>
                </c:pt>
                <c:pt idx="219">
                  <c:v>-0.20105310494406403</c:v>
                </c:pt>
                <c:pt idx="220">
                  <c:v>-0.54254149041458855</c:v>
                </c:pt>
                <c:pt idx="221">
                  <c:v>-0.81004302189840049</c:v>
                </c:pt>
                <c:pt idx="222">
                  <c:v>-0.51219020217411315</c:v>
                </c:pt>
                <c:pt idx="223">
                  <c:v>0.32993063928220701</c:v>
                </c:pt>
                <c:pt idx="224">
                  <c:v>-0.11043700382767657</c:v>
                </c:pt>
                <c:pt idx="225">
                  <c:v>0.33809871110698908</c:v>
                </c:pt>
                <c:pt idx="226">
                  <c:v>-0.21279419097523777</c:v>
                </c:pt>
                <c:pt idx="227">
                  <c:v>-8.9083258261516529E-2</c:v>
                </c:pt>
                <c:pt idx="228">
                  <c:v>-1.255407328436968</c:v>
                </c:pt>
                <c:pt idx="229">
                  <c:v>-4.4151360517397098E-3</c:v>
                </c:pt>
                <c:pt idx="230">
                  <c:v>-0.11830493192347413</c:v>
                </c:pt>
                <c:pt idx="231">
                  <c:v>5.035987913880613E-2</c:v>
                </c:pt>
                <c:pt idx="232">
                  <c:v>0.17200040396477795</c:v>
                </c:pt>
                <c:pt idx="233">
                  <c:v>5.0590617875931887E-3</c:v>
                </c:pt>
                <c:pt idx="234">
                  <c:v>0.39830413216914989</c:v>
                </c:pt>
                <c:pt idx="235">
                  <c:v>-1.0682546084470224</c:v>
                </c:pt>
                <c:pt idx="236">
                  <c:v>0.9525290015324972</c:v>
                </c:pt>
                <c:pt idx="237">
                  <c:v>0.59189459534314781</c:v>
                </c:pt>
                <c:pt idx="238">
                  <c:v>-0.36902245229753217</c:v>
                </c:pt>
                <c:pt idx="239">
                  <c:v>-0.22589668178685499</c:v>
                </c:pt>
                <c:pt idx="240">
                  <c:v>-0.98897254420416258</c:v>
                </c:pt>
                <c:pt idx="241">
                  <c:v>-2.1468951509518961</c:v>
                </c:pt>
                <c:pt idx="242">
                  <c:v>-2.0997128644078629</c:v>
                </c:pt>
                <c:pt idx="243">
                  <c:v>-0.47034912513984678</c:v>
                </c:pt>
                <c:pt idx="244">
                  <c:v>-0.60994030907029784</c:v>
                </c:pt>
                <c:pt idx="245">
                  <c:v>1.9785939040404266E-3</c:v>
                </c:pt>
                <c:pt idx="246">
                  <c:v>7.5453955964898234E-2</c:v>
                </c:pt>
                <c:pt idx="247">
                  <c:v>-0.49379836240572827</c:v>
                </c:pt>
                <c:pt idx="248">
                  <c:v>0.261199509087779</c:v>
                </c:pt>
                <c:pt idx="249">
                  <c:v>1.1389004599202701</c:v>
                </c:pt>
                <c:pt idx="250">
                  <c:v>-1.054375669994601</c:v>
                </c:pt>
                <c:pt idx="251">
                  <c:v>1.4965364224510882</c:v>
                </c:pt>
                <c:pt idx="252">
                  <c:v>-0.32084338514491595</c:v>
                </c:pt>
                <c:pt idx="253">
                  <c:v>1.9807569514408412</c:v>
                </c:pt>
                <c:pt idx="254">
                  <c:v>1.627724816816543</c:v>
                </c:pt>
                <c:pt idx="255">
                  <c:v>0.82487904331827422</c:v>
                </c:pt>
                <c:pt idx="256">
                  <c:v>0.26661482815576626</c:v>
                </c:pt>
                <c:pt idx="257">
                  <c:v>-0.56242737516939689</c:v>
                </c:pt>
                <c:pt idx="258">
                  <c:v>-6.9679299040421805E-2</c:v>
                </c:pt>
                <c:pt idx="259">
                  <c:v>-0.24013023206419981</c:v>
                </c:pt>
                <c:pt idx="260">
                  <c:v>1.5178612360268426</c:v>
                </c:pt>
                <c:pt idx="261">
                  <c:v>1.3907417918454403</c:v>
                </c:pt>
                <c:pt idx="262">
                  <c:v>2.1958991610425351</c:v>
                </c:pt>
                <c:pt idx="263">
                  <c:v>1.3198867556944491</c:v>
                </c:pt>
                <c:pt idx="264">
                  <c:v>-0.15924626653222973</c:v>
                </c:pt>
                <c:pt idx="265">
                  <c:v>0.70721220232781523</c:v>
                </c:pt>
                <c:pt idx="266">
                  <c:v>-0.85463266389303061</c:v>
                </c:pt>
                <c:pt idx="267">
                  <c:v>1.8745542840258844</c:v>
                </c:pt>
                <c:pt idx="268">
                  <c:v>0.87796020684784137</c:v>
                </c:pt>
                <c:pt idx="269">
                  <c:v>-0.13729921502144415</c:v>
                </c:pt>
                <c:pt idx="270">
                  <c:v>-7.4421949144332755E-2</c:v>
                </c:pt>
                <c:pt idx="271">
                  <c:v>-0.77417355094045193</c:v>
                </c:pt>
                <c:pt idx="272">
                  <c:v>0.43092743834067837</c:v>
                </c:pt>
                <c:pt idx="273">
                  <c:v>-1.6733191860166801</c:v>
                </c:pt>
                <c:pt idx="274">
                  <c:v>2.2703115076356664</c:v>
                </c:pt>
                <c:pt idx="275">
                  <c:v>-0.90489973900773435</c:v>
                </c:pt>
                <c:pt idx="276">
                  <c:v>0.82006438115323455</c:v>
                </c:pt>
                <c:pt idx="277">
                  <c:v>8.4009492343739556E-2</c:v>
                </c:pt>
                <c:pt idx="278">
                  <c:v>0.44331672587940352</c:v>
                </c:pt>
                <c:pt idx="279">
                  <c:v>1.1566789587495339</c:v>
                </c:pt>
                <c:pt idx="280">
                  <c:v>0.21859124621318393</c:v>
                </c:pt>
                <c:pt idx="281">
                  <c:v>0.26813880769621268</c:v>
                </c:pt>
                <c:pt idx="282">
                  <c:v>-1.2174770905718273</c:v>
                </c:pt>
                <c:pt idx="283">
                  <c:v>-6.8840783872954642E-2</c:v>
                </c:pt>
                <c:pt idx="284">
                  <c:v>-0.35855182968503985</c:v>
                </c:pt>
                <c:pt idx="285">
                  <c:v>-9.6526882732717034E-3</c:v>
                </c:pt>
                <c:pt idx="286">
                  <c:v>0.41231595278471156</c:v>
                </c:pt>
                <c:pt idx="287">
                  <c:v>0.13985367790257408</c:v>
                </c:pt>
                <c:pt idx="288">
                  <c:v>1.5744794492648495</c:v>
                </c:pt>
                <c:pt idx="289">
                  <c:v>1.5024574538599813</c:v>
                </c:pt>
                <c:pt idx="290">
                  <c:v>1.4116472163516356</c:v>
                </c:pt>
                <c:pt idx="291">
                  <c:v>0.68899501436740274</c:v>
                </c:pt>
                <c:pt idx="292">
                  <c:v>1.2225870708524147</c:v>
                </c:pt>
                <c:pt idx="293">
                  <c:v>0.29229678946635096</c:v>
                </c:pt>
                <c:pt idx="294">
                  <c:v>-1.3600097851897837</c:v>
                </c:pt>
                <c:pt idx="295">
                  <c:v>0.47471755422380413</c:v>
                </c:pt>
                <c:pt idx="296">
                  <c:v>-0.7204890517641227</c:v>
                </c:pt>
                <c:pt idx="297">
                  <c:v>-0.29920915832177203</c:v>
                </c:pt>
                <c:pt idx="298">
                  <c:v>-0.68955648783459278</c:v>
                </c:pt>
                <c:pt idx="299">
                  <c:v>-2.0740102536610641</c:v>
                </c:pt>
                <c:pt idx="300">
                  <c:v>0.10089792990300483</c:v>
                </c:pt>
                <c:pt idx="301">
                  <c:v>-1.7311819538585858</c:v>
                </c:pt>
                <c:pt idx="302">
                  <c:v>-0.92107580864706406</c:v>
                </c:pt>
                <c:pt idx="303">
                  <c:v>-0.82116931146000216</c:v>
                </c:pt>
                <c:pt idx="304">
                  <c:v>-0.72963867851384201</c:v>
                </c:pt>
                <c:pt idx="305">
                  <c:v>-0.92411684010530182</c:v>
                </c:pt>
                <c:pt idx="306">
                  <c:v>1.2546083006431688</c:v>
                </c:pt>
                <c:pt idx="307">
                  <c:v>-0.48338016473379408</c:v>
                </c:pt>
                <c:pt idx="308">
                  <c:v>0.50061998659154294</c:v>
                </c:pt>
                <c:pt idx="309">
                  <c:v>-0.49746808380161039</c:v>
                </c:pt>
                <c:pt idx="310">
                  <c:v>0.35875661967914418</c:v>
                </c:pt>
                <c:pt idx="311">
                  <c:v>-0.56897934900512959</c:v>
                </c:pt>
                <c:pt idx="312">
                  <c:v>1.6656680038493923</c:v>
                </c:pt>
                <c:pt idx="313">
                  <c:v>-6.5562391028871903E-2</c:v>
                </c:pt>
                <c:pt idx="314">
                  <c:v>2.1252775347953277</c:v>
                </c:pt>
                <c:pt idx="315">
                  <c:v>-1.9556889009025191E-2</c:v>
                </c:pt>
                <c:pt idx="316">
                  <c:v>0.79549627086602337</c:v>
                </c:pt>
                <c:pt idx="317">
                  <c:v>-0.54697940263481559</c:v>
                </c:pt>
                <c:pt idx="318">
                  <c:v>0.13344136522082128</c:v>
                </c:pt>
                <c:pt idx="319">
                  <c:v>-2.6957617862200882</c:v>
                </c:pt>
                <c:pt idx="320">
                  <c:v>-1.7501683080668651</c:v>
                </c:pt>
                <c:pt idx="321">
                  <c:v>0.34799121276634271</c:v>
                </c:pt>
                <c:pt idx="322">
                  <c:v>-1.5009705536927367</c:v>
                </c:pt>
                <c:pt idx="323">
                  <c:v>0.4849046601140134</c:v>
                </c:pt>
              </c:numCache>
            </c:numRef>
          </c:yVal>
          <c:smooth val="0"/>
        </c:ser>
        <c:ser>
          <c:idx val="1"/>
          <c:order val="1"/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data!$I$12:$I$335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data!$K$12:$K$335</c:f>
              <c:numCache>
                <c:formatCode>General</c:formatCode>
                <c:ptCount val="324"/>
                <c:pt idx="0">
                  <c:v>-0.64521673836059357</c:v>
                </c:pt>
                <c:pt idx="1">
                  <c:v>0.25367348195621287</c:v>
                </c:pt>
                <c:pt idx="2">
                  <c:v>0.18724302508623022</c:v>
                </c:pt>
                <c:pt idx="3">
                  <c:v>-0.59171584579358638</c:v>
                </c:pt>
                <c:pt idx="4">
                  <c:v>0.88102119004305768</c:v>
                </c:pt>
                <c:pt idx="5">
                  <c:v>-0.99885066815628665</c:v>
                </c:pt>
                <c:pt idx="6">
                  <c:v>0.92227076611174608</c:v>
                </c:pt>
                <c:pt idx="7">
                  <c:v>-0.6661864659689688</c:v>
                </c:pt>
                <c:pt idx="8">
                  <c:v>0.28044024333122874</c:v>
                </c:pt>
                <c:pt idx="9">
                  <c:v>0.15988892710385677</c:v>
                </c:pt>
                <c:pt idx="10">
                  <c:v>-0.56909842349499296</c:v>
                </c:pt>
                <c:pt idx="11">
                  <c:v>0.86754254194876268</c:v>
                </c:pt>
                <c:pt idx="12">
                  <c:v>-0.99713418503494788</c:v>
                </c:pt>
                <c:pt idx="13">
                  <c:v>0.93265053235686624</c:v>
                </c:pt>
                <c:pt idx="14">
                  <c:v>-0.68664223572575855</c:v>
                </c:pt>
                <c:pt idx="15">
                  <c:v>0.30699064716508312</c:v>
                </c:pt>
                <c:pt idx="16">
                  <c:v>0.1324114760166471</c:v>
                </c:pt>
                <c:pt idx="17">
                  <c:v>-0.54604194603856382</c:v>
                </c:pt>
                <c:pt idx="18">
                  <c:v>0.85339459130318052</c:v>
                </c:pt>
                <c:pt idx="19">
                  <c:v>-0.99464842038314771</c:v>
                </c:pt>
                <c:pt idx="20">
                  <c:v>0.94231076572459016</c:v>
                </c:pt>
                <c:pt idx="21">
                  <c:v>-0.70656826615697654</c:v>
                </c:pt>
                <c:pt idx="22">
                  <c:v>0.3333042100224759</c:v>
                </c:pt>
                <c:pt idx="23">
                  <c:v>0.1048318704698299</c:v>
                </c:pt>
                <c:pt idx="24">
                  <c:v>-0.52256420132490178</c:v>
                </c:pt>
                <c:pt idx="25">
                  <c:v>0.83858825314298979</c:v>
                </c:pt>
                <c:pt idx="26">
                  <c:v>-0.99139529194959142</c:v>
                </c:pt>
                <c:pt idx="27">
                  <c:v>0.95124401341810128</c:v>
                </c:pt>
                <c:pt idx="28">
                  <c:v>-0.72594918448118895</c:v>
                </c:pt>
                <c:pt idx="29">
                  <c:v>0.3593606311856804</c:v>
                </c:pt>
                <c:pt idx="30">
                  <c:v>7.7171387923635745E-2</c:v>
                </c:pt>
                <c:pt idx="31">
                  <c:v>-0.49868330225608715</c:v>
                </c:pt>
                <c:pt idx="32">
                  <c:v>0.82313495044778406</c:v>
                </c:pt>
                <c:pt idx="33">
                  <c:v>-0.98737730949827474</c:v>
                </c:pt>
                <c:pt idx="34">
                  <c:v>0.95944338350335057</c:v>
                </c:pt>
                <c:pt idx="35">
                  <c:v>-0.7447700384642828</c:v>
                </c:pt>
                <c:pt idx="36">
                  <c:v>0.38513980832328254</c:v>
                </c:pt>
                <c:pt idx="37">
                  <c:v>4.945136823158492E-2</c:v>
                </c:pt>
                <c:pt idx="38">
                  <c:v>-0.47441767276785535</c:v>
                </c:pt>
                <c:pt idx="39">
                  <c:v>0.80704660532345329</c:v>
                </c:pt>
                <c:pt idx="40">
                  <c:v>-0.98259757287272786</c:v>
                </c:pt>
                <c:pt idx="41">
                  <c:v>0.96690255022847016</c:v>
                </c:pt>
                <c:pt idx="42">
                  <c:v>-0.76301630796007636</c:v>
                </c:pt>
                <c:pt idx="43">
                  <c:v>0.41062185299215753</c:v>
                </c:pt>
                <c:pt idx="44">
                  <c:v>2.1693197179650563E-2</c:v>
                </c:pt>
                <c:pt idx="45">
                  <c:v>-0.44978603360941782</c:v>
                </c:pt>
                <c:pt idx="46">
                  <c:v>0.79033562980841399</c:v>
                </c:pt>
                <c:pt idx="47">
                  <c:v>-0.97705976960352592</c:v>
                </c:pt>
                <c:pt idx="48">
                  <c:v>0.97361575890189733</c:v>
                </c:pt>
                <c:pt idx="49">
                  <c:v>-0.78067391610757564</c:v>
                </c:pt>
                <c:pt idx="50">
                  <c:v>0.4357871059880028</c:v>
                </c:pt>
                <c:pt idx="51">
                  <c:v>-6.0817100099797858E-3</c:v>
                </c:pt>
                <c:pt idx="52">
                  <c:v>-0.42480738790689682</c:v>
                </c:pt>
                <c:pt idx="53">
                  <c:v>0.77301491629360319</c:v>
                </c:pt>
                <c:pt idx="54">
                  <c:v>-0.97076817206463828</c:v>
                </c:pt>
                <c:pt idx="55">
                  <c:v>0.97957783033384516</c:v>
                </c:pt>
                <c:pt idx="56">
                  <c:v>-0.79772924019594338</c:v>
                </c:pt>
                <c:pt idx="57">
                  <c:v>0.46061615250559557</c:v>
                </c:pt>
                <c:pt idx="58">
                  <c:v>-3.3851925206949157E-2</c:v>
                </c:pt>
                <c:pt idx="59">
                  <c:v>-0.39950100649694198</c:v>
                </c:pt>
                <c:pt idx="60">
                  <c:v>0.75509782758047039</c:v>
                </c:pt>
                <c:pt idx="61">
                  <c:v>-0.96372763417587448</c:v>
                </c:pt>
                <c:pt idx="62">
                  <c:v>0.9847841648311656</c:v>
                </c:pt>
                <c:pt idx="63">
                  <c:v>-0.8141691221696955</c:v>
                </c:pt>
                <c:pt idx="64">
                  <c:v>0.48508983712375719</c:v>
                </c:pt>
                <c:pt idx="65">
                  <c:v>-6.1596023897101844E-2</c:v>
                </c:pt>
                <c:pt idx="66">
                  <c:v>-0.3738864130617956</c:v>
                </c:pt>
                <c:pt idx="67">
                  <c:v>0.73659818656714227</c:v>
                </c:pt>
                <c:pt idx="68">
                  <c:v>-0.95594358765976872</c:v>
                </c:pt>
                <c:pt idx="69">
                  <c:v>0.98923074574557768</c:v>
                </c:pt>
                <c:pt idx="70">
                  <c:v>-0.82998087878400006</c:v>
                </c:pt>
                <c:pt idx="71">
                  <c:v>0.5091892785771166</c:v>
                </c:pt>
                <c:pt idx="72">
                  <c:v>-8.9292601718604675E-2</c:v>
                </c:pt>
                <c:pt idx="73">
                  <c:v>-0.34798336906948191</c:v>
                </c:pt>
                <c:pt idx="74">
                  <c:v>0.71753026558885113</c:v>
                </c:pt>
                <c:pt idx="75">
                  <c:v>-0.94742203784920342</c:v>
                </c:pt>
                <c:pt idx="76">
                  <c:v>0.99291414257361199</c:v>
                </c:pt>
                <c:pt idx="77">
                  <c:v>-0.84515231138793701</c:v>
                </c:pt>
                <c:pt idx="78">
                  <c:v>0.53289588432927149</c:v>
                </c:pt>
                <c:pt idx="79">
                  <c:v>-0.11692029096798857</c:v>
                </c:pt>
                <c:pt idx="80">
                  <c:v>-0.32181185852209038</c:v>
                </c:pt>
                <c:pt idx="81">
                  <c:v>0.69790877540274421</c:v>
                </c:pt>
                <c:pt idx="82">
                  <c:v>-0.93816955905637767</c:v>
                </c:pt>
                <c:pt idx="83">
                  <c:v>0.99583151360205424</c:v>
                </c:pt>
                <c:pt idx="84">
                  <c:v>-0.85967171533426923</c:v>
                </c:pt>
                <c:pt idx="85">
                  <c:v>0.55619136491048182</c:v>
                </c:pt>
                <c:pt idx="86">
                  <c:v>-0.14445777709242152</c:v>
                </c:pt>
                <c:pt idx="87">
                  <c:v>-0.29539207254504879</c:v>
                </c:pt>
                <c:pt idx="88">
                  <c:v>0.67774885384037997</c:v>
                </c:pt>
                <c:pt idx="89">
                  <c:v>-0.9281932894985444</c:v>
                </c:pt>
                <c:pt idx="90">
                  <c:v>0.99798060810127043</c:v>
                </c:pt>
                <c:pt idx="91">
                  <c:v>-0.87352788901291212</c:v>
                </c:pt>
                <c:pt idx="92">
                  <c:v>0.57905774803332244</c:v>
                </c:pt>
                <c:pt idx="93">
                  <c:v>-0.17188381512649362</c:v>
                </c:pt>
                <c:pt idx="94">
                  <c:v>-0.26874439380297066</c:v>
                </c:pt>
                <c:pt idx="95">
                  <c:v>0.65706605413106645</c:v>
                </c:pt>
                <c:pt idx="96">
                  <c:v>-0.91750092579335119</c:v>
                </c:pt>
                <c:pt idx="97">
                  <c:v>0.99935976806086368</c:v>
                </c:pt>
                <c:pt idx="98">
                  <c:v>-0.88671014248909164</c:v>
                </c:pt>
                <c:pt idx="99">
                  <c:v>0.60147739245577669</c:v>
                </c:pt>
                <c:pt idx="100">
                  <c:v>-0.19917724608975687</c:v>
                </c:pt>
                <c:pt idx="101">
                  <c:v>-0.24188938078149891</c:v>
                </c:pt>
                <c:pt idx="102">
                  <c:v>0.63587633289799927</c:v>
                </c:pt>
                <c:pt idx="103">
                  <c:v>-0.90610071701873107</c:v>
                </c:pt>
                <c:pt idx="104">
                  <c:v>0.9999679294693794</c:v>
                </c:pt>
                <c:pt idx="105">
                  <c:v>-0.89920830575417521</c:v>
                </c:pt>
                <c:pt idx="106">
                  <c:v>0.62343300158918336</c:v>
                </c:pt>
                <c:pt idx="107">
                  <c:v>-0.2263170133035402</c:v>
                </c:pt>
                <c:pt idx="108">
                  <c:v>-0.21484775191961278</c:v>
                </c:pt>
                <c:pt idx="109">
                  <c:v>0.61419603785326105</c:v>
                </c:pt>
                <c:pt idx="110">
                  <c:v>-0.89400145834967593</c:v>
                </c:pt>
                <c:pt idx="111">
                  <c:v>0.99980462313482144</c:v>
                </c:pt>
                <c:pt idx="112">
                  <c:v>-0.91101273656830639</c:v>
                </c:pt>
                <c:pt idx="113">
                  <c:v>0.64490763684752428</c:v>
                </c:pt>
                <c:pt idx="114">
                  <c:v>-0.25328217864228364</c:v>
                </c:pt>
                <c:pt idx="115">
                  <c:v>-0.18764036963253788</c:v>
                </c:pt>
                <c:pt idx="116">
                  <c:v>0.59204189518013761</c:v>
                </c:pt>
                <c:pt idx="117">
                  <c:v>-0.88121248427411791</c:v>
                </c:pt>
                <c:pt idx="118">
                  <c:v>0.99886997504683206</c:v>
                </c:pt>
                <c:pt idx="119">
                  <c:v>-0.92211432790259229</c:v>
                </c:pt>
                <c:pt idx="120">
                  <c:v>0.66588473070966869</c:v>
                </c:pt>
                <c:pt idx="121">
                  <c:v>-0.28005193868443884</c:v>
                </c:pt>
                <c:pt idx="122">
                  <c:v>-0.16028822420947086</c:v>
                </c:pt>
                <c:pt idx="123">
                  <c:v>0.56943099663466812</c:v>
                </c:pt>
                <c:pt idx="124">
                  <c:v>-0.86774366138861314</c:v>
                </c:pt>
                <c:pt idx="125">
                  <c:v>0.9971647062793193</c:v>
                </c:pt>
                <c:pt idx="126">
                  <c:v>-0.93250451496201747</c:v>
                </c:pt>
                <c:pt idx="127">
                  <c:v>0.68634809950671294</c:v>
                </c:pt>
                <c:pt idx="128">
                  <c:v>-0.30660564075954938</c:v>
                </c:pt>
                <c:pt idx="129">
                  <c:v>-0.1328124176268512</c:v>
                </c:pt>
                <c:pt idx="130">
                  <c:v>0.54638078635368503</c:v>
                </c:pt>
                <c:pt idx="131">
                  <c:v>-0.85360538078968429</c:v>
                </c:pt>
                <c:pt idx="132">
                  <c:v>0.99469013243443394</c:v>
                </c:pt>
                <c:pt idx="133">
                  <c:v>-0.94217528179602572</c:v>
                </c:pt>
                <c:pt idx="134">
                  <c:v>0.70628195590206788</c:v>
                </c:pt>
                <c:pt idx="135">
                  <c:v>-0.33292279888774717</c:v>
                </c:pt>
                <c:pt idx="136">
                  <c:v>-0.10523414726208925</c:v>
                </c:pt>
                <c:pt idx="137">
                  <c:v>0.52290904740271205</c:v>
                </c:pt>
                <c:pt idx="138">
                  <c:v>-0.83880855005364241</c:v>
                </c:pt>
                <c:pt idx="139">
                  <c:v>0.99144816262713964</c:v>
                </c:pt>
                <c:pt idx="140">
                  <c:v>-0.95111916748004477</c:v>
                </c:pt>
                <c:pt idx="141">
                  <c:v>0.72567092107662745</c:v>
                </c:pt>
                <c:pt idx="142">
                  <c:v>-0.35898310957758078</c:v>
                </c:pt>
                <c:pt idx="143">
                  <c:v>-7.7574689542619868E-2</c:v>
                </c:pt>
                <c:pt idx="144">
                  <c:v>0.49903388805042903</c:v>
                </c:pt>
                <c:pt idx="145">
                  <c:v>-0.82336458482517416</c:v>
                </c:pt>
                <c:pt idx="146">
                  <c:v>0.9874412980129923</c:v>
                </c:pt>
                <c:pt idx="147">
                  <c:v>-0.95932927187380956</c:v>
                </c:pt>
                <c:pt idx="148">
                  <c:v>0.74450003658819386</c:v>
                </c:pt>
                <c:pt idx="149">
                  <c:v>-0.38476646749689575</c:v>
                </c:pt>
                <c:pt idx="150">
                  <c:v>-4.9855383534029941E-2</c:v>
                </c:pt>
                <c:pt idx="151">
                  <c:v>0.47477372780442295</c:v>
                </c:pt>
                <c:pt idx="152">
                  <c:v>-0.80728540000638471</c:v>
                </c:pt>
                <c:pt idx="153">
                  <c:v>0.98267262985766879</c:v>
                </c:pt>
                <c:pt idx="154">
                  <c:v>-0.9667992609437096</c:v>
                </c:pt>
                <c:pt idx="155">
                  <c:v>0.76275477591687868</c:v>
                </c:pt>
                <c:pt idx="156">
                  <c:v>-0.41025298097712548</c:v>
                </c:pt>
                <c:pt idx="157">
                  <c:v>-2.2097614470786744E-2</c:v>
                </c:pt>
                <c:pt idx="158">
                  <c:v>0.45014728319523839</c:v>
                </c:pt>
                <c:pt idx="159">
                  <c:v>-0.79058340056858301</c:v>
                </c:pt>
                <c:pt idx="160">
                  <c:v>0.97714583715312775</c:v>
                </c:pt>
                <c:pt idx="161">
                  <c:v>-0.97352337164882397</c:v>
                </c:pt>
                <c:pt idx="162">
                  <c:v>0.78042105566727482</c:v>
                </c:pt>
                <c:pt idx="163">
                  <c:v>-0.43542298736631319</c:v>
                </c:pt>
                <c:pt idx="164">
                  <c:v>5.6772027350534653E-3</c:v>
                </c:pt>
                <c:pt idx="165">
                  <c:v>0.42517355333900581</c:v>
                </c:pt>
                <c:pt idx="166">
                  <c:v>-0.7732714719777305</c:v>
                </c:pt>
                <c:pt idx="167">
                  <c:v>0.97086518377804643</c:v>
                </c:pt>
                <c:pt idx="168">
                  <c:v>-0.97949641638871365</c:v>
                </c:pt>
                <c:pt idx="169">
                  <c:v>0.79748524643792051</c:v>
                </c:pt>
                <c:pt idx="170">
                  <c:v>-0.46025706819202866</c:v>
                </c:pt>
                <c:pt idx="171">
                  <c:v>3.3447640022555528E-2</c:v>
                </c:pt>
                <c:pt idx="172">
                  <c:v>0.39987180528227229</c:v>
                </c:pt>
                <c:pt idx="173">
                  <c:v>-0.75536297025777333</c:v>
                </c:pt>
                <c:pt idx="174">
                  <c:v>0.96383551520971722</c:v>
                </c:pt>
                <c:pt idx="175">
                  <c:v>-0.98471378700385692</c:v>
                </c:pt>
                <c:pt idx="176">
                  <c:v>0.81393418333439815</c:v>
                </c:pt>
                <c:pt idx="177">
                  <c:v>-0.48473606414916265</c:v>
                </c:pt>
                <c:pt idx="178">
                  <c:v>6.1192272706222545E-2</c:v>
                </c:pt>
                <c:pt idx="179">
                  <c:v>0.37426155913187092</c:v>
                </c:pt>
                <c:pt idx="180">
                  <c:v>-0.73687171168265297</c:v>
                </c:pt>
                <c:pt idx="181">
                  <c:v>0.95606225478442064</c:v>
                </c:pt>
                <c:pt idx="182">
                  <c:v>-0.98917145833237297</c:v>
                </c:pt>
                <c:pt idx="183">
                  <c:v>0.82975517612442529</c:v>
                </c:pt>
                <c:pt idx="184">
                  <c:v>-0.50884108987468557</c:v>
                </c:pt>
                <c:pt idx="185">
                  <c:v>8.88896960122494E-2</c:v>
                </c:pt>
                <c:pt idx="186">
                  <c:v>0.34836257300192824</c:v>
                </c:pt>
                <c:pt idx="187">
                  <c:v>-0.71781196211876896</c:v>
                </c:pt>
                <c:pt idx="188">
                  <c:v>0.94755139951387002</c:v>
                </c:pt>
                <c:pt idx="189">
                  <c:v>-0.99286599131403841</c:v>
                </c:pt>
                <c:pt idx="190">
                  <c:v>0.844936019031991</c:v>
                </c:pt>
                <c:pt idx="191">
                  <c:v>-0.5325535485232018</c:v>
                </c:pt>
                <c:pt idx="192">
                  <c:v>0.11651854158488202</c:v>
                </c:pt>
                <c:pt idx="193">
                  <c:v>0.32219482776392361</c:v>
                </c:pt>
                <c:pt idx="194">
                  <c:v>-0.69819842602092808</c:v>
                </c:pt>
                <c:pt idx="195">
                  <c:v>0.93830951545950647</c:v>
                </c:pt>
                <c:pt idx="196">
                  <c:v>-0.99579453564466336</c:v>
                </c:pt>
                <c:pt idx="197">
                  <c:v>0.85946500014987881</c:v>
                </c:pt>
                <c:pt idx="198">
                  <c:v>-0.55585514611181397</c:v>
                </c:pt>
                <c:pt idx="199">
                  <c:v>0.14405749397919373</c:v>
                </c:pt>
                <c:pt idx="200">
                  <c:v>0.29577851163837654</c:v>
                </c:pt>
                <c:pt idx="201">
                  <c:v>-0.67804623508355488</c:v>
                </c:pt>
                <c:pt idx="202">
                  <c:v>0.92834373266482262</c:v>
                </c:pt>
                <c:pt idx="203">
                  <c:v>-0.99795483197411217</c:v>
                </c:pt>
                <c:pt idx="204">
                  <c:v>0.87333091047928912</c:v>
                </c:pt>
                <c:pt idx="205">
                  <c:v>-0.5787279056315634</c:v>
                </c:pt>
                <c:pt idx="206">
                  <c:v>0.17148530709855836</c:v>
                </c:pt>
                <c:pt idx="207">
                  <c:v>0.26913400461293663</c:v>
                </c:pt>
                <c:pt idx="208">
                  <c:v>-0.65737093657183776</c:v>
                </c:pt>
                <c:pt idx="209">
                  <c:v>0.91766173965700615</c:v>
                </c:pt>
                <c:pt idx="210">
                  <c:v>-0.99934521365014228</c:v>
                </c:pt>
                <c:pt idx="211">
                  <c:v>0.88652305257369401</c:v>
                </c:pt>
                <c:pt idx="212">
                  <c:v>-0.60115418092186079</c:v>
                </c:pt>
                <c:pt idx="213">
                  <c:v>0.19878082059217173</c:v>
                </c:pt>
                <c:pt idx="214">
                  <c:v>0.24228186272629093</c:v>
                </c:pt>
                <c:pt idx="215">
                  <c:v>-0.63618848132185535</c:v>
                </c:pt>
                <c:pt idx="216">
                  <c:v>0.90627177751269095</c:v>
                </c:pt>
                <c:pt idx="217">
                  <c:v>-0.99996460800364806</c:v>
                </c:pt>
                <c:pt idx="218">
                  <c:v>0.89903124879546714</c:v>
                </c:pt>
                <c:pt idx="219">
                  <c:v>-0.62311667027837991</c:v>
                </c:pt>
                <c:pt idx="220">
                  <c:v>0.22592297617737944</c:v>
                </c:pt>
                <c:pt idx="221">
                  <c:v>0.21524280220235992</c:v>
                </c:pt>
                <c:pt idx="222">
                  <c:v>-0.61451521144003829</c:v>
                </c:pt>
                <c:pt idx="223">
                  <c:v>0.89418263350282401</c:v>
                </c:pt>
                <c:pt idx="224">
                  <c:v>-0.99981253717659846</c:v>
                </c:pt>
                <c:pt idx="225">
                  <c:v>0.91084584916440059</c:v>
                </c:pt>
                <c:pt idx="226">
                  <c:v>-0.64459842980706272</c:v>
                </c:pt>
                <c:pt idx="227">
                  <c:v>0.25289083388333761</c:v>
                </c:pt>
                <c:pt idx="228">
                  <c:v>0.18803768347491565</c:v>
                </c:pt>
                <c:pt idx="229">
                  <c:v>-0.59236784768981254</c:v>
                </c:pt>
                <c:pt idx="230">
                  <c:v>0.88140363431037072</c:v>
                </c:pt>
                <c:pt idx="231">
                  <c:v>-0.99888911849045081</c:v>
                </c:pt>
                <c:pt idx="232">
                  <c:v>0.92195773880586707</c:v>
                </c:pt>
                <c:pt idx="233">
                  <c:v>-0.66558288649045683</c:v>
                </c:pt>
                <c:pt idx="234">
                  <c:v>0.2796635882122484</c:v>
                </c:pt>
                <c:pt idx="235">
                  <c:v>0.16068749508773331</c:v>
                </c:pt>
                <c:pt idx="236">
                  <c:v>-0.56976347659732884</c:v>
                </c:pt>
                <c:pt idx="237">
                  <c:v>0.86794463883801332</c:v>
                </c:pt>
                <c:pt idx="238">
                  <c:v>-0.99719506435584293</c:v>
                </c:pt>
                <c:pt idx="239">
                  <c:v>0.93235834497978409</c:v>
                </c:pt>
                <c:pt idx="240">
                  <c:v>-0.68605385097929794</c:v>
                </c:pt>
                <c:pt idx="241">
                  <c:v>0.30622058418358533</c:v>
                </c:pt>
                <c:pt idx="242">
                  <c:v>0.13321333750472145</c:v>
                </c:pt>
                <c:pt idx="243">
                  <c:v>-0.54671953726353906</c:v>
                </c:pt>
                <c:pt idx="244">
                  <c:v>0.85381603059921007</c:v>
                </c:pt>
                <c:pt idx="245">
                  <c:v>-0.9947316817226981</c:v>
                </c:pt>
                <c:pt idx="246">
                  <c:v>0.94203964369702198</c:v>
                </c:pt>
                <c:pt idx="247">
                  <c:v>-0.70599553007697713</c:v>
                </c:pt>
                <c:pt idx="248">
                  <c:v>0.33254133327626434</c:v>
                </c:pt>
                <c:pt idx="249">
                  <c:v>0.10563640683379202</c:v>
                </c:pt>
                <c:pt idx="250">
                  <c:v>-0.52325380791597786</c:v>
                </c:pt>
                <c:pt idx="251">
                  <c:v>0.83902870970854893</c:v>
                </c:pt>
                <c:pt idx="252">
                  <c:v>-0.99150087107236751</c:v>
                </c:pt>
                <c:pt idx="253">
                  <c:v>0.95099416590865471</c:v>
                </c:pt>
                <c:pt idx="254">
                  <c:v>-0.72539253892923283</c:v>
                </c:pt>
                <c:pt idx="255">
                  <c:v>0.35860552922843164</c:v>
                </c:pt>
                <c:pt idx="256">
                  <c:v>7.7977978467918527E-2</c:v>
                </c:pt>
                <c:pt idx="257">
                  <c:v>-0.4993843921877496</c:v>
                </c:pt>
                <c:pt idx="258">
                  <c:v>0.82359408447394189</c:v>
                </c:pt>
                <c:pt idx="259">
                  <c:v>-0.98750512495077747</c:v>
                </c:pt>
                <c:pt idx="260">
                  <c:v>0.95921500326750075</c:v>
                </c:pt>
                <c:pt idx="261">
                  <c:v>-0.74422991288822993</c:v>
                </c:pt>
                <c:pt idx="262">
                  <c:v>0.38439306371048243</c:v>
                </c:pt>
                <c:pt idx="263">
                  <c:v>5.0259390678549218E-2</c:v>
                </c:pt>
                <c:pt idx="264">
                  <c:v>-0.47512970515291469</c:v>
                </c:pt>
                <c:pt idx="265">
                  <c:v>0.80752406259175946</c:v>
                </c:pt>
                <c:pt idx="266">
                  <c:v>-0.98274752604629534</c:v>
                </c:pt>
                <c:pt idx="267">
                  <c:v>0.96669581345985367</c:v>
                </c:pt>
                <c:pt idx="268">
                  <c:v>-0.76249311906216177</c:v>
                </c:pt>
                <c:pt idx="269">
                  <c:v>0.40988404183166299</c:v>
                </c:pt>
                <c:pt idx="270">
                  <c:v>2.2502028146050675E-2</c:v>
                </c:pt>
                <c:pt idx="271">
                  <c:v>-0.45050845912184012</c:v>
                </c:pt>
                <c:pt idx="272">
                  <c:v>0.79083104196417342</c:v>
                </c:pt>
                <c:pt idx="273">
                  <c:v>-0.97723174481041231</c:v>
                </c:pt>
                <c:pt idx="274">
                  <c:v>0.9734308250963768</c:v>
                </c:pt>
                <c:pt idx="275">
                  <c:v>-0.78016806752527823</c:v>
                </c:pt>
                <c:pt idx="276">
                  <c:v>0.43505879749557996</c:v>
                </c:pt>
                <c:pt idx="277">
                  <c:v>-5.272694531156287E-3</c:v>
                </c:pt>
                <c:pt idx="278">
                  <c:v>-0.4255396491992044</c:v>
                </c:pt>
                <c:pt idx="279">
                  <c:v>0.7735279011300612</c:v>
                </c:pt>
                <c:pt idx="280">
                  <c:v>-0.9709620366272631</c:v>
                </c:pt>
                <c:pt idx="281">
                  <c:v>0.97941484216664543</c:v>
                </c:pt>
                <c:pt idx="282">
                  <c:v>-0.79724112218650622</c:v>
                </c:pt>
                <c:pt idx="283">
                  <c:v>0.45989790856577301</c:v>
                </c:pt>
                <c:pt idx="284">
                  <c:v>-3.3043349365064631E-2</c:v>
                </c:pt>
                <c:pt idx="285">
                  <c:v>-0.40024253863586257</c:v>
                </c:pt>
                <c:pt idx="286">
                  <c:v>0.75562798933368003</c:v>
                </c:pt>
                <c:pt idx="287">
                  <c:v>-0.96394323852918529</c:v>
                </c:pt>
                <c:pt idx="288">
                  <c:v>0.98464324804606662</c:v>
                </c:pt>
                <c:pt idx="289">
                  <c:v>-0.81369911131359185</c:v>
                </c:pt>
                <c:pt idx="290">
                  <c:v>0.48438221185633729</c:v>
                </c:pt>
                <c:pt idx="291">
                  <c:v>-6.0788511502342019E-2</c:v>
                </c:pt>
                <c:pt idx="292">
                  <c:v>-0.37463664396085672</c:v>
                </c:pt>
                <c:pt idx="293">
                  <c:v>0.73714511622129542</c:v>
                </c:pt>
                <c:pt idx="294">
                  <c:v>-0.95618076546662645</c:v>
                </c:pt>
                <c:pt idx="295">
                  <c:v>0.98911200905913688</c:v>
                </c:pt>
                <c:pt idx="296">
                  <c:v>-0.82952933769052428</c:v>
                </c:pt>
                <c:pt idx="297">
                  <c:v>0.50849281790967527</c:v>
                </c:pt>
                <c:pt idx="298">
                  <c:v>-8.8486775760713898E-2</c:v>
                </c:pt>
                <c:pt idx="299">
                  <c:v>-0.34874171993118258</c:v>
                </c:pt>
                <c:pt idx="300">
                  <c:v>0.71809354119182922</c:v>
                </c:pt>
                <c:pt idx="301">
                  <c:v>-0.94768060612871297</c:v>
                </c:pt>
                <c:pt idx="302">
                  <c:v>0.9928176775900236</c:v>
                </c:pt>
                <c:pt idx="303">
                  <c:v>-0.84471958841765016</c:v>
                </c:pt>
                <c:pt idx="304">
                  <c:v>0.53221112557521022</c:v>
                </c:pt>
                <c:pt idx="305">
                  <c:v>-0.1161167731356377</c:v>
                </c:pt>
                <c:pt idx="306">
                  <c:v>-0.3225777442844398</c:v>
                </c:pt>
                <c:pt idx="307">
                  <c:v>0.69848796239165245</c:v>
                </c:pt>
                <c:pt idx="308">
                  <c:v>-0.93844931832505396</c:v>
                </c:pt>
                <c:pt idx="309">
                  <c:v>0.99575739474354519</c:v>
                </c:pt>
                <c:pt idx="310">
                  <c:v>-0.85925814432969039</c:v>
                </c:pt>
                <c:pt idx="311">
                  <c:v>0.55551883635757271</c:v>
                </c:pt>
                <c:pt idx="312">
                  <c:v>-0.14365718729358007</c:v>
                </c:pt>
                <c:pt idx="313">
                  <c:v>-0.29616490233293646</c:v>
                </c:pt>
                <c:pt idx="314">
                  <c:v>0.67834350537680943</c:v>
                </c:pt>
                <c:pt idx="315">
                  <c:v>-0.92849402392455227</c:v>
                </c:pt>
                <c:pt idx="316">
                  <c:v>0.99792889254981654</c:v>
                </c:pt>
                <c:pt idx="317">
                  <c:v>-0.87313378904096417</c:v>
                </c:pt>
                <c:pt idx="318">
                  <c:v>0.57839796853152003</c:v>
                </c:pt>
                <c:pt idx="319">
                  <c:v>-0.17108677101017503</c:v>
                </c:pt>
                <c:pt idx="320">
                  <c:v>-0.26952357138402316</c:v>
                </c:pt>
                <c:pt idx="321">
                  <c:v>0.65767571144582482</c:v>
                </c:pt>
                <c:pt idx="322">
                  <c:v>-0.91782240336166521</c:v>
                </c:pt>
                <c:pt idx="323">
                  <c:v>0.99933049571474042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27352"/>
        <c:axId val="415935584"/>
      </c:scatterChart>
      <c:valAx>
        <c:axId val="41592735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415935584"/>
        <c:crosses val="autoZero"/>
        <c:crossBetween val="midCat"/>
      </c:valAx>
      <c:valAx>
        <c:axId val="415935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5927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cc!$E$10:$E$337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cc!$F$10:$F$337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39504"/>
        <c:axId val="415935976"/>
      </c:scatterChart>
      <c:valAx>
        <c:axId val="415939504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15935976"/>
        <c:crosses val="autoZero"/>
        <c:crossBetween val="midCat"/>
      </c:valAx>
      <c:valAx>
        <c:axId val="415935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59395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823072888635981E-2"/>
          <c:y val="6.5289442986293383E-2"/>
          <c:w val="0.94376901946817793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cc!$I$12:$I$335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cc!$J$12:$J$335</c:f>
              <c:numCache>
                <c:formatCode>General</c:formatCode>
                <c:ptCount val="324"/>
                <c:pt idx="0">
                  <c:v>-3.5427503773378832E-2</c:v>
                </c:pt>
                <c:pt idx="1">
                  <c:v>1.3702090481984848</c:v>
                </c:pt>
                <c:pt idx="2">
                  <c:v>0.41197080995373175</c:v>
                </c:pt>
                <c:pt idx="3">
                  <c:v>0.15278677193399187</c:v>
                </c:pt>
                <c:pt idx="4">
                  <c:v>-1.6167424331047342</c:v>
                </c:pt>
                <c:pt idx="5">
                  <c:v>1.1942632040009769</c:v>
                </c:pt>
                <c:pt idx="6">
                  <c:v>-0.6473387419944463</c:v>
                </c:pt>
                <c:pt idx="7">
                  <c:v>0.68344534618278074</c:v>
                </c:pt>
                <c:pt idx="8">
                  <c:v>0.19010024862378905</c:v>
                </c:pt>
                <c:pt idx="9">
                  <c:v>-0.24716667114275584</c:v>
                </c:pt>
                <c:pt idx="10">
                  <c:v>4.3105128727070403E-2</c:v>
                </c:pt>
                <c:pt idx="11">
                  <c:v>-0.44406022283463492</c:v>
                </c:pt>
                <c:pt idx="12">
                  <c:v>0.54734186892198711</c:v>
                </c:pt>
                <c:pt idx="13">
                  <c:v>-0.48644047328339579</c:v>
                </c:pt>
                <c:pt idx="14">
                  <c:v>-0.40863882935753576</c:v>
                </c:pt>
                <c:pt idx="15">
                  <c:v>-0.26245783589008931</c:v>
                </c:pt>
                <c:pt idx="16">
                  <c:v>0.38752473477098881</c:v>
                </c:pt>
                <c:pt idx="17">
                  <c:v>-0.29932682427430757</c:v>
                </c:pt>
                <c:pt idx="18">
                  <c:v>0.53395661574916942</c:v>
                </c:pt>
                <c:pt idx="19">
                  <c:v>-1.2200831725324239</c:v>
                </c:pt>
                <c:pt idx="20">
                  <c:v>0.80164775129256904</c:v>
                </c:pt>
                <c:pt idx="21">
                  <c:v>0.40872892680831296</c:v>
                </c:pt>
                <c:pt idx="22">
                  <c:v>-1.1903662977084519</c:v>
                </c:pt>
                <c:pt idx="23">
                  <c:v>-1.460824448053813E-2</c:v>
                </c:pt>
                <c:pt idx="24">
                  <c:v>1.4546700555897958</c:v>
                </c:pt>
                <c:pt idx="25">
                  <c:v>-1.4928824177731461</c:v>
                </c:pt>
                <c:pt idx="26">
                  <c:v>0.15140611803692058</c:v>
                </c:pt>
                <c:pt idx="27">
                  <c:v>1.35727088381813</c:v>
                </c:pt>
                <c:pt idx="28">
                  <c:v>-0.6002784833209629</c:v>
                </c:pt>
                <c:pt idx="29">
                  <c:v>0.35737805307338799</c:v>
                </c:pt>
                <c:pt idx="30">
                  <c:v>-0.48317715850908072</c:v>
                </c:pt>
                <c:pt idx="31">
                  <c:v>0.26455832956971642</c:v>
                </c:pt>
                <c:pt idx="32">
                  <c:v>-0.80771226986532352</c:v>
                </c:pt>
                <c:pt idx="33">
                  <c:v>0.96427828371660129</c:v>
                </c:pt>
                <c:pt idx="34">
                  <c:v>-0.59482699369128222</c:v>
                </c:pt>
                <c:pt idx="35">
                  <c:v>-0.22693900338097944</c:v>
                </c:pt>
                <c:pt idx="36">
                  <c:v>1.210747609479722</c:v>
                </c:pt>
                <c:pt idx="37">
                  <c:v>8.0093235483449043E-2</c:v>
                </c:pt>
                <c:pt idx="38">
                  <c:v>-0.1764820992785967</c:v>
                </c:pt>
                <c:pt idx="39">
                  <c:v>1.0874801028014283</c:v>
                </c:pt>
                <c:pt idx="40">
                  <c:v>-0.31425705244136354</c:v>
                </c:pt>
                <c:pt idx="41">
                  <c:v>0.18545484999964992</c:v>
                </c:pt>
                <c:pt idx="42">
                  <c:v>0.69734124218252069</c:v>
                </c:pt>
                <c:pt idx="43">
                  <c:v>-2.6172903345347591</c:v>
                </c:pt>
                <c:pt idx="44">
                  <c:v>1.4910657436027488</c:v>
                </c:pt>
                <c:pt idx="45">
                  <c:v>-1.4751079610300171</c:v>
                </c:pt>
                <c:pt idx="46">
                  <c:v>1.0224895946706796</c:v>
                </c:pt>
                <c:pt idx="47">
                  <c:v>-0.99749745920790545</c:v>
                </c:pt>
                <c:pt idx="48">
                  <c:v>0.22417410707958665</c:v>
                </c:pt>
                <c:pt idx="49">
                  <c:v>-6.29890333143929E-2</c:v>
                </c:pt>
                <c:pt idx="50">
                  <c:v>-0.82748352006300407</c:v>
                </c:pt>
                <c:pt idx="51">
                  <c:v>0.46871825499493169</c:v>
                </c:pt>
                <c:pt idx="52">
                  <c:v>-0.13236992742971992</c:v>
                </c:pt>
                <c:pt idx="53">
                  <c:v>0.46785705772931935</c:v>
                </c:pt>
                <c:pt idx="54">
                  <c:v>-1.0164741855225505</c:v>
                </c:pt>
                <c:pt idx="55">
                  <c:v>1.1537438867582535</c:v>
                </c:pt>
                <c:pt idx="56">
                  <c:v>-1.0549269667475123</c:v>
                </c:pt>
                <c:pt idx="57">
                  <c:v>2.0673058672807101</c:v>
                </c:pt>
                <c:pt idx="58">
                  <c:v>-1.4807905871424605</c:v>
                </c:pt>
                <c:pt idx="59">
                  <c:v>1.511912193876281</c:v>
                </c:pt>
                <c:pt idx="60">
                  <c:v>-0.18946819169009177</c:v>
                </c:pt>
                <c:pt idx="61">
                  <c:v>7.3951034711984553E-2</c:v>
                </c:pt>
                <c:pt idx="62">
                  <c:v>-5.3186129552873503E-2</c:v>
                </c:pt>
                <c:pt idx="63">
                  <c:v>-0.51527344291010779</c:v>
                </c:pt>
                <c:pt idx="64">
                  <c:v>1.2744436196351181</c:v>
                </c:pt>
                <c:pt idx="65">
                  <c:v>0.84824354644389444</c:v>
                </c:pt>
                <c:pt idx="66">
                  <c:v>-1.0560529718280982</c:v>
                </c:pt>
                <c:pt idx="67">
                  <c:v>5.7911738347104474E-2</c:v>
                </c:pt>
                <c:pt idx="68">
                  <c:v>0.93513930598406891</c:v>
                </c:pt>
                <c:pt idx="69">
                  <c:v>-0.37797151491967895</c:v>
                </c:pt>
                <c:pt idx="70">
                  <c:v>1.8913598593003367</c:v>
                </c:pt>
                <c:pt idx="71">
                  <c:v>-0.9771925166949802</c:v>
                </c:pt>
                <c:pt idx="72">
                  <c:v>-0.15960434351991404</c:v>
                </c:pt>
                <c:pt idx="73">
                  <c:v>2.364110246206037</c:v>
                </c:pt>
                <c:pt idx="74">
                  <c:v>-2.6789307655582135</c:v>
                </c:pt>
                <c:pt idx="75">
                  <c:v>-0.29157059955166298</c:v>
                </c:pt>
                <c:pt idx="76">
                  <c:v>1.6206004162314356</c:v>
                </c:pt>
                <c:pt idx="77">
                  <c:v>-0.32151196946846516</c:v>
                </c:pt>
                <c:pt idx="78">
                  <c:v>5.5583446677606646E-2</c:v>
                </c:pt>
                <c:pt idx="79">
                  <c:v>-0.20560659161665312</c:v>
                </c:pt>
                <c:pt idx="80">
                  <c:v>-1.4269574865068038</c:v>
                </c:pt>
                <c:pt idx="81">
                  <c:v>2.385253789173408</c:v>
                </c:pt>
                <c:pt idx="82">
                  <c:v>-1.5930559850830228</c:v>
                </c:pt>
                <c:pt idx="83">
                  <c:v>0.38906593492708169</c:v>
                </c:pt>
                <c:pt idx="84">
                  <c:v>0.65050620679014659</c:v>
                </c:pt>
                <c:pt idx="85">
                  <c:v>0.56644624031517243</c:v>
                </c:pt>
                <c:pt idx="86">
                  <c:v>-1.7020684556787693</c:v>
                </c:pt>
                <c:pt idx="87">
                  <c:v>1.8607463740065846</c:v>
                </c:pt>
                <c:pt idx="88">
                  <c:v>-0.43651805935493171</c:v>
                </c:pt>
                <c:pt idx="89">
                  <c:v>-1.871414380781417</c:v>
                </c:pt>
                <c:pt idx="90">
                  <c:v>3.3380639508125887</c:v>
                </c:pt>
                <c:pt idx="91">
                  <c:v>-0.40353352397902409</c:v>
                </c:pt>
                <c:pt idx="92">
                  <c:v>0.2863319775915994</c:v>
                </c:pt>
                <c:pt idx="93">
                  <c:v>-0.14812055733839602</c:v>
                </c:pt>
                <c:pt idx="94">
                  <c:v>1.3040251911186629</c:v>
                </c:pt>
                <c:pt idx="95">
                  <c:v>-2.239638096816948</c:v>
                </c:pt>
                <c:pt idx="96">
                  <c:v>3.4117122895062195</c:v>
                </c:pt>
                <c:pt idx="97">
                  <c:v>-1.7779490779784648</c:v>
                </c:pt>
                <c:pt idx="98">
                  <c:v>0.33700742523743632</c:v>
                </c:pt>
                <c:pt idx="99">
                  <c:v>-1.5106851809052755</c:v>
                </c:pt>
                <c:pt idx="100">
                  <c:v>2.4244470478623907</c:v>
                </c:pt>
                <c:pt idx="101">
                  <c:v>-0.86302155501055489</c:v>
                </c:pt>
                <c:pt idx="102">
                  <c:v>-0.4740434293486529</c:v>
                </c:pt>
                <c:pt idx="103">
                  <c:v>0.41437523115461866</c:v>
                </c:pt>
                <c:pt idx="104">
                  <c:v>-2.3951988520039831</c:v>
                </c:pt>
                <c:pt idx="105">
                  <c:v>1.9522339318260189</c:v>
                </c:pt>
                <c:pt idx="106">
                  <c:v>-0.48205876042706036</c:v>
                </c:pt>
                <c:pt idx="107">
                  <c:v>-1.0856444367023637</c:v>
                </c:pt>
                <c:pt idx="108">
                  <c:v>-0.4506144921159323</c:v>
                </c:pt>
                <c:pt idx="109">
                  <c:v>2.0236103849461511</c:v>
                </c:pt>
                <c:pt idx="110">
                  <c:v>-2.1128974939674938</c:v>
                </c:pt>
                <c:pt idx="111">
                  <c:v>1.5389206893511211</c:v>
                </c:pt>
                <c:pt idx="112">
                  <c:v>-0.94313233133216068</c:v>
                </c:pt>
                <c:pt idx="113">
                  <c:v>1.0967519690522201</c:v>
                </c:pt>
                <c:pt idx="114">
                  <c:v>-1.1434444966961013</c:v>
                </c:pt>
                <c:pt idx="115">
                  <c:v>0.10305019396308485</c:v>
                </c:pt>
                <c:pt idx="116">
                  <c:v>0.87598310124874823</c:v>
                </c:pt>
                <c:pt idx="117">
                  <c:v>0.32098286002934073</c:v>
                </c:pt>
                <c:pt idx="118">
                  <c:v>-0.24452664082128123</c:v>
                </c:pt>
                <c:pt idx="119">
                  <c:v>-0.52375442776955328</c:v>
                </c:pt>
                <c:pt idx="120">
                  <c:v>0.12160812507978663</c:v>
                </c:pt>
                <c:pt idx="121">
                  <c:v>1.0987401798412946</c:v>
                </c:pt>
                <c:pt idx="122">
                  <c:v>-1.3582721104136417</c:v>
                </c:pt>
                <c:pt idx="123">
                  <c:v>-0.54315094477424386</c:v>
                </c:pt>
                <c:pt idx="124">
                  <c:v>-3.1147139967672495E-2</c:v>
                </c:pt>
                <c:pt idx="125">
                  <c:v>-0.26274667919327227</c:v>
                </c:pt>
                <c:pt idx="126">
                  <c:v>0.12650500704138973</c:v>
                </c:pt>
                <c:pt idx="127">
                  <c:v>0.18365216730755876</c:v>
                </c:pt>
                <c:pt idx="128">
                  <c:v>-1.2954121416889066</c:v>
                </c:pt>
                <c:pt idx="129">
                  <c:v>-0.26297816568394816</c:v>
                </c:pt>
                <c:pt idx="130">
                  <c:v>1.9093516936225381</c:v>
                </c:pt>
                <c:pt idx="131">
                  <c:v>-0.31454586806572105</c:v>
                </c:pt>
                <c:pt idx="132">
                  <c:v>-2.1020925350920772</c:v>
                </c:pt>
                <c:pt idx="133">
                  <c:v>0.91604650666689336</c:v>
                </c:pt>
                <c:pt idx="134">
                  <c:v>0.32966277760496365</c:v>
                </c:pt>
                <c:pt idx="135">
                  <c:v>-0.82153952450782308</c:v>
                </c:pt>
                <c:pt idx="136">
                  <c:v>-1.1108278827496221</c:v>
                </c:pt>
                <c:pt idx="137">
                  <c:v>0.53692064504495463</c:v>
                </c:pt>
                <c:pt idx="138">
                  <c:v>2.2261180030096575</c:v>
                </c:pt>
                <c:pt idx="139">
                  <c:v>-2.2038665522963341</c:v>
                </c:pt>
                <c:pt idx="140">
                  <c:v>-0.74487472136859134</c:v>
                </c:pt>
                <c:pt idx="141">
                  <c:v>0.50785030756878125</c:v>
                </c:pt>
                <c:pt idx="142">
                  <c:v>1.7492528466297148</c:v>
                </c:pt>
                <c:pt idx="143">
                  <c:v>-6.0914263450478082E-2</c:v>
                </c:pt>
                <c:pt idx="144">
                  <c:v>-0.51761121330521376</c:v>
                </c:pt>
                <c:pt idx="145">
                  <c:v>-0.15599500022153556</c:v>
                </c:pt>
                <c:pt idx="146">
                  <c:v>1.2549657133218859</c:v>
                </c:pt>
                <c:pt idx="147">
                  <c:v>-1.0825408575738353</c:v>
                </c:pt>
                <c:pt idx="148">
                  <c:v>-1.0605893029176534</c:v>
                </c:pt>
                <c:pt idx="149">
                  <c:v>2.552537537662567</c:v>
                </c:pt>
                <c:pt idx="150">
                  <c:v>-0.38222240280112468</c:v>
                </c:pt>
                <c:pt idx="151">
                  <c:v>0.83585790730934162</c:v>
                </c:pt>
                <c:pt idx="152">
                  <c:v>-2.7684022321540445</c:v>
                </c:pt>
                <c:pt idx="153">
                  <c:v>2.1781865028392584</c:v>
                </c:pt>
                <c:pt idx="154">
                  <c:v>1.1596208640142158</c:v>
                </c:pt>
                <c:pt idx="155">
                  <c:v>-2.0911806543038458</c:v>
                </c:pt>
                <c:pt idx="156">
                  <c:v>1.719344841983407</c:v>
                </c:pt>
                <c:pt idx="157">
                  <c:v>-0.75980134534866306</c:v>
                </c:pt>
                <c:pt idx="158">
                  <c:v>-0.71401703941200567</c:v>
                </c:pt>
                <c:pt idx="159">
                  <c:v>-0.13695844088198483</c:v>
                </c:pt>
                <c:pt idx="160">
                  <c:v>-0.62336042510890144</c:v>
                </c:pt>
                <c:pt idx="161">
                  <c:v>1.5038727087190198</c:v>
                </c:pt>
                <c:pt idx="162">
                  <c:v>-0.11908880619102785</c:v>
                </c:pt>
                <c:pt idx="163">
                  <c:v>-0.54872288783197809</c:v>
                </c:pt>
                <c:pt idx="164">
                  <c:v>-0.59896241035208331</c:v>
                </c:pt>
                <c:pt idx="165">
                  <c:v>-9.6518331615079861E-2</c:v>
                </c:pt>
                <c:pt idx="166">
                  <c:v>0.51791278685477704</c:v>
                </c:pt>
                <c:pt idx="167">
                  <c:v>-1.6819565662043059</c:v>
                </c:pt>
                <c:pt idx="168">
                  <c:v>2.5956233959560184</c:v>
                </c:pt>
                <c:pt idx="169">
                  <c:v>-2.7585328247926335</c:v>
                </c:pt>
                <c:pt idx="170">
                  <c:v>0.7009148369248952</c:v>
                </c:pt>
                <c:pt idx="171">
                  <c:v>-1.278225259960325E-3</c:v>
                </c:pt>
                <c:pt idx="172">
                  <c:v>-0.3719768270060036</c:v>
                </c:pt>
                <c:pt idx="173">
                  <c:v>-0.80421409106262365</c:v>
                </c:pt>
                <c:pt idx="174">
                  <c:v>1.6236806862472408</c:v>
                </c:pt>
                <c:pt idx="175">
                  <c:v>-1.1208936920008197</c:v>
                </c:pt>
                <c:pt idx="176">
                  <c:v>0.30808092110739882</c:v>
                </c:pt>
                <c:pt idx="177">
                  <c:v>-0.72119227935727515</c:v>
                </c:pt>
                <c:pt idx="178">
                  <c:v>0.32999566212029863</c:v>
                </c:pt>
                <c:pt idx="179">
                  <c:v>1.5063759548966305</c:v>
                </c:pt>
                <c:pt idx="180">
                  <c:v>0.5229957486759611</c:v>
                </c:pt>
                <c:pt idx="181">
                  <c:v>0.16535922544479076</c:v>
                </c:pt>
                <c:pt idx="182">
                  <c:v>0.74789468274132731</c:v>
                </c:pt>
                <c:pt idx="183">
                  <c:v>0.89209997730921786</c:v>
                </c:pt>
                <c:pt idx="184">
                  <c:v>1.0309021553620856</c:v>
                </c:pt>
                <c:pt idx="185">
                  <c:v>-0.11032413891986478</c:v>
                </c:pt>
                <c:pt idx="186">
                  <c:v>1.9429494139826315</c:v>
                </c:pt>
                <c:pt idx="187">
                  <c:v>-3.4134802909513247</c:v>
                </c:pt>
                <c:pt idx="188">
                  <c:v>1.7149041055326162</c:v>
                </c:pt>
                <c:pt idx="189">
                  <c:v>-0.6270389228972173</c:v>
                </c:pt>
                <c:pt idx="190">
                  <c:v>1.168932595008896</c:v>
                </c:pt>
                <c:pt idx="191">
                  <c:v>-0.38988477649071845</c:v>
                </c:pt>
                <c:pt idx="192">
                  <c:v>-0.20602465538015377</c:v>
                </c:pt>
                <c:pt idx="193">
                  <c:v>1.1734277053157303</c:v>
                </c:pt>
                <c:pt idx="194">
                  <c:v>-2.0974108106294276</c:v>
                </c:pt>
                <c:pt idx="195">
                  <c:v>2.1714123986894145</c:v>
                </c:pt>
                <c:pt idx="196">
                  <c:v>-1.2651053234341185</c:v>
                </c:pt>
                <c:pt idx="197">
                  <c:v>0.1428216095395094</c:v>
                </c:pt>
                <c:pt idx="198">
                  <c:v>-0.64458617107344396</c:v>
                </c:pt>
                <c:pt idx="199">
                  <c:v>2.8115110587563064</c:v>
                </c:pt>
                <c:pt idx="200">
                  <c:v>-2.1450250239959878</c:v>
                </c:pt>
                <c:pt idx="201">
                  <c:v>-0.4083286577465996</c:v>
                </c:pt>
                <c:pt idx="202">
                  <c:v>0.77122420829558569</c:v>
                </c:pt>
                <c:pt idx="203">
                  <c:v>2.0338429214821412</c:v>
                </c:pt>
                <c:pt idx="204">
                  <c:v>-1.922570211299947</c:v>
                </c:pt>
                <c:pt idx="205">
                  <c:v>2.3822377315559735</c:v>
                </c:pt>
                <c:pt idx="206">
                  <c:v>-1.5300178648547251</c:v>
                </c:pt>
                <c:pt idx="207">
                  <c:v>5.3578617912802828E-5</c:v>
                </c:pt>
                <c:pt idx="208">
                  <c:v>-0.38042537080689343</c:v>
                </c:pt>
                <c:pt idx="209">
                  <c:v>-1.0230658065721032</c:v>
                </c:pt>
                <c:pt idx="210">
                  <c:v>-0.13463002652178441</c:v>
                </c:pt>
                <c:pt idx="211">
                  <c:v>-1.2849452173672542</c:v>
                </c:pt>
                <c:pt idx="212">
                  <c:v>2.3655607474926326</c:v>
                </c:pt>
                <c:pt idx="213">
                  <c:v>-2.4683826767635999</c:v>
                </c:pt>
                <c:pt idx="214">
                  <c:v>0.24808565263953219</c:v>
                </c:pt>
                <c:pt idx="215">
                  <c:v>0.345536370480993</c:v>
                </c:pt>
                <c:pt idx="216">
                  <c:v>1.4641898885260889</c:v>
                </c:pt>
                <c:pt idx="217">
                  <c:v>-3.6596386723633976</c:v>
                </c:pt>
                <c:pt idx="218">
                  <c:v>1.0425204793346479</c:v>
                </c:pt>
                <c:pt idx="219">
                  <c:v>-0.14304037394469371</c:v>
                </c:pt>
                <c:pt idx="220">
                  <c:v>-1.1340645521935875</c:v>
                </c:pt>
                <c:pt idx="221">
                  <c:v>0.10062086630642678</c:v>
                </c:pt>
                <c:pt idx="222">
                  <c:v>-0.36092394949397028</c:v>
                </c:pt>
                <c:pt idx="223">
                  <c:v>-0.85464792384370358</c:v>
                </c:pt>
                <c:pt idx="224">
                  <c:v>2.3933642403926094</c:v>
                </c:pt>
                <c:pt idx="225">
                  <c:v>-1.0917108651954739</c:v>
                </c:pt>
                <c:pt idx="226">
                  <c:v>-2.1342646433450794</c:v>
                </c:pt>
                <c:pt idx="227">
                  <c:v>0.62983957029484849</c:v>
                </c:pt>
                <c:pt idx="228">
                  <c:v>2.5855521090118678</c:v>
                </c:pt>
                <c:pt idx="229">
                  <c:v>-2.187763867632071</c:v>
                </c:pt>
                <c:pt idx="230">
                  <c:v>-0.55945606443194895</c:v>
                </c:pt>
                <c:pt idx="231">
                  <c:v>1.7675155450543638</c:v>
                </c:pt>
                <c:pt idx="232">
                  <c:v>0.63388164899114929</c:v>
                </c:pt>
                <c:pt idx="233">
                  <c:v>-2.3322789977455827</c:v>
                </c:pt>
                <c:pt idx="234">
                  <c:v>-9.5416325256863582E-2</c:v>
                </c:pt>
                <c:pt idx="235">
                  <c:v>3.9560854059520505</c:v>
                </c:pt>
                <c:pt idx="236">
                  <c:v>-3.1167735387377071</c:v>
                </c:pt>
                <c:pt idx="237">
                  <c:v>-1.8999768527437637</c:v>
                </c:pt>
                <c:pt idx="238">
                  <c:v>4.5203038046312285</c:v>
                </c:pt>
                <c:pt idx="239">
                  <c:v>-1.7692105217284191</c:v>
                </c:pt>
                <c:pt idx="240">
                  <c:v>-1.5419946513581388</c:v>
                </c:pt>
                <c:pt idx="241">
                  <c:v>0.40545695514492286</c:v>
                </c:pt>
                <c:pt idx="242">
                  <c:v>-0.82058374492394703</c:v>
                </c:pt>
                <c:pt idx="243">
                  <c:v>-1.6385035960714309</c:v>
                </c:pt>
                <c:pt idx="244">
                  <c:v>1.3490067091661861</c:v>
                </c:pt>
                <c:pt idx="245">
                  <c:v>-2.5588675180955756</c:v>
                </c:pt>
                <c:pt idx="246">
                  <c:v>-0.15155491070865054</c:v>
                </c:pt>
                <c:pt idx="247">
                  <c:v>3.3904687964229545</c:v>
                </c:pt>
                <c:pt idx="248">
                  <c:v>-1.0914232852546693</c:v>
                </c:pt>
                <c:pt idx="249">
                  <c:v>-1.8443728708680402</c:v>
                </c:pt>
                <c:pt idx="250">
                  <c:v>5.0399253074935579</c:v>
                </c:pt>
                <c:pt idx="251">
                  <c:v>-4.8714959832914637</c:v>
                </c:pt>
                <c:pt idx="252">
                  <c:v>8.1891011765098529</c:v>
                </c:pt>
                <c:pt idx="253">
                  <c:v>-1.9247147876300315</c:v>
                </c:pt>
                <c:pt idx="254">
                  <c:v>-0.56674627363386842</c:v>
                </c:pt>
                <c:pt idx="255">
                  <c:v>1.7457612604115684</c:v>
                </c:pt>
                <c:pt idx="256">
                  <c:v>-0.83518178679870492</c:v>
                </c:pt>
                <c:pt idx="257">
                  <c:v>0.16575311562956341</c:v>
                </c:pt>
                <c:pt idx="258">
                  <c:v>-0.14800602316196804</c:v>
                </c:pt>
                <c:pt idx="259">
                  <c:v>0.66679971542374461</c:v>
                </c:pt>
                <c:pt idx="260">
                  <c:v>-1.5660564705515461</c:v>
                </c:pt>
                <c:pt idx="261">
                  <c:v>2.1276595852881695</c:v>
                </c:pt>
                <c:pt idx="262">
                  <c:v>-1.1774957156505619</c:v>
                </c:pt>
                <c:pt idx="263">
                  <c:v>-1.1719816984305189</c:v>
                </c:pt>
                <c:pt idx="264">
                  <c:v>2.1422823656647396</c:v>
                </c:pt>
                <c:pt idx="265">
                  <c:v>-1.1536816693197396</c:v>
                </c:pt>
                <c:pt idx="266">
                  <c:v>4.460999618725026</c:v>
                </c:pt>
                <c:pt idx="267">
                  <c:v>-2.0926503481358925</c:v>
                </c:pt>
                <c:pt idx="268">
                  <c:v>0.32498531947886244</c:v>
                </c:pt>
                <c:pt idx="269">
                  <c:v>1.4158284028064312</c:v>
                </c:pt>
                <c:pt idx="270">
                  <c:v>-0.45896288525459372</c:v>
                </c:pt>
                <c:pt idx="271">
                  <c:v>0.33661559520974432</c:v>
                </c:pt>
                <c:pt idx="272">
                  <c:v>-2.8283308502339768</c:v>
                </c:pt>
                <c:pt idx="273">
                  <c:v>6.4185749545180064</c:v>
                </c:pt>
                <c:pt idx="274">
                  <c:v>-5.0651145427142703</c:v>
                </c:pt>
                <c:pt idx="275">
                  <c:v>2.3476717327684948</c:v>
                </c:pt>
                <c:pt idx="276">
                  <c:v>-2.0617392115469966</c:v>
                </c:pt>
                <c:pt idx="277">
                  <c:v>2.341990032066346</c:v>
                </c:pt>
                <c:pt idx="278">
                  <c:v>-0.4831108480787506</c:v>
                </c:pt>
                <c:pt idx="279">
                  <c:v>-0.2548154501770416</c:v>
                </c:pt>
                <c:pt idx="280">
                  <c:v>1.3304165376841064</c:v>
                </c:pt>
                <c:pt idx="281">
                  <c:v>-0.98770093923559754</c:v>
                </c:pt>
                <c:pt idx="282">
                  <c:v>0.66098400280239189</c:v>
                </c:pt>
                <c:pt idx="283">
                  <c:v>-1.0955292473391727</c:v>
                </c:pt>
                <c:pt idx="284">
                  <c:v>9.1558503519646811E-2</c:v>
                </c:pt>
                <c:pt idx="285">
                  <c:v>-0.70647924765604075</c:v>
                </c:pt>
                <c:pt idx="286">
                  <c:v>-0.45978364433425523</c:v>
                </c:pt>
                <c:pt idx="287">
                  <c:v>2.3681315412216359</c:v>
                </c:pt>
                <c:pt idx="288">
                  <c:v>0.51625476718874741</c:v>
                </c:pt>
                <c:pt idx="289">
                  <c:v>7.7158173178056955E-2</c:v>
                </c:pt>
                <c:pt idx="290">
                  <c:v>-2.3463363574169698</c:v>
                </c:pt>
                <c:pt idx="291">
                  <c:v>4.336074760613605</c:v>
                </c:pt>
                <c:pt idx="292">
                  <c:v>-2.3100762391069152</c:v>
                </c:pt>
                <c:pt idx="293">
                  <c:v>-0.53859268483493128</c:v>
                </c:pt>
                <c:pt idx="294">
                  <c:v>2.411917803563929</c:v>
                </c:pt>
                <c:pt idx="295">
                  <c:v>-2.1292461410158134</c:v>
                </c:pt>
                <c:pt idx="296">
                  <c:v>0.45582002250571801</c:v>
                </c:pt>
                <c:pt idx="297">
                  <c:v>-1.9267252060912534</c:v>
                </c:pt>
                <c:pt idx="298">
                  <c:v>0.41533564394199524</c:v>
                </c:pt>
                <c:pt idx="299">
                  <c:v>3.8982451990976612</c:v>
                </c:pt>
                <c:pt idx="300">
                  <c:v>-4.1759890025015434</c:v>
                </c:pt>
                <c:pt idx="301">
                  <c:v>1.0708622668114898</c:v>
                </c:pt>
                <c:pt idx="302">
                  <c:v>-0.29240744566893417</c:v>
                </c:pt>
                <c:pt idx="303">
                  <c:v>-1.6628485425961594</c:v>
                </c:pt>
                <c:pt idx="304">
                  <c:v>0.89627437297252033</c:v>
                </c:pt>
                <c:pt idx="305">
                  <c:v>1.7533522724147654E-2</c:v>
                </c:pt>
                <c:pt idx="306">
                  <c:v>-3.3780913291517156</c:v>
                </c:pt>
                <c:pt idx="307">
                  <c:v>1.8313980850499041</c:v>
                </c:pt>
                <c:pt idx="308">
                  <c:v>-1.0493893081802752</c:v>
                </c:pt>
                <c:pt idx="309">
                  <c:v>1.5280305343617351</c:v>
                </c:pt>
                <c:pt idx="310">
                  <c:v>-1.632951828585294</c:v>
                </c:pt>
                <c:pt idx="311">
                  <c:v>2.7727282841249177</c:v>
                </c:pt>
                <c:pt idx="312">
                  <c:v>-1.9315545380305221</c:v>
                </c:pt>
                <c:pt idx="313">
                  <c:v>2.5974778357330202</c:v>
                </c:pt>
                <c:pt idx="314">
                  <c:v>-3.215445088315998</c:v>
                </c:pt>
                <c:pt idx="315">
                  <c:v>3.5937232361717721</c:v>
                </c:pt>
                <c:pt idx="316">
                  <c:v>-0.9097204738831377</c:v>
                </c:pt>
                <c:pt idx="317">
                  <c:v>0.37033050523087518</c:v>
                </c:pt>
                <c:pt idx="318">
                  <c:v>-2.5731069165820557</c:v>
                </c:pt>
                <c:pt idx="319">
                  <c:v>1.3417551406212276</c:v>
                </c:pt>
                <c:pt idx="320">
                  <c:v>0.2698940836740773</c:v>
                </c:pt>
                <c:pt idx="321">
                  <c:v>-6.72761056153385</c:v>
                </c:pt>
                <c:pt idx="322">
                  <c:v>7.136739079151754</c:v>
                </c:pt>
                <c:pt idx="323">
                  <c:v>-3.1094940187893254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36760"/>
        <c:axId val="415912456"/>
      </c:scatterChart>
      <c:scatterChart>
        <c:scatterStyle val="lineMarker"/>
        <c:varyColors val="0"/>
        <c:ser>
          <c:idx val="1"/>
          <c:order val="1"/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cc!$K$12:$K$335</c:f>
              <c:numCache>
                <c:formatCode>General</c:formatCode>
                <c:ptCount val="324"/>
                <c:pt idx="0">
                  <c:v>3.7023516200345576</c:v>
                </c:pt>
                <c:pt idx="1">
                  <c:v>2.2816685599587987</c:v>
                </c:pt>
                <c:pt idx="2">
                  <c:v>-5.6934470606548304</c:v>
                </c:pt>
                <c:pt idx="3">
                  <c:v>4.6993299124776513</c:v>
                </c:pt>
                <c:pt idx="4">
                  <c:v>-5.5282831794792848</c:v>
                </c:pt>
                <c:pt idx="5">
                  <c:v>4.772806771331692</c:v>
                </c:pt>
                <c:pt idx="6">
                  <c:v>-5.3324173108317678</c:v>
                </c:pt>
                <c:pt idx="7">
                  <c:v>0.85598354073640515</c:v>
                </c:pt>
                <c:pt idx="8">
                  <c:v>4.4839951721159288</c:v>
                </c:pt>
                <c:pt idx="9">
                  <c:v>-5.3070383897033988</c:v>
                </c:pt>
                <c:pt idx="10">
                  <c:v>5.8606120376636319</c:v>
                </c:pt>
                <c:pt idx="11">
                  <c:v>-4.9931965286518967</c:v>
                </c:pt>
                <c:pt idx="12">
                  <c:v>6.0657016378840769</c:v>
                </c:pt>
                <c:pt idx="13">
                  <c:v>-3.4920867998212168</c:v>
                </c:pt>
                <c:pt idx="14">
                  <c:v>-1.8468371312815723</c:v>
                </c:pt>
                <c:pt idx="15">
                  <c:v>5.2044782921033494</c:v>
                </c:pt>
                <c:pt idx="16">
                  <c:v>-6.108233734907957</c:v>
                </c:pt>
                <c:pt idx="17">
                  <c:v>5.076937784768635</c:v>
                </c:pt>
                <c:pt idx="18">
                  <c:v>-6.2052876089310409</c:v>
                </c:pt>
                <c:pt idx="19">
                  <c:v>4.9651407318282716</c:v>
                </c:pt>
                <c:pt idx="20">
                  <c:v>-1.449821877366378</c:v>
                </c:pt>
                <c:pt idx="21">
                  <c:v>-3.9427380567454957</c:v>
                </c:pt>
                <c:pt idx="22">
                  <c:v>6.0975285690631846</c:v>
                </c:pt>
                <c:pt idx="23">
                  <c:v>-5.0680078017242796</c:v>
                </c:pt>
                <c:pt idx="24">
                  <c:v>6.0516331886414907</c:v>
                </c:pt>
                <c:pt idx="25">
                  <c:v>-5.2794960534298321</c:v>
                </c:pt>
                <c:pt idx="26">
                  <c:v>4.242997922976226</c:v>
                </c:pt>
                <c:pt idx="27">
                  <c:v>1.4428277651797501</c:v>
                </c:pt>
                <c:pt idx="28">
                  <c:v>-5.5216237245067381</c:v>
                </c:pt>
                <c:pt idx="29">
                  <c:v>4.9338476591818701</c:v>
                </c:pt>
                <c:pt idx="30">
                  <c:v>-5.7857337820401957</c:v>
                </c:pt>
                <c:pt idx="31">
                  <c:v>4.8410498430913105</c:v>
                </c:pt>
                <c:pt idx="32">
                  <c:v>-5.6945765400167287</c:v>
                </c:pt>
                <c:pt idx="33">
                  <c:v>1.7039682976178467</c:v>
                </c:pt>
                <c:pt idx="34">
                  <c:v>4.0459737826215072</c:v>
                </c:pt>
                <c:pt idx="35">
                  <c:v>-4.5579089890845328</c:v>
                </c:pt>
                <c:pt idx="36">
                  <c:v>5.4635327416061461</c:v>
                </c:pt>
                <c:pt idx="37">
                  <c:v>-4.0932214702362302</c:v>
                </c:pt>
                <c:pt idx="38">
                  <c:v>5.7105298807598963</c:v>
                </c:pt>
                <c:pt idx="39">
                  <c:v>-4.393496119745647</c:v>
                </c:pt>
                <c:pt idx="40">
                  <c:v>-1.5687314225980702</c:v>
                </c:pt>
                <c:pt idx="41">
                  <c:v>3.7397655160829109</c:v>
                </c:pt>
                <c:pt idx="42">
                  <c:v>-5.0484786926642631</c:v>
                </c:pt>
                <c:pt idx="43">
                  <c:v>3.3193098347021737</c:v>
                </c:pt>
                <c:pt idx="44">
                  <c:v>-4.7692819618779794</c:v>
                </c:pt>
                <c:pt idx="45">
                  <c:v>5.6565465796956174</c:v>
                </c:pt>
                <c:pt idx="46">
                  <c:v>-1.4841788770348563</c:v>
                </c:pt>
                <c:pt idx="47">
                  <c:v>-2.2538500029897666</c:v>
                </c:pt>
                <c:pt idx="48">
                  <c:v>4.4395137992473197</c:v>
                </c:pt>
                <c:pt idx="49">
                  <c:v>-2.6192401090660438</c:v>
                </c:pt>
                <c:pt idx="50">
                  <c:v>3.4731372926453212</c:v>
                </c:pt>
                <c:pt idx="51">
                  <c:v>-5.2527636269839455</c:v>
                </c:pt>
                <c:pt idx="52">
                  <c:v>4.1491326375289601</c:v>
                </c:pt>
                <c:pt idx="53">
                  <c:v>1.7579677182752773E-2</c:v>
                </c:pt>
                <c:pt idx="54">
                  <c:v>-3.4910091021729333</c:v>
                </c:pt>
                <c:pt idx="55">
                  <c:v>1.9623890526970578</c:v>
                </c:pt>
                <c:pt idx="56">
                  <c:v>-2.2370715334282072</c:v>
                </c:pt>
                <c:pt idx="57">
                  <c:v>3.6779118069339169</c:v>
                </c:pt>
                <c:pt idx="58">
                  <c:v>-5.4087992777797798</c:v>
                </c:pt>
                <c:pt idx="59">
                  <c:v>2.6692216977465586</c:v>
                </c:pt>
                <c:pt idx="60">
                  <c:v>2.0531718599764837</c:v>
                </c:pt>
                <c:pt idx="61">
                  <c:v>-1.245572338241554</c:v>
                </c:pt>
                <c:pt idx="62">
                  <c:v>1.2258836616058888</c:v>
                </c:pt>
                <c:pt idx="63">
                  <c:v>-1.6899397121991102</c:v>
                </c:pt>
                <c:pt idx="64">
                  <c:v>4.8600526409472362</c:v>
                </c:pt>
                <c:pt idx="65">
                  <c:v>-5.0237093274873956</c:v>
                </c:pt>
                <c:pt idx="66">
                  <c:v>-7.4931981186015295E-2</c:v>
                </c:pt>
                <c:pt idx="67">
                  <c:v>0.33677551649353543</c:v>
                </c:pt>
                <c:pt idx="68">
                  <c:v>-0.42603704085102712</c:v>
                </c:pt>
                <c:pt idx="69">
                  <c:v>-0.14134114815170612</c:v>
                </c:pt>
                <c:pt idx="70">
                  <c:v>-2.9426028049022261</c:v>
                </c:pt>
                <c:pt idx="71">
                  <c:v>6.0761533987777687</c:v>
                </c:pt>
                <c:pt idx="72">
                  <c:v>-2.2274186106284457</c:v>
                </c:pt>
                <c:pt idx="73">
                  <c:v>0.88247888912194072</c:v>
                </c:pt>
                <c:pt idx="74">
                  <c:v>-0.26651601924032231</c:v>
                </c:pt>
                <c:pt idx="75">
                  <c:v>1.5762945754182094</c:v>
                </c:pt>
                <c:pt idx="76">
                  <c:v>0.53801940116041025</c:v>
                </c:pt>
                <c:pt idx="77">
                  <c:v>-5.2921728780976043</c:v>
                </c:pt>
                <c:pt idx="78">
                  <c:v>4.2488939471575193</c:v>
                </c:pt>
                <c:pt idx="79">
                  <c:v>-2.448631572695513</c:v>
                </c:pt>
                <c:pt idx="80">
                  <c:v>0.98398416844624914</c:v>
                </c:pt>
                <c:pt idx="81">
                  <c:v>-2.6187199754573349</c:v>
                </c:pt>
                <c:pt idx="82">
                  <c:v>1.6100810762492572</c:v>
                </c:pt>
                <c:pt idx="83">
                  <c:v>2.9897930728487494</c:v>
                </c:pt>
                <c:pt idx="84">
                  <c:v>-5.1402016703331945</c:v>
                </c:pt>
                <c:pt idx="85">
                  <c:v>4.2061766409952757</c:v>
                </c:pt>
                <c:pt idx="86">
                  <c:v>-1.8406114851884001</c:v>
                </c:pt>
                <c:pt idx="87">
                  <c:v>3.3826180808288502</c:v>
                </c:pt>
                <c:pt idx="88">
                  <c:v>-3.1724518674068878</c:v>
                </c:pt>
                <c:pt idx="89">
                  <c:v>-0.11145189886760642</c:v>
                </c:pt>
                <c:pt idx="90">
                  <c:v>4.3013048149826565</c:v>
                </c:pt>
                <c:pt idx="91">
                  <c:v>-5.7057121441382224</c:v>
                </c:pt>
                <c:pt idx="92">
                  <c:v>2.8802902102280727</c:v>
                </c:pt>
                <c:pt idx="93">
                  <c:v>-4.0037113608414945</c:v>
                </c:pt>
                <c:pt idx="94">
                  <c:v>4.1616326100068513</c:v>
                </c:pt>
                <c:pt idx="95">
                  <c:v>-2.4179574361024709</c:v>
                </c:pt>
                <c:pt idx="96">
                  <c:v>-1.8919749283486416</c:v>
                </c:pt>
                <c:pt idx="97">
                  <c:v>6.2567921095686554</c:v>
                </c:pt>
                <c:pt idx="98">
                  <c:v>-4.003547458837672</c:v>
                </c:pt>
                <c:pt idx="99">
                  <c:v>4.5937701350115629</c:v>
                </c:pt>
                <c:pt idx="100">
                  <c:v>-4.7377796079416896</c:v>
                </c:pt>
                <c:pt idx="101">
                  <c:v>4.1444041764412418</c:v>
                </c:pt>
                <c:pt idx="102">
                  <c:v>-1.1741715275454452</c:v>
                </c:pt>
                <c:pt idx="103">
                  <c:v>-5.2711128783611967</c:v>
                </c:pt>
                <c:pt idx="104">
                  <c:v>4.8935943311078542</c:v>
                </c:pt>
                <c:pt idx="105">
                  <c:v>-5.205631165457377</c:v>
                </c:pt>
                <c:pt idx="106">
                  <c:v>5.0677798187592398</c:v>
                </c:pt>
                <c:pt idx="107">
                  <c:v>-5.0868861566757682</c:v>
                </c:pt>
                <c:pt idx="108">
                  <c:v>3.8207533075918496</c:v>
                </c:pt>
                <c:pt idx="109">
                  <c:v>2.7599818198532282</c:v>
                </c:pt>
                <c:pt idx="110">
                  <c:v>-5.026934683885969</c:v>
                </c:pt>
                <c:pt idx="111">
                  <c:v>5.7873025245545415</c:v>
                </c:pt>
                <c:pt idx="112">
                  <c:v>-5.2681429145591938</c:v>
                </c:pt>
                <c:pt idx="113">
                  <c:v>5.4892595006414338</c:v>
                </c:pt>
                <c:pt idx="114">
                  <c:v>-5.4307785386764182</c:v>
                </c:pt>
                <c:pt idx="115">
                  <c:v>0.47761000972329126</c:v>
                </c:pt>
                <c:pt idx="116">
                  <c:v>3.8901149464427949</c:v>
                </c:pt>
                <c:pt idx="117">
                  <c:v>-6.1315164973446503</c:v>
                </c:pt>
                <c:pt idx="118">
                  <c:v>5.3900439778388556</c:v>
                </c:pt>
                <c:pt idx="119">
                  <c:v>-5.5981302390492846</c:v>
                </c:pt>
                <c:pt idx="120">
                  <c:v>5.9984689695831692</c:v>
                </c:pt>
                <c:pt idx="121">
                  <c:v>-3.2859495142887805</c:v>
                </c:pt>
                <c:pt idx="122">
                  <c:v>-1.3924945816223393</c:v>
                </c:pt>
                <c:pt idx="123">
                  <c:v>5.8700505052177494</c:v>
                </c:pt>
                <c:pt idx="124">
                  <c:v>-5.4054562212170749</c:v>
                </c:pt>
                <c:pt idx="125">
                  <c:v>5.566758042844457</c:v>
                </c:pt>
                <c:pt idx="126">
                  <c:v>-5.8680210797751426</c:v>
                </c:pt>
                <c:pt idx="127">
                  <c:v>4.8669434306389787</c:v>
                </c:pt>
                <c:pt idx="128">
                  <c:v>-1.8349076455078586</c:v>
                </c:pt>
                <c:pt idx="129">
                  <c:v>-4.6013510542177709</c:v>
                </c:pt>
                <c:pt idx="130">
                  <c:v>5.1832907420120957</c:v>
                </c:pt>
                <c:pt idx="131">
                  <c:v>-5.4477352975582605</c:v>
                </c:pt>
                <c:pt idx="132">
                  <c:v>5.4137190847888732</c:v>
                </c:pt>
                <c:pt idx="133">
                  <c:v>-5.134596228223165</c:v>
                </c:pt>
                <c:pt idx="134">
                  <c:v>4.6581490433635935</c:v>
                </c:pt>
                <c:pt idx="135">
                  <c:v>2.1943366991449187</c:v>
                </c:pt>
                <c:pt idx="136">
                  <c:v>-4.4821456568633362</c:v>
                </c:pt>
                <c:pt idx="137">
                  <c:v>5.2117933327559989</c:v>
                </c:pt>
                <c:pt idx="138">
                  <c:v>-4.874380942363354</c:v>
                </c:pt>
                <c:pt idx="139">
                  <c:v>4.5152417187258678</c:v>
                </c:pt>
                <c:pt idx="140">
                  <c:v>-6.1254741163537583</c:v>
                </c:pt>
                <c:pt idx="141">
                  <c:v>0.89313242335501575</c:v>
                </c:pt>
                <c:pt idx="142">
                  <c:v>3.0207920026368065</c:v>
                </c:pt>
                <c:pt idx="143">
                  <c:v>-4.7588596965436567</c:v>
                </c:pt>
                <c:pt idx="144">
                  <c:v>4.3339542190848972</c:v>
                </c:pt>
                <c:pt idx="145">
                  <c:v>-3.5357728531771957</c:v>
                </c:pt>
                <c:pt idx="146">
                  <c:v>6.0166232521625425</c:v>
                </c:pt>
                <c:pt idx="147">
                  <c:v>-3.6429906340774645</c:v>
                </c:pt>
                <c:pt idx="148">
                  <c:v>-0.68080819241091639</c:v>
                </c:pt>
                <c:pt idx="149">
                  <c:v>3.9255666892152394</c:v>
                </c:pt>
                <c:pt idx="150">
                  <c:v>-3.7632286412256204</c:v>
                </c:pt>
                <c:pt idx="151">
                  <c:v>2.5574394212705909</c:v>
                </c:pt>
                <c:pt idx="152">
                  <c:v>-4.793784314584383</c:v>
                </c:pt>
                <c:pt idx="153">
                  <c:v>5.02272339579942</c:v>
                </c:pt>
                <c:pt idx="154">
                  <c:v>-2.2192218122860314</c:v>
                </c:pt>
                <c:pt idx="155">
                  <c:v>-2.5270162608402984</c:v>
                </c:pt>
                <c:pt idx="156">
                  <c:v>3.0643471113610654</c:v>
                </c:pt>
                <c:pt idx="157">
                  <c:v>-1.72444567412948</c:v>
                </c:pt>
                <c:pt idx="158">
                  <c:v>3.1406648442257188</c:v>
                </c:pt>
                <c:pt idx="159">
                  <c:v>-4.6489826208711609</c:v>
                </c:pt>
                <c:pt idx="160">
                  <c:v>4.833086153335663</c:v>
                </c:pt>
                <c:pt idx="161">
                  <c:v>0.48170783886214374</c:v>
                </c:pt>
                <c:pt idx="162">
                  <c:v>-2.1034871430914306</c:v>
                </c:pt>
                <c:pt idx="163">
                  <c:v>1.0224949327457418</c:v>
                </c:pt>
                <c:pt idx="164">
                  <c:v>-1.5664707828074471</c:v>
                </c:pt>
                <c:pt idx="165">
                  <c:v>2.9520631349293751</c:v>
                </c:pt>
                <c:pt idx="166">
                  <c:v>-6.1430834460569903</c:v>
                </c:pt>
                <c:pt idx="167">
                  <c:v>1.98601503905744</c:v>
                </c:pt>
                <c:pt idx="168">
                  <c:v>0.74912345628724197</c:v>
                </c:pt>
                <c:pt idx="169">
                  <c:v>-0.35138938657307134</c:v>
                </c:pt>
                <c:pt idx="170">
                  <c:v>0.29126004672220712</c:v>
                </c:pt>
                <c:pt idx="171">
                  <c:v>-0.75157466715179089</c:v>
                </c:pt>
                <c:pt idx="172">
                  <c:v>5.6177123508817628</c:v>
                </c:pt>
                <c:pt idx="173">
                  <c:v>-4.2132068481628222</c:v>
                </c:pt>
                <c:pt idx="174">
                  <c:v>1.0496745892834516</c:v>
                </c:pt>
                <c:pt idx="175">
                  <c:v>-0.42041503347518772</c:v>
                </c:pt>
                <c:pt idx="176">
                  <c:v>0.68022939688958983</c:v>
                </c:pt>
                <c:pt idx="177">
                  <c:v>-1.2752853539245772</c:v>
                </c:pt>
                <c:pt idx="178">
                  <c:v>-3.5848141364097796</c:v>
                </c:pt>
                <c:pt idx="179">
                  <c:v>5.2828026917555215</c:v>
                </c:pt>
                <c:pt idx="180">
                  <c:v>-3.1291050869207178</c:v>
                </c:pt>
                <c:pt idx="181">
                  <c:v>1.4109472858877665</c:v>
                </c:pt>
                <c:pt idx="182">
                  <c:v>-1.4495624515121925</c:v>
                </c:pt>
                <c:pt idx="183">
                  <c:v>2.8214443353170156</c:v>
                </c:pt>
                <c:pt idx="184">
                  <c:v>0.94829354156758572</c:v>
                </c:pt>
                <c:pt idx="185">
                  <c:v>-4.5731900415456392</c:v>
                </c:pt>
                <c:pt idx="186">
                  <c:v>4.9891511949001446</c:v>
                </c:pt>
                <c:pt idx="187">
                  <c:v>-2.6669151726478368</c:v>
                </c:pt>
                <c:pt idx="188">
                  <c:v>2.1489129066526047</c:v>
                </c:pt>
                <c:pt idx="189">
                  <c:v>-3.8783193869832431</c:v>
                </c:pt>
                <c:pt idx="190">
                  <c:v>1.4340927147300828</c:v>
                </c:pt>
                <c:pt idx="191">
                  <c:v>2.2624440595830171</c:v>
                </c:pt>
                <c:pt idx="192">
                  <c:v>-5.8637923471014277</c:v>
                </c:pt>
                <c:pt idx="193">
                  <c:v>4.0763672508321909</c:v>
                </c:pt>
                <c:pt idx="194">
                  <c:v>-2.8942108825975614</c:v>
                </c:pt>
                <c:pt idx="195">
                  <c:v>4.572993085650003</c:v>
                </c:pt>
                <c:pt idx="196">
                  <c:v>-3.141731246430465</c:v>
                </c:pt>
                <c:pt idx="197">
                  <c:v>0.74172052081135176</c:v>
                </c:pt>
                <c:pt idx="198">
                  <c:v>5.1181347234498471</c:v>
                </c:pt>
                <c:pt idx="199">
                  <c:v>-5.2780186453578635</c:v>
                </c:pt>
                <c:pt idx="200">
                  <c:v>3.7411689426326888</c:v>
                </c:pt>
                <c:pt idx="201">
                  <c:v>-5.0525832340211041</c:v>
                </c:pt>
                <c:pt idx="202">
                  <c:v>4.170309207111357</c:v>
                </c:pt>
                <c:pt idx="203">
                  <c:v>-3.4149484495067157</c:v>
                </c:pt>
                <c:pt idx="204">
                  <c:v>-2.7738217754642864</c:v>
                </c:pt>
                <c:pt idx="205">
                  <c:v>5.6750522663290246</c:v>
                </c:pt>
                <c:pt idx="206">
                  <c:v>-4.6268068433265936</c:v>
                </c:pt>
                <c:pt idx="207">
                  <c:v>5.4323410979899256</c:v>
                </c:pt>
                <c:pt idx="208">
                  <c:v>-4.7117590127856577</c:v>
                </c:pt>
                <c:pt idx="209">
                  <c:v>5.1842071978782513</c:v>
                </c:pt>
                <c:pt idx="210">
                  <c:v>-0.3483252175477573</c:v>
                </c:pt>
                <c:pt idx="211">
                  <c:v>-4.6915533480429366</c:v>
                </c:pt>
                <c:pt idx="212">
                  <c:v>5.3062395274546761</c:v>
                </c:pt>
                <c:pt idx="213">
                  <c:v>-5.7706480723536329</c:v>
                </c:pt>
                <c:pt idx="214">
                  <c:v>4.9690969673659442</c:v>
                </c:pt>
                <c:pt idx="215">
                  <c:v>-6.0295907276461067</c:v>
                </c:pt>
                <c:pt idx="216">
                  <c:v>3.1151512085237294</c:v>
                </c:pt>
                <c:pt idx="217">
                  <c:v>2.2303851354915252</c:v>
                </c:pt>
                <c:pt idx="218">
                  <c:v>-5.3452192528770963</c:v>
                </c:pt>
                <c:pt idx="219">
                  <c:v>6.0390281201228975</c:v>
                </c:pt>
                <c:pt idx="220">
                  <c:v>-5.0770859892171565</c:v>
                </c:pt>
                <c:pt idx="221">
                  <c:v>6.2346081819147088</c:v>
                </c:pt>
                <c:pt idx="222">
                  <c:v>-4.7742994921951576</c:v>
                </c:pt>
                <c:pt idx="223">
                  <c:v>1.0405285848784518</c:v>
                </c:pt>
                <c:pt idx="224">
                  <c:v>4.2733309814401768</c:v>
                </c:pt>
                <c:pt idx="225">
                  <c:v>-6.0835372399485887</c:v>
                </c:pt>
                <c:pt idx="226">
                  <c:v>5.0907809809521574</c:v>
                </c:pt>
                <c:pt idx="227">
                  <c:v>-6.1094062579459472</c:v>
                </c:pt>
                <c:pt idx="228">
                  <c:v>5.2435983090653773</c:v>
                </c:pt>
                <c:pt idx="229">
                  <c:v>-3.9717880686104472</c:v>
                </c:pt>
                <c:pt idx="230">
                  <c:v>-1.9337778349539338</c:v>
                </c:pt>
                <c:pt idx="231">
                  <c:v>5.6120977632947104</c:v>
                </c:pt>
                <c:pt idx="232">
                  <c:v>-4.9889170860203089</c:v>
                </c:pt>
                <c:pt idx="233">
                  <c:v>5.8533539355549769</c:v>
                </c:pt>
                <c:pt idx="234">
                  <c:v>-4.8944260305110507</c:v>
                </c:pt>
                <c:pt idx="235">
                  <c:v>5.6405976472549728</c:v>
                </c:pt>
                <c:pt idx="236">
                  <c:v>-1.1814396843752777</c:v>
                </c:pt>
                <c:pt idx="237">
                  <c:v>-4.280095281805945</c:v>
                </c:pt>
                <c:pt idx="238">
                  <c:v>4.6673362051200149</c:v>
                </c:pt>
                <c:pt idx="239">
                  <c:v>-5.5383315316012229</c:v>
                </c:pt>
                <c:pt idx="240">
                  <c:v>4.180213641113343</c:v>
                </c:pt>
                <c:pt idx="241">
                  <c:v>-5.8450533373655924</c:v>
                </c:pt>
                <c:pt idx="242">
                  <c:v>4.0085161609324835</c:v>
                </c:pt>
                <c:pt idx="243">
                  <c:v>1.9315205520398524</c:v>
                </c:pt>
                <c:pt idx="244">
                  <c:v>-3.9352764388291415</c:v>
                </c:pt>
                <c:pt idx="245">
                  <c:v>5.1391432682945535</c:v>
                </c:pt>
                <c:pt idx="246">
                  <c:v>-3.4104548592914989</c:v>
                </c:pt>
                <c:pt idx="247">
                  <c:v>5.0072712016020207</c:v>
                </c:pt>
                <c:pt idx="248">
                  <c:v>-5.5136222785866416</c:v>
                </c:pt>
                <c:pt idx="249">
                  <c:v>1.0937421521636681</c:v>
                </c:pt>
                <c:pt idx="250">
                  <c:v>2.5620870617689664</c:v>
                </c:pt>
                <c:pt idx="251">
                  <c:v>-4.5628596723187709</c:v>
                </c:pt>
                <c:pt idx="252">
                  <c:v>2.7082750599808447</c:v>
                </c:pt>
                <c:pt idx="253">
                  <c:v>-3.735232646828174</c:v>
                </c:pt>
                <c:pt idx="254">
                  <c:v>5.3364330825312063</c:v>
                </c:pt>
                <c:pt idx="255">
                  <c:v>-3.8889319987004405</c:v>
                </c:pt>
                <c:pt idx="256">
                  <c:v>-0.42939326236594511</c:v>
                </c:pt>
                <c:pt idx="257">
                  <c:v>3.6684873661627142</c:v>
                </c:pt>
                <c:pt idx="258">
                  <c:v>-2.0577958121222362</c:v>
                </c:pt>
                <c:pt idx="259">
                  <c:v>2.478241078518141</c:v>
                </c:pt>
                <c:pt idx="260">
                  <c:v>-3.8900127140909713</c:v>
                </c:pt>
                <c:pt idx="261">
                  <c:v>5.4002436090258623</c:v>
                </c:pt>
                <c:pt idx="262">
                  <c:v>-2.230109820156323</c:v>
                </c:pt>
                <c:pt idx="263">
                  <c:v>-2.3017770675601392</c:v>
                </c:pt>
                <c:pt idx="264">
                  <c:v>1.3633005154597901</c:v>
                </c:pt>
                <c:pt idx="265">
                  <c:v>-1.4334458605970453</c:v>
                </c:pt>
                <c:pt idx="266">
                  <c:v>1.9264652818241201</c:v>
                </c:pt>
                <c:pt idx="267">
                  <c:v>-5.1072738598654279</c:v>
                </c:pt>
                <c:pt idx="268">
                  <c:v>4.6940477782054737</c:v>
                </c:pt>
                <c:pt idx="269">
                  <c:v>0.38761259694507399</c:v>
                </c:pt>
                <c:pt idx="270">
                  <c:v>-0.49451614859374327</c:v>
                </c:pt>
                <c:pt idx="271">
                  <c:v>0.60699011071366615</c:v>
                </c:pt>
                <c:pt idx="272">
                  <c:v>-5.7261539895635316E-2</c:v>
                </c:pt>
                <c:pt idx="273">
                  <c:v>3.3419669456358227</c:v>
                </c:pt>
                <c:pt idx="274">
                  <c:v>-5.9834196054350537</c:v>
                </c:pt>
                <c:pt idx="275">
                  <c:v>1.9065135565327413</c:v>
                </c:pt>
                <c:pt idx="276">
                  <c:v>-0.67246695007547974</c:v>
                </c:pt>
                <c:pt idx="277">
                  <c:v>9.6556071062255056E-2</c:v>
                </c:pt>
                <c:pt idx="278">
                  <c:v>-1.4334699485941096</c:v>
                </c:pt>
                <c:pt idx="279">
                  <c:v>-0.95965735888093984</c:v>
                </c:pt>
                <c:pt idx="280">
                  <c:v>5.4641025589243934</c:v>
                </c:pt>
                <c:pt idx="281">
                  <c:v>-4.029646304884408</c:v>
                </c:pt>
                <c:pt idx="282">
                  <c:v>2.1919655022778386</c:v>
                </c:pt>
                <c:pt idx="283">
                  <c:v>-0.80828855419000933</c:v>
                </c:pt>
                <c:pt idx="284">
                  <c:v>2.5231636655906797</c:v>
                </c:pt>
                <c:pt idx="285">
                  <c:v>-1.25124384987112</c:v>
                </c:pt>
                <c:pt idx="286">
                  <c:v>-3.3306406672151914</c:v>
                </c:pt>
                <c:pt idx="287">
                  <c:v>5.142232720920151</c:v>
                </c:pt>
                <c:pt idx="288">
                  <c:v>-3.9434022372973923</c:v>
                </c:pt>
                <c:pt idx="289">
                  <c:v>1.6478881734249784</c:v>
                </c:pt>
                <c:pt idx="290">
                  <c:v>-3.3164270964292233</c:v>
                </c:pt>
                <c:pt idx="291">
                  <c:v>2.9013489974085278</c:v>
                </c:pt>
                <c:pt idx="292">
                  <c:v>0.47194085642935119</c:v>
                </c:pt>
                <c:pt idx="293">
                  <c:v>-4.570717198765549</c:v>
                </c:pt>
                <c:pt idx="294">
                  <c:v>5.5207929137099523</c:v>
                </c:pt>
                <c:pt idx="295">
                  <c:v>-2.6732849942955963</c:v>
                </c:pt>
                <c:pt idx="296">
                  <c:v>3.9491880663760863</c:v>
                </c:pt>
                <c:pt idx="297">
                  <c:v>-3.965594904884735</c:v>
                </c:pt>
                <c:pt idx="298">
                  <c:v>2.1483416168745801</c:v>
                </c:pt>
                <c:pt idx="299">
                  <c:v>2.350658425780912</c:v>
                </c:pt>
                <c:pt idx="300">
                  <c:v>-6.252605488134459</c:v>
                </c:pt>
                <c:pt idx="301">
                  <c:v>3.8102917662994518</c:v>
                </c:pt>
                <c:pt idx="302">
                  <c:v>-4.5387930393764604</c:v>
                </c:pt>
                <c:pt idx="303">
                  <c:v>4.5929430714813124</c:v>
                </c:pt>
                <c:pt idx="304">
                  <c:v>-3.9999047416684652</c:v>
                </c:pt>
                <c:pt idx="305">
                  <c:v>0.68530137278358927</c:v>
                </c:pt>
                <c:pt idx="306">
                  <c:v>5.5037912299617027</c:v>
                </c:pt>
                <c:pt idx="307">
                  <c:v>-4.7749288571468291</c:v>
                </c:pt>
                <c:pt idx="308">
                  <c:v>5.1490933868925399</c:v>
                </c:pt>
                <c:pt idx="309">
                  <c:v>-4.9538165241740462</c:v>
                </c:pt>
                <c:pt idx="310">
                  <c:v>5.0466869153814065</c:v>
                </c:pt>
                <c:pt idx="311">
                  <c:v>-3.44008529549461</c:v>
                </c:pt>
                <c:pt idx="312">
                  <c:v>-3.1756411211133284</c:v>
                </c:pt>
                <c:pt idx="313">
                  <c:v>5.064172329469077</c:v>
                </c:pt>
                <c:pt idx="314">
                  <c:v>-5.7462239956471279</c:v>
                </c:pt>
                <c:pt idx="315">
                  <c:v>5.1731202518936552</c:v>
                </c:pt>
                <c:pt idx="316">
                  <c:v>-5.5153980421780915</c:v>
                </c:pt>
                <c:pt idx="317">
                  <c:v>5.2099012273725567</c:v>
                </c:pt>
                <c:pt idx="318">
                  <c:v>-3.2387924460448803E-2</c:v>
                </c:pt>
                <c:pt idx="319">
                  <c:v>-4.1389650630080839</c:v>
                </c:pt>
                <c:pt idx="320">
                  <c:v>6.1466500835075726</c:v>
                </c:pt>
                <c:pt idx="321">
                  <c:v>-5.3121000175297199</c:v>
                </c:pt>
                <c:pt idx="322">
                  <c:v>5.6598406044818139</c:v>
                </c:pt>
                <c:pt idx="323">
                  <c:v>-5.9116340217216337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21080"/>
        <c:axId val="415919512"/>
      </c:scatterChart>
      <c:valAx>
        <c:axId val="415936760"/>
        <c:scaling>
          <c:orientation val="minMax"/>
          <c:max val="200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15912456"/>
        <c:crosses val="autoZero"/>
        <c:crossBetween val="midCat"/>
      </c:valAx>
      <c:valAx>
        <c:axId val="415912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5936760"/>
        <c:crosses val="autoZero"/>
        <c:crossBetween val="midCat"/>
      </c:valAx>
      <c:valAx>
        <c:axId val="415919512"/>
        <c:scaling>
          <c:orientation val="minMax"/>
          <c:max val="16"/>
          <c:min val="-16"/>
        </c:scaling>
        <c:delete val="0"/>
        <c:axPos val="r"/>
        <c:numFmt formatCode="General" sourceLinked="1"/>
        <c:majorTickMark val="out"/>
        <c:minorTickMark val="none"/>
        <c:tickLblPos val="nextTo"/>
        <c:crossAx val="415921080"/>
        <c:crosses val="max"/>
        <c:crossBetween val="midCat"/>
      </c:valAx>
      <c:valAx>
        <c:axId val="4159210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159195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607237183126409"/>
          <c:y val="5.9801326917468652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hybrid!$E$10:$E$337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hybrid!$F$10:$F$337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10104"/>
        <c:axId val="415911280"/>
      </c:scatterChart>
      <c:valAx>
        <c:axId val="415910104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15911280"/>
        <c:crosses val="autoZero"/>
        <c:crossBetween val="midCat"/>
      </c:valAx>
      <c:valAx>
        <c:axId val="41591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5910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823072888635981E-2"/>
          <c:y val="6.5289442986293383E-2"/>
          <c:w val="0.94376901946817793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hybrid!$I$12:$I$335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hybrid!$J$12:$J$335</c:f>
              <c:numCache>
                <c:formatCode>General</c:formatCode>
                <c:ptCount val="324"/>
                <c:pt idx="0">
                  <c:v>0.16327465864693996</c:v>
                </c:pt>
                <c:pt idx="1">
                  <c:v>0.39949128680100982</c:v>
                </c:pt>
                <c:pt idx="2">
                  <c:v>0.22068854147074463</c:v>
                </c:pt>
                <c:pt idx="3">
                  <c:v>0.37060036047992917</c:v>
                </c:pt>
                <c:pt idx="4">
                  <c:v>-0.56562845055797439</c:v>
                </c:pt>
                <c:pt idx="5">
                  <c:v>1.3485767414315923</c:v>
                </c:pt>
                <c:pt idx="6">
                  <c:v>-7.3018448536620567E-2</c:v>
                </c:pt>
                <c:pt idx="7">
                  <c:v>0.68443903865058653</c:v>
                </c:pt>
                <c:pt idx="8">
                  <c:v>0.40262347271098065</c:v>
                </c:pt>
                <c:pt idx="9">
                  <c:v>-1.3694014619509226E-2</c:v>
                </c:pt>
                <c:pt idx="10">
                  <c:v>7.5975017093613872E-2</c:v>
                </c:pt>
                <c:pt idx="11">
                  <c:v>-0.57654574963182115</c:v>
                </c:pt>
                <c:pt idx="12">
                  <c:v>-0.25427927717090049</c:v>
                </c:pt>
                <c:pt idx="13">
                  <c:v>-0.83162832463794722</c:v>
                </c:pt>
                <c:pt idx="14">
                  <c:v>-0.51610775973293233</c:v>
                </c:pt>
                <c:pt idx="15">
                  <c:v>-0.63291135708649371</c:v>
                </c:pt>
                <c:pt idx="16">
                  <c:v>2.0052731952139802E-2</c:v>
                </c:pt>
                <c:pt idx="17">
                  <c:v>-0.69813042320988561</c:v>
                </c:pt>
                <c:pt idx="18">
                  <c:v>0.35976023936259943</c:v>
                </c:pt>
                <c:pt idx="19">
                  <c:v>-1.0091303575667006</c:v>
                </c:pt>
                <c:pt idx="20">
                  <c:v>0.28570284720817163</c:v>
                </c:pt>
                <c:pt idx="21">
                  <c:v>0.51184119534910155</c:v>
                </c:pt>
                <c:pt idx="22">
                  <c:v>-0.72041356588050376</c:v>
                </c:pt>
                <c:pt idx="23">
                  <c:v>-5.3980164611666714E-2</c:v>
                </c:pt>
                <c:pt idx="24">
                  <c:v>1.0573499674751683</c:v>
                </c:pt>
                <c:pt idx="25">
                  <c:v>-1.1813273974207066</c:v>
                </c:pt>
                <c:pt idx="26">
                  <c:v>9.7896221387332345E-3</c:v>
                </c:pt>
                <c:pt idx="27">
                  <c:v>0.42744445594253755</c:v>
                </c:pt>
                <c:pt idx="28">
                  <c:v>-0.45567595547895384</c:v>
                </c:pt>
                <c:pt idx="29">
                  <c:v>0.73281826487594215</c:v>
                </c:pt>
                <c:pt idx="30">
                  <c:v>-0.25189953567550266</c:v>
                </c:pt>
                <c:pt idx="31">
                  <c:v>0.57283984660552834</c:v>
                </c:pt>
                <c:pt idx="32">
                  <c:v>-0.83101821028767597</c:v>
                </c:pt>
                <c:pt idx="33">
                  <c:v>0.86547119917184534</c:v>
                </c:pt>
                <c:pt idx="34">
                  <c:v>-0.29708452588777873</c:v>
                </c:pt>
                <c:pt idx="35">
                  <c:v>-0.55759215364675718</c:v>
                </c:pt>
                <c:pt idx="36">
                  <c:v>1.4529006024257647</c:v>
                </c:pt>
                <c:pt idx="37">
                  <c:v>0.12132491348964802</c:v>
                </c:pt>
                <c:pt idx="38">
                  <c:v>0.19767674082737893</c:v>
                </c:pt>
                <c:pt idx="39">
                  <c:v>1.0160211376894319</c:v>
                </c:pt>
                <c:pt idx="40">
                  <c:v>-9.7349832365109551E-2</c:v>
                </c:pt>
                <c:pt idx="41">
                  <c:v>0.93470070523262527</c:v>
                </c:pt>
                <c:pt idx="42">
                  <c:v>1.1230272902726648</c:v>
                </c:pt>
                <c:pt idx="43">
                  <c:v>-1.2775056949966419</c:v>
                </c:pt>
                <c:pt idx="44">
                  <c:v>1.3150689862834155</c:v>
                </c:pt>
                <c:pt idx="45">
                  <c:v>-1.8820290064182124</c:v>
                </c:pt>
                <c:pt idx="46">
                  <c:v>0.20610333111921325</c:v>
                </c:pt>
                <c:pt idx="47">
                  <c:v>-0.951801819921412</c:v>
                </c:pt>
                <c:pt idx="48">
                  <c:v>0.21002526932452348</c:v>
                </c:pt>
                <c:pt idx="49">
                  <c:v>-0.20638502888857499</c:v>
                </c:pt>
                <c:pt idx="50">
                  <c:v>-0.40600410231673184</c:v>
                </c:pt>
                <c:pt idx="51">
                  <c:v>0.12226969025864294</c:v>
                </c:pt>
                <c:pt idx="52">
                  <c:v>-0.5781285098141643</c:v>
                </c:pt>
                <c:pt idx="53">
                  <c:v>-0.5272563887672328</c:v>
                </c:pt>
                <c:pt idx="54">
                  <c:v>-1.0230243167471433</c:v>
                </c:pt>
                <c:pt idx="55">
                  <c:v>0.29955538088136957</c:v>
                </c:pt>
                <c:pt idx="56">
                  <c:v>-1.0659228889763082</c:v>
                </c:pt>
                <c:pt idx="57">
                  <c:v>1.5354607657418995</c:v>
                </c:pt>
                <c:pt idx="58">
                  <c:v>-1.1963429276798001</c:v>
                </c:pt>
                <c:pt idx="59">
                  <c:v>1.5529987017584712</c:v>
                </c:pt>
                <c:pt idx="60">
                  <c:v>0.14932664790672412</c:v>
                </c:pt>
                <c:pt idx="61">
                  <c:v>0.17839088773121647</c:v>
                </c:pt>
                <c:pt idx="62">
                  <c:v>-0.18999627312831233</c:v>
                </c:pt>
                <c:pt idx="63">
                  <c:v>-0.49940895419416276</c:v>
                </c:pt>
                <c:pt idx="64">
                  <c:v>-0.93636590435158684</c:v>
                </c:pt>
                <c:pt idx="65">
                  <c:v>0.31468491707322971</c:v>
                </c:pt>
                <c:pt idx="66">
                  <c:v>-0.59177332299209795</c:v>
                </c:pt>
                <c:pt idx="67">
                  <c:v>1.3297067537591243</c:v>
                </c:pt>
                <c:pt idx="68">
                  <c:v>0.84953872704554789</c:v>
                </c:pt>
                <c:pt idx="69">
                  <c:v>0.77742191395784932</c:v>
                </c:pt>
                <c:pt idx="70">
                  <c:v>1.8710290906261469</c:v>
                </c:pt>
                <c:pt idx="71">
                  <c:v>-0.55719289802920635</c:v>
                </c:pt>
                <c:pt idx="72">
                  <c:v>7.2347062191709416E-2</c:v>
                </c:pt>
                <c:pt idx="73">
                  <c:v>2.5208529964715551</c:v>
                </c:pt>
                <c:pt idx="74">
                  <c:v>-1.2316921094451276</c:v>
                </c:pt>
                <c:pt idx="75">
                  <c:v>0.19571538663155891</c:v>
                </c:pt>
                <c:pt idx="76">
                  <c:v>0.8556818941437937</c:v>
                </c:pt>
                <c:pt idx="77">
                  <c:v>-0.54563583765041634</c:v>
                </c:pt>
                <c:pt idx="78">
                  <c:v>-0.71256219756950023</c:v>
                </c:pt>
                <c:pt idx="79">
                  <c:v>-0.6535461297388051</c:v>
                </c:pt>
                <c:pt idx="80">
                  <c:v>-1.5838636683152105</c:v>
                </c:pt>
                <c:pt idx="81">
                  <c:v>0.41611897077634508</c:v>
                </c:pt>
                <c:pt idx="82">
                  <c:v>-1.6129533500699258</c:v>
                </c:pt>
                <c:pt idx="83">
                  <c:v>0.33617886691099513</c:v>
                </c:pt>
                <c:pt idx="84">
                  <c:v>0.69618507346153646</c:v>
                </c:pt>
                <c:pt idx="85">
                  <c:v>0.58391914224021857</c:v>
                </c:pt>
                <c:pt idx="86">
                  <c:v>-0.42459237763291763</c:v>
                </c:pt>
                <c:pt idx="87">
                  <c:v>1.5571740383315664</c:v>
                </c:pt>
                <c:pt idx="88">
                  <c:v>-0.43613392886708785</c:v>
                </c:pt>
                <c:pt idx="89">
                  <c:v>-1.7018519511094679</c:v>
                </c:pt>
                <c:pt idx="90">
                  <c:v>1.0291468145228662</c:v>
                </c:pt>
                <c:pt idx="91">
                  <c:v>-0.88311359354065289</c:v>
                </c:pt>
                <c:pt idx="92">
                  <c:v>0.52389460950925637</c:v>
                </c:pt>
                <c:pt idx="93">
                  <c:v>0.66591448244958751</c:v>
                </c:pt>
                <c:pt idx="94">
                  <c:v>1.9071367757487796</c:v>
                </c:pt>
                <c:pt idx="95">
                  <c:v>-0.29464616715639302</c:v>
                </c:pt>
                <c:pt idx="96">
                  <c:v>4.0208248022030828</c:v>
                </c:pt>
                <c:pt idx="97">
                  <c:v>-0.71124014981190864</c:v>
                </c:pt>
                <c:pt idx="98">
                  <c:v>0.82041973317261285</c:v>
                </c:pt>
                <c:pt idx="99">
                  <c:v>-1.4367354942472785</c:v>
                </c:pt>
                <c:pt idx="100">
                  <c:v>-0.17683899819439342</c:v>
                </c:pt>
                <c:pt idx="101">
                  <c:v>-1.47510909618167</c:v>
                </c:pt>
                <c:pt idx="102">
                  <c:v>-1.7180748944813222</c:v>
                </c:pt>
                <c:pt idx="103">
                  <c:v>-0.30746352602408145</c:v>
                </c:pt>
                <c:pt idx="104">
                  <c:v>-2.5751386264423983</c:v>
                </c:pt>
                <c:pt idx="105">
                  <c:v>0.46994822714385615</c:v>
                </c:pt>
                <c:pt idx="106">
                  <c:v>-0.98920829355152995</c:v>
                </c:pt>
                <c:pt idx="107">
                  <c:v>-1.0244410878575503</c:v>
                </c:pt>
                <c:pt idx="108">
                  <c:v>-0.43447944879660466</c:v>
                </c:pt>
                <c:pt idx="109">
                  <c:v>1.193417942379928</c:v>
                </c:pt>
                <c:pt idx="110">
                  <c:v>-2.1218171706105617</c:v>
                </c:pt>
                <c:pt idx="111">
                  <c:v>0.77811553395871713</c:v>
                </c:pt>
                <c:pt idx="112">
                  <c:v>-0.97998241278902742</c:v>
                </c:pt>
                <c:pt idx="113">
                  <c:v>0.79804615072925777</c:v>
                </c:pt>
                <c:pt idx="114">
                  <c:v>-0.26992912272820424</c:v>
                </c:pt>
                <c:pt idx="115">
                  <c:v>0.262170740383874</c:v>
                </c:pt>
                <c:pt idx="116">
                  <c:v>0.77039016399817795</c:v>
                </c:pt>
                <c:pt idx="117">
                  <c:v>0.57325938387441655</c:v>
                </c:pt>
                <c:pt idx="118">
                  <c:v>0.28477032412222725</c:v>
                </c:pt>
                <c:pt idx="119">
                  <c:v>-0.29155785613220564</c:v>
                </c:pt>
                <c:pt idx="120">
                  <c:v>-0.3149958323593775</c:v>
                </c:pt>
                <c:pt idx="121">
                  <c:v>0.4199704439479528</c:v>
                </c:pt>
                <c:pt idx="122">
                  <c:v>-1.3593474879909382</c:v>
                </c:pt>
                <c:pt idx="123">
                  <c:v>-0.61301732368033879</c:v>
                </c:pt>
                <c:pt idx="124">
                  <c:v>-0.17283354433143133</c:v>
                </c:pt>
                <c:pt idx="125">
                  <c:v>-1.1185428867246263</c:v>
                </c:pt>
                <c:pt idx="126">
                  <c:v>-0.35002735378599636</c:v>
                </c:pt>
                <c:pt idx="127">
                  <c:v>-0.45718791822475541</c:v>
                </c:pt>
                <c:pt idx="128">
                  <c:v>-1.4060509066152738</c:v>
                </c:pt>
                <c:pt idx="129">
                  <c:v>-0.24414688133214871</c:v>
                </c:pt>
                <c:pt idx="130">
                  <c:v>0.51451031007083281</c:v>
                </c:pt>
                <c:pt idx="131">
                  <c:v>-0.18033590371713748</c:v>
                </c:pt>
                <c:pt idx="132">
                  <c:v>-1.0137971315780336</c:v>
                </c:pt>
                <c:pt idx="133">
                  <c:v>0.79134351149984228</c:v>
                </c:pt>
                <c:pt idx="134">
                  <c:v>5.5502097467017189E-2</c:v>
                </c:pt>
                <c:pt idx="135">
                  <c:v>-0.88611608130808595</c:v>
                </c:pt>
                <c:pt idx="136">
                  <c:v>-1.042474874492537</c:v>
                </c:pt>
                <c:pt idx="137">
                  <c:v>-0.49091417763058898</c:v>
                </c:pt>
                <c:pt idx="138">
                  <c:v>1.546533999312323</c:v>
                </c:pt>
                <c:pt idx="139">
                  <c:v>0.20763697864852737</c:v>
                </c:pt>
                <c:pt idx="140">
                  <c:v>0.56362375189592306</c:v>
                </c:pt>
                <c:pt idx="141">
                  <c:v>1.6155844529516799</c:v>
                </c:pt>
                <c:pt idx="142">
                  <c:v>2.1130715229825445</c:v>
                </c:pt>
                <c:pt idx="143">
                  <c:v>-0.15471497395300612</c:v>
                </c:pt>
                <c:pt idx="144">
                  <c:v>-0.27461587677911031</c:v>
                </c:pt>
                <c:pt idx="145">
                  <c:v>7.5114462899300627E-2</c:v>
                </c:pt>
                <c:pt idx="146">
                  <c:v>0.71890296378907115</c:v>
                </c:pt>
                <c:pt idx="147">
                  <c:v>-0.23801800975178211</c:v>
                </c:pt>
                <c:pt idx="148">
                  <c:v>-1.1620226030860861</c:v>
                </c:pt>
                <c:pt idx="149">
                  <c:v>0.95768943597133893</c:v>
                </c:pt>
                <c:pt idx="150">
                  <c:v>-0.85050873564653484</c:v>
                </c:pt>
                <c:pt idx="151">
                  <c:v>0.47861694983975106</c:v>
                </c:pt>
                <c:pt idx="152">
                  <c:v>-2.1948646698879664</c:v>
                </c:pt>
                <c:pt idx="153">
                  <c:v>0.74636229642092045</c:v>
                </c:pt>
                <c:pt idx="154">
                  <c:v>0.200939025682422</c:v>
                </c:pt>
                <c:pt idx="155">
                  <c:v>-2.0172085153965935</c:v>
                </c:pt>
                <c:pt idx="156">
                  <c:v>0.6900404767677375</c:v>
                </c:pt>
                <c:pt idx="157">
                  <c:v>-0.64865713900757238</c:v>
                </c:pt>
                <c:pt idx="158">
                  <c:v>-0.71492182774972257</c:v>
                </c:pt>
                <c:pt idx="159">
                  <c:v>-6.3141165370738134E-2</c:v>
                </c:pt>
                <c:pt idx="160">
                  <c:v>-0.83938845091695558</c:v>
                </c:pt>
                <c:pt idx="161">
                  <c:v>0.42131551067716599</c:v>
                </c:pt>
                <c:pt idx="162">
                  <c:v>2.3122451006126518E-2</c:v>
                </c:pt>
                <c:pt idx="163">
                  <c:v>1.2782530223581263</c:v>
                </c:pt>
                <c:pt idx="164">
                  <c:v>0.69155979520411515</c:v>
                </c:pt>
                <c:pt idx="165">
                  <c:v>0.28919087689547351</c:v>
                </c:pt>
                <c:pt idx="166">
                  <c:v>-0.42117117510983926</c:v>
                </c:pt>
                <c:pt idx="167">
                  <c:v>-2.3520751611818818</c:v>
                </c:pt>
                <c:pt idx="168">
                  <c:v>1.1400500755442295</c:v>
                </c:pt>
                <c:pt idx="169">
                  <c:v>-2.6910005041508787</c:v>
                </c:pt>
                <c:pt idx="170">
                  <c:v>0.20252955201036457</c:v>
                </c:pt>
                <c:pt idx="171">
                  <c:v>0.25921871469614649</c:v>
                </c:pt>
                <c:pt idx="172">
                  <c:v>-8.2863685637147466E-2</c:v>
                </c:pt>
                <c:pt idx="173">
                  <c:v>-0.42499589494477147</c:v>
                </c:pt>
                <c:pt idx="174">
                  <c:v>1.6258360398023139</c:v>
                </c:pt>
                <c:pt idx="175">
                  <c:v>0.74719954403663646</c:v>
                </c:pt>
                <c:pt idx="176">
                  <c:v>0.56208589735261438</c:v>
                </c:pt>
                <c:pt idx="177">
                  <c:v>0.85088078461529615</c:v>
                </c:pt>
                <c:pt idx="178">
                  <c:v>0.34653966281371229</c:v>
                </c:pt>
                <c:pt idx="179">
                  <c:v>1.1436166794189475</c:v>
                </c:pt>
                <c:pt idx="180">
                  <c:v>1.2657770082607778</c:v>
                </c:pt>
                <c:pt idx="181">
                  <c:v>0.12016137973709018</c:v>
                </c:pt>
                <c:pt idx="182">
                  <c:v>1.3170017601649031</c:v>
                </c:pt>
                <c:pt idx="183">
                  <c:v>0.89858534876017093</c:v>
                </c:pt>
                <c:pt idx="184">
                  <c:v>1.0392242588604896</c:v>
                </c:pt>
                <c:pt idx="185">
                  <c:v>9.3431564940352485E-3</c:v>
                </c:pt>
                <c:pt idx="186">
                  <c:v>2.848986385877732</c:v>
                </c:pt>
                <c:pt idx="187">
                  <c:v>-1.0944476857000875</c:v>
                </c:pt>
                <c:pt idx="188">
                  <c:v>2.0375804118561645</c:v>
                </c:pt>
                <c:pt idx="189">
                  <c:v>-0.53376641310539286</c:v>
                </c:pt>
                <c:pt idx="190">
                  <c:v>0.85444464572212997</c:v>
                </c:pt>
                <c:pt idx="191">
                  <c:v>-0.32988713601615438</c:v>
                </c:pt>
                <c:pt idx="192">
                  <c:v>7.8155359665288832E-2</c:v>
                </c:pt>
                <c:pt idx="193">
                  <c:v>1.1940966048888244</c:v>
                </c:pt>
                <c:pt idx="194">
                  <c:v>-1.1949465743290846</c:v>
                </c:pt>
                <c:pt idx="195">
                  <c:v>2.0215277662467157</c:v>
                </c:pt>
                <c:pt idx="196">
                  <c:v>-1.1002098254276882</c:v>
                </c:pt>
                <c:pt idx="197">
                  <c:v>0.20800963095253899</c:v>
                </c:pt>
                <c:pt idx="198">
                  <c:v>-0.62996932288210805</c:v>
                </c:pt>
                <c:pt idx="199">
                  <c:v>2.0752861710260873</c:v>
                </c:pt>
                <c:pt idx="200">
                  <c:v>-0.59555141534218459</c:v>
                </c:pt>
                <c:pt idx="201">
                  <c:v>0.3287676277247511</c:v>
                </c:pt>
                <c:pt idx="202">
                  <c:v>0.54594664199229681</c:v>
                </c:pt>
                <c:pt idx="203">
                  <c:v>1.5177119007977329</c:v>
                </c:pt>
                <c:pt idx="204">
                  <c:v>-2.3143186912888423</c:v>
                </c:pt>
                <c:pt idx="205">
                  <c:v>2.0390848546637188</c:v>
                </c:pt>
                <c:pt idx="206">
                  <c:v>-1.3987721025720112</c:v>
                </c:pt>
                <c:pt idx="207">
                  <c:v>-0.17621837854034123</c:v>
                </c:pt>
                <c:pt idx="208">
                  <c:v>-1.0795723886499093</c:v>
                </c:pt>
                <c:pt idx="209">
                  <c:v>-1.3192212239696051</c:v>
                </c:pt>
                <c:pt idx="210">
                  <c:v>-1.3864735758947901</c:v>
                </c:pt>
                <c:pt idx="211">
                  <c:v>-2.1339925257435031</c:v>
                </c:pt>
                <c:pt idx="212">
                  <c:v>0.97966819162846974</c:v>
                </c:pt>
                <c:pt idx="213">
                  <c:v>-1.8232238556949438</c:v>
                </c:pt>
                <c:pt idx="214">
                  <c:v>0.45786060891167801</c:v>
                </c:pt>
                <c:pt idx="215">
                  <c:v>0.35559584648152232</c:v>
                </c:pt>
                <c:pt idx="216">
                  <c:v>1.6306419860790724</c:v>
                </c:pt>
                <c:pt idx="217">
                  <c:v>-1.9789818141790267</c:v>
                </c:pt>
                <c:pt idx="218">
                  <c:v>0.9953605938638852</c:v>
                </c:pt>
                <c:pt idx="219">
                  <c:v>-1.0133757459345232</c:v>
                </c:pt>
                <c:pt idx="220">
                  <c:v>-1.1743658439893725</c:v>
                </c:pt>
                <c:pt idx="221">
                  <c:v>-0.55680858239420938</c:v>
                </c:pt>
                <c:pt idx="222">
                  <c:v>-0.49946839688893402</c:v>
                </c:pt>
                <c:pt idx="223">
                  <c:v>-0.8163613919799122</c:v>
                </c:pt>
                <c:pt idx="224">
                  <c:v>1.6725409857312563</c:v>
                </c:pt>
                <c:pt idx="225">
                  <c:v>-5.2451513270914657E-2</c:v>
                </c:pt>
                <c:pt idx="226">
                  <c:v>-0.77849763284113949</c:v>
                </c:pt>
                <c:pt idx="227">
                  <c:v>-5.2564583868177694E-2</c:v>
                </c:pt>
                <c:pt idx="228">
                  <c:v>0.62557137774016802</c:v>
                </c:pt>
                <c:pt idx="229">
                  <c:v>-1.9195928557698758</c:v>
                </c:pt>
                <c:pt idx="230">
                  <c:v>-0.52898509170130392</c:v>
                </c:pt>
                <c:pt idx="231">
                  <c:v>1.1890939911620086</c:v>
                </c:pt>
                <c:pt idx="232">
                  <c:v>0.59800628613371043</c:v>
                </c:pt>
                <c:pt idx="233">
                  <c:v>-0.23039502894106562</c:v>
                </c:pt>
                <c:pt idx="234">
                  <c:v>-9.7205049560529333E-2</c:v>
                </c:pt>
                <c:pt idx="235">
                  <c:v>2.1831026537550842</c:v>
                </c:pt>
                <c:pt idx="236">
                  <c:v>-1.2312743517087521</c:v>
                </c:pt>
                <c:pt idx="237">
                  <c:v>-1.4046945052476612</c:v>
                </c:pt>
                <c:pt idx="238">
                  <c:v>2.2602286128190534</c:v>
                </c:pt>
                <c:pt idx="239">
                  <c:v>-1.781646047397677</c:v>
                </c:pt>
                <c:pt idx="240">
                  <c:v>-1.913439299668992</c:v>
                </c:pt>
                <c:pt idx="241">
                  <c:v>-1.0143621048891864</c:v>
                </c:pt>
                <c:pt idx="242">
                  <c:v>-1.2084859848066158</c:v>
                </c:pt>
                <c:pt idx="243">
                  <c:v>-1.8550894131723414</c:v>
                </c:pt>
                <c:pt idx="244">
                  <c:v>1.2367857618136322</c:v>
                </c:pt>
                <c:pt idx="245">
                  <c:v>-1.7052848092598358</c:v>
                </c:pt>
                <c:pt idx="246">
                  <c:v>-0.13682891945852568</c:v>
                </c:pt>
                <c:pt idx="247">
                  <c:v>1.2699147674326285</c:v>
                </c:pt>
                <c:pt idx="248">
                  <c:v>-0.88420054007817073</c:v>
                </c:pt>
                <c:pt idx="249">
                  <c:v>-0.99295828896938398</c:v>
                </c:pt>
                <c:pt idx="250">
                  <c:v>3.4212606714754421</c:v>
                </c:pt>
                <c:pt idx="251">
                  <c:v>-4.4632353203828199</c:v>
                </c:pt>
                <c:pt idx="252">
                  <c:v>4.8239487273287285</c:v>
                </c:pt>
                <c:pt idx="253">
                  <c:v>-1.9762316518624474</c:v>
                </c:pt>
                <c:pt idx="254">
                  <c:v>1.3040359218643165</c:v>
                </c:pt>
                <c:pt idx="255">
                  <c:v>2.1428512986985404</c:v>
                </c:pt>
                <c:pt idx="256">
                  <c:v>-0.93834838464843839</c:v>
                </c:pt>
                <c:pt idx="257">
                  <c:v>-0.93322602691157219</c:v>
                </c:pt>
                <c:pt idx="258">
                  <c:v>-0.4237824357904787</c:v>
                </c:pt>
                <c:pt idx="259">
                  <c:v>0.21903959061100903</c:v>
                </c:pt>
                <c:pt idx="260">
                  <c:v>-0.88427474298997544</c:v>
                </c:pt>
                <c:pt idx="261">
                  <c:v>3.3312376680458278</c:v>
                </c:pt>
                <c:pt idx="262">
                  <c:v>0.9399912545455742</c:v>
                </c:pt>
                <c:pt idx="263">
                  <c:v>0.523406865615196</c:v>
                </c:pt>
                <c:pt idx="264">
                  <c:v>1.3824462875485715</c:v>
                </c:pt>
                <c:pt idx="265">
                  <c:v>-1.3154209267370305</c:v>
                </c:pt>
                <c:pt idx="266">
                  <c:v>2.1272649119015417</c:v>
                </c:pt>
                <c:pt idx="267">
                  <c:v>-2.0972869440012083</c:v>
                </c:pt>
                <c:pt idx="268">
                  <c:v>0.43797560243158801</c:v>
                </c:pt>
                <c:pt idx="269">
                  <c:v>0.59436708640984093</c:v>
                </c:pt>
                <c:pt idx="270">
                  <c:v>-0.15120619188320183</c:v>
                </c:pt>
                <c:pt idx="271">
                  <c:v>-0.2749933748386702</c:v>
                </c:pt>
                <c:pt idx="272">
                  <c:v>-2.5365971085085093</c:v>
                </c:pt>
                <c:pt idx="273">
                  <c:v>4.2768327239938859</c:v>
                </c:pt>
                <c:pt idx="274">
                  <c:v>-2.9750965012917128</c:v>
                </c:pt>
                <c:pt idx="275">
                  <c:v>2.2365691170228756</c:v>
                </c:pt>
                <c:pt idx="276">
                  <c:v>-1.7404568533451952</c:v>
                </c:pt>
                <c:pt idx="277">
                  <c:v>1.4770334600388557</c:v>
                </c:pt>
                <c:pt idx="278">
                  <c:v>0.28958805305438884</c:v>
                </c:pt>
                <c:pt idx="279">
                  <c:v>-0.83249006636327894</c:v>
                </c:pt>
                <c:pt idx="280">
                  <c:v>1.871548604625664</c:v>
                </c:pt>
                <c:pt idx="281">
                  <c:v>-1.0282544410649983</c:v>
                </c:pt>
                <c:pt idx="282">
                  <c:v>0.46113499991496504</c:v>
                </c:pt>
                <c:pt idx="283">
                  <c:v>-1.4554070669691859</c:v>
                </c:pt>
                <c:pt idx="284">
                  <c:v>9.6131781883278866E-2</c:v>
                </c:pt>
                <c:pt idx="285">
                  <c:v>-8.4694776798253657E-3</c:v>
                </c:pt>
                <c:pt idx="286">
                  <c:v>-0.35705024433080773</c:v>
                </c:pt>
                <c:pt idx="287">
                  <c:v>1.6959519130121774</c:v>
                </c:pt>
                <c:pt idx="288">
                  <c:v>1.8952093533124341</c:v>
                </c:pt>
                <c:pt idx="289">
                  <c:v>1.4693082523864303</c:v>
                </c:pt>
                <c:pt idx="290">
                  <c:v>2.3355177121416881E-3</c:v>
                </c:pt>
                <c:pt idx="291">
                  <c:v>4.1431715410739622</c:v>
                </c:pt>
                <c:pt idx="292">
                  <c:v>-1.4500388281406837</c:v>
                </c:pt>
                <c:pt idx="293">
                  <c:v>-0.51933474823410908</c:v>
                </c:pt>
                <c:pt idx="294">
                  <c:v>1.7112082285379087</c:v>
                </c:pt>
                <c:pt idx="295">
                  <c:v>-1.8203281598310252</c:v>
                </c:pt>
                <c:pt idx="296">
                  <c:v>0.59791521506478795</c:v>
                </c:pt>
                <c:pt idx="297">
                  <c:v>-1.5914016934326625</c:v>
                </c:pt>
                <c:pt idx="298">
                  <c:v>-0.33539989318329566</c:v>
                </c:pt>
                <c:pt idx="299">
                  <c:v>0.30044787202665557</c:v>
                </c:pt>
                <c:pt idx="300">
                  <c:v>-3.5404501411753055</c:v>
                </c:pt>
                <c:pt idx="301">
                  <c:v>0.46235077116332868</c:v>
                </c:pt>
                <c:pt idx="302">
                  <c:v>-1.6192702504638974</c:v>
                </c:pt>
                <c:pt idx="303">
                  <c:v>-2.187776122894467</c:v>
                </c:pt>
                <c:pt idx="304">
                  <c:v>-0.25343530133963993</c:v>
                </c:pt>
                <c:pt idx="305">
                  <c:v>-5.1376566145196423E-2</c:v>
                </c:pt>
                <c:pt idx="306">
                  <c:v>-2.3308129325656934</c:v>
                </c:pt>
                <c:pt idx="307">
                  <c:v>1.7899204396601711</c:v>
                </c:pt>
                <c:pt idx="308">
                  <c:v>-0.96432991413068303</c:v>
                </c:pt>
                <c:pt idx="309">
                  <c:v>1.1214493811509607</c:v>
                </c:pt>
                <c:pt idx="310">
                  <c:v>-1.5386303804012478</c:v>
                </c:pt>
                <c:pt idx="311">
                  <c:v>1.8614218954898394</c:v>
                </c:pt>
                <c:pt idx="312">
                  <c:v>-1.5007000810852418</c:v>
                </c:pt>
                <c:pt idx="313">
                  <c:v>2.9201023339995129</c:v>
                </c:pt>
                <c:pt idx="314">
                  <c:v>-1.8424254124101522</c:v>
                </c:pt>
                <c:pt idx="315">
                  <c:v>3.2661146421118352</c:v>
                </c:pt>
                <c:pt idx="316">
                  <c:v>-0.25981298056207719</c:v>
                </c:pt>
                <c:pt idx="317">
                  <c:v>0.45574108222651821</c:v>
                </c:pt>
                <c:pt idx="318">
                  <c:v>-2.4262405316955289</c:v>
                </c:pt>
                <c:pt idx="319">
                  <c:v>0.45556327293821453</c:v>
                </c:pt>
                <c:pt idx="320">
                  <c:v>-6.4070539752974554E-2</c:v>
                </c:pt>
                <c:pt idx="321">
                  <c:v>-4.879111290232319</c:v>
                </c:pt>
                <c:pt idx="322">
                  <c:v>3.7528349725275589</c:v>
                </c:pt>
                <c:pt idx="323">
                  <c:v>-3.4062311470044255</c:v>
                </c:pt>
              </c:numCache>
            </c:numRef>
          </c:yVal>
          <c:smooth val="0"/>
        </c:ser>
        <c:ser>
          <c:idx val="1"/>
          <c:order val="1"/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hybrid!$I$12:$I$335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hybrid!$K$12:$K$335</c:f>
              <c:numCache>
                <c:formatCode>General</c:formatCode>
                <c:ptCount val="324"/>
                <c:pt idx="0">
                  <c:v>-6.6778401351280089E-2</c:v>
                </c:pt>
                <c:pt idx="1">
                  <c:v>8.5059627934577997E-2</c:v>
                </c:pt>
                <c:pt idx="2">
                  <c:v>-6.4444573893627746E-2</c:v>
                </c:pt>
                <c:pt idx="3">
                  <c:v>-6.1392508805644674E-2</c:v>
                </c:pt>
                <c:pt idx="4">
                  <c:v>0.28093017349854832</c:v>
                </c:pt>
                <c:pt idx="5">
                  <c:v>-0.51059077992523616</c:v>
                </c:pt>
                <c:pt idx="6">
                  <c:v>0.64807924082650159</c:v>
                </c:pt>
                <c:pt idx="7">
                  <c:v>-0.63375967954993495</c:v>
                </c:pt>
                <c:pt idx="8">
                  <c:v>0.47787243099336285</c:v>
                </c:pt>
                <c:pt idx="9">
                  <c:v>-0.24068813984358947</c:v>
                </c:pt>
                <c:pt idx="10">
                  <c:v>-9.4347489854179067E-3</c:v>
                </c:pt>
                <c:pt idx="11">
                  <c:v>0.2215976486872562</c:v>
                </c:pt>
                <c:pt idx="12">
                  <c:v>-0.35772445665933522</c:v>
                </c:pt>
                <c:pt idx="13">
                  <c:v>0.38204413077166943</c:v>
                </c:pt>
                <c:pt idx="14">
                  <c:v>-0.27475116959266432</c:v>
                </c:pt>
                <c:pt idx="15">
                  <c:v>6.1595588654613231E-2</c:v>
                </c:pt>
                <c:pt idx="16">
                  <c:v>0.18119264158896758</c:v>
                </c:pt>
                <c:pt idx="17">
                  <c:v>-0.36340119174027447</c:v>
                </c:pt>
                <c:pt idx="18">
                  <c:v>0.42514802498987281</c:v>
                </c:pt>
                <c:pt idx="19">
                  <c:v>-0.35043202505116228</c:v>
                </c:pt>
                <c:pt idx="20">
                  <c:v>0.15495950441708042</c:v>
                </c:pt>
                <c:pt idx="21">
                  <c:v>0.12145983404859576</c:v>
                </c:pt>
                <c:pt idx="22">
                  <c:v>-0.41120600353125264</c:v>
                </c:pt>
                <c:pt idx="23">
                  <c:v>0.62675682423558288</c:v>
                </c:pt>
                <c:pt idx="24">
                  <c:v>-0.69563935753582895</c:v>
                </c:pt>
                <c:pt idx="25">
                  <c:v>0.60435851916130379</c:v>
                </c:pt>
                <c:pt idx="26">
                  <c:v>-0.41429229702456971</c:v>
                </c:pt>
                <c:pt idx="27">
                  <c:v>0.2290313548160548</c:v>
                </c:pt>
                <c:pt idx="28">
                  <c:v>-0.12999213877888563</c:v>
                </c:pt>
                <c:pt idx="29">
                  <c:v>0.12379879113791083</c:v>
                </c:pt>
                <c:pt idx="30">
                  <c:v>-0.13948445782755664</c:v>
                </c:pt>
                <c:pt idx="31">
                  <c:v>7.9784543725072071E-2</c:v>
                </c:pt>
                <c:pt idx="32">
                  <c:v>0.10670053149258563</c:v>
                </c:pt>
                <c:pt idx="33">
                  <c:v>-0.38020897962586869</c:v>
                </c:pt>
                <c:pt idx="34">
                  <c:v>0.62134935809868319</c:v>
                </c:pt>
                <c:pt idx="35">
                  <c:v>-0.69348726411655071</c:v>
                </c:pt>
                <c:pt idx="36">
                  <c:v>0.5211524611720505</c:v>
                </c:pt>
                <c:pt idx="37">
                  <c:v>-0.14323615590492</c:v>
                </c:pt>
                <c:pt idx="38">
                  <c:v>-0.28825684609040991</c:v>
                </c:pt>
                <c:pt idx="39">
                  <c:v>0.57295151948116663</c:v>
                </c:pt>
                <c:pt idx="40">
                  <c:v>-0.56975267842505961</c:v>
                </c:pt>
                <c:pt idx="41">
                  <c:v>0.28834356084897977</c:v>
                </c:pt>
                <c:pt idx="42">
                  <c:v>0.10819613358696184</c:v>
                </c:pt>
                <c:pt idx="43">
                  <c:v>-0.40849714668377646</c:v>
                </c:pt>
                <c:pt idx="44">
                  <c:v>0.49052327582408028</c:v>
                </c:pt>
                <c:pt idx="45">
                  <c:v>-0.38130377014450723</c:v>
                </c:pt>
                <c:pt idx="46">
                  <c:v>0.19992355885993882</c:v>
                </c:pt>
                <c:pt idx="47">
                  <c:v>-4.8041627496507346E-2</c:v>
                </c:pt>
                <c:pt idx="48">
                  <c:v>-5.6559694467566729E-2</c:v>
                </c:pt>
                <c:pt idx="49">
                  <c:v>0.16231017319175434</c:v>
                </c:pt>
                <c:pt idx="50">
                  <c:v>-0.31491874866863856</c:v>
                </c:pt>
                <c:pt idx="51">
                  <c:v>0.50184824049481747</c:v>
                </c:pt>
                <c:pt idx="52">
                  <c:v>-0.65305562315982824</c:v>
                </c:pt>
                <c:pt idx="53">
                  <c:v>0.69258721210224794</c:v>
                </c:pt>
                <c:pt idx="54">
                  <c:v>-0.59782474637233796</c:v>
                </c:pt>
                <c:pt idx="55">
                  <c:v>0.41975950051981115</c:v>
                </c:pt>
                <c:pt idx="56">
                  <c:v>-0.24803545872305371</c:v>
                </c:pt>
                <c:pt idx="57">
                  <c:v>0.14594121182194317</c:v>
                </c:pt>
                <c:pt idx="58">
                  <c:v>-0.10374956162468754</c:v>
                </c:pt>
                <c:pt idx="59">
                  <c:v>4.7543610723262443E-2</c:v>
                </c:pt>
                <c:pt idx="60">
                  <c:v>9.7777960381761453E-2</c:v>
                </c:pt>
                <c:pt idx="61">
                  <c:v>-0.33302620601881205</c:v>
                </c:pt>
                <c:pt idx="62">
                  <c:v>0.55424015529618043</c:v>
                </c:pt>
                <c:pt idx="63">
                  <c:v>-0.60265462077986931</c:v>
                </c:pt>
                <c:pt idx="64">
                  <c:v>0.37733907921259985</c:v>
                </c:pt>
                <c:pt idx="65">
                  <c:v>6.3858656523714266E-2</c:v>
                </c:pt>
                <c:pt idx="66">
                  <c:v>-0.50363236799313937</c:v>
                </c:pt>
                <c:pt idx="67">
                  <c:v>0.69087990628484008</c:v>
                </c:pt>
                <c:pt idx="68">
                  <c:v>-0.51089059062357511</c:v>
                </c:pt>
                <c:pt idx="69">
                  <c:v>6.5830131241920664E-2</c:v>
                </c:pt>
                <c:pt idx="70">
                  <c:v>0.39857383514540512</c:v>
                </c:pt>
                <c:pt idx="71">
                  <c:v>-0.65540629840364284</c:v>
                </c:pt>
                <c:pt idx="72">
                  <c:v>0.62331308297692867</c:v>
                </c:pt>
                <c:pt idx="73">
                  <c:v>-0.38257935381736002</c:v>
                </c:pt>
                <c:pt idx="74">
                  <c:v>9.5066001994554727E-2</c:v>
                </c:pt>
                <c:pt idx="75">
                  <c:v>0.10437403416807567</c:v>
                </c:pt>
                <c:pt idx="76">
                  <c:v>-0.17808317054786643</c:v>
                </c:pt>
                <c:pt idx="77">
                  <c:v>0.18476500158155415</c:v>
                </c:pt>
                <c:pt idx="78">
                  <c:v>-0.21906796425628475</c:v>
                </c:pt>
                <c:pt idx="79">
                  <c:v>0.33616956921671004</c:v>
                </c:pt>
                <c:pt idx="80">
                  <c:v>-0.51136039198833083</c:v>
                </c:pt>
                <c:pt idx="81">
                  <c:v>0.65878784177420746</c:v>
                </c:pt>
                <c:pt idx="82">
                  <c:v>-0.69259393773137612</c:v>
                </c:pt>
                <c:pt idx="83">
                  <c:v>0.5851761583101629</c:v>
                </c:pt>
                <c:pt idx="84">
                  <c:v>-0.38119272083611988</c:v>
                </c:pt>
                <c:pt idx="85">
                  <c:v>0.15983386089196658</c:v>
                </c:pt>
                <c:pt idx="86">
                  <c:v>2.2392913139197321E-2</c:v>
                </c:pt>
                <c:pt idx="87">
                  <c:v>-0.16059701980390978</c:v>
                </c:pt>
                <c:pt idx="88">
                  <c:v>0.27777404130410538</c:v>
                </c:pt>
                <c:pt idx="89">
                  <c:v>-0.37194561692511219</c:v>
                </c:pt>
                <c:pt idx="90">
                  <c:v>0.39062251362564399</c:v>
                </c:pt>
                <c:pt idx="91">
                  <c:v>-0.26965758106214144</c:v>
                </c:pt>
                <c:pt idx="92">
                  <c:v>8.4049430928207491E-3</c:v>
                </c:pt>
                <c:pt idx="93">
                  <c:v>0.29437855799816781</c:v>
                </c:pt>
                <c:pt idx="94">
                  <c:v>-0.48866666809512227</c:v>
                </c:pt>
                <c:pt idx="95">
                  <c:v>0.46743116679256397</c:v>
                </c:pt>
                <c:pt idx="96">
                  <c:v>-0.22882918759445303</c:v>
                </c:pt>
                <c:pt idx="97">
                  <c:v>-0.13077800242388155</c:v>
                </c:pt>
                <c:pt idx="98">
                  <c:v>0.46992755424211269</c:v>
                </c:pt>
                <c:pt idx="99">
                  <c:v>-0.66310787299075258</c:v>
                </c:pt>
                <c:pt idx="100">
                  <c:v>0.64887147910658305</c:v>
                </c:pt>
                <c:pt idx="101">
                  <c:v>-0.45341056286709752</c:v>
                </c:pt>
                <c:pt idx="102">
                  <c:v>0.17709434285484327</c:v>
                </c:pt>
                <c:pt idx="103">
                  <c:v>5.7508555570019423E-2</c:v>
                </c:pt>
                <c:pt idx="104">
                  <c:v>-0.17243590622448279</c:v>
                </c:pt>
                <c:pt idx="105">
                  <c:v>0.17572793063013925</c:v>
                </c:pt>
                <c:pt idx="106">
                  <c:v>-0.14882497850006002</c:v>
                </c:pt>
                <c:pt idx="107">
                  <c:v>0.18635299283671666</c:v>
                </c:pt>
                <c:pt idx="108">
                  <c:v>-0.32769160033886691</c:v>
                </c:pt>
                <c:pt idx="109">
                  <c:v>0.52593328085875635</c:v>
                </c:pt>
                <c:pt idx="110">
                  <c:v>-0.67422176858501592</c:v>
                </c:pt>
                <c:pt idx="111">
                  <c:v>0.67057492290744958</c:v>
                </c:pt>
                <c:pt idx="112">
                  <c:v>-0.47843528327291912</c:v>
                </c:pt>
                <c:pt idx="113">
                  <c:v>0.14770961353945566</c:v>
                </c:pt>
                <c:pt idx="114">
                  <c:v>0.20892115773692269</c:v>
                </c:pt>
                <c:pt idx="115">
                  <c:v>-0.46395215118396815</c:v>
                </c:pt>
                <c:pt idx="116">
                  <c:v>0.52447378947580325</c:v>
                </c:pt>
                <c:pt idx="117">
                  <c:v>-0.37142735439093333</c:v>
                </c:pt>
                <c:pt idx="118">
                  <c:v>7.6893754427555888E-2</c:v>
                </c:pt>
                <c:pt idx="119">
                  <c:v>0.22153599713585354</c:v>
                </c:pt>
                <c:pt idx="120">
                  <c:v>-0.39329835467000601</c:v>
                </c:pt>
                <c:pt idx="121">
                  <c:v>0.39001187374945756</c:v>
                </c:pt>
                <c:pt idx="122">
                  <c:v>-0.25911289069660604</c:v>
                </c:pt>
                <c:pt idx="123">
                  <c:v>8.4722263737234446E-2</c:v>
                </c:pt>
                <c:pt idx="124">
                  <c:v>8.3244369236852328E-2</c:v>
                </c:pt>
                <c:pt idx="125">
                  <c:v>-0.24548008708024652</c:v>
                </c:pt>
                <c:pt idx="126">
                  <c:v>0.41242982170211745</c:v>
                </c:pt>
                <c:pt idx="127">
                  <c:v>-0.55948321756846209</c:v>
                </c:pt>
                <c:pt idx="128">
                  <c:v>0.62687327191832809</c:v>
                </c:pt>
                <c:pt idx="129">
                  <c:v>-0.56450173159409434</c:v>
                </c:pt>
                <c:pt idx="130">
                  <c:v>0.38018284818523046</c:v>
                </c:pt>
                <c:pt idx="131">
                  <c:v>-0.14746678732020857</c:v>
                </c:pt>
                <c:pt idx="132">
                  <c:v>-3.7403245638570948E-2</c:v>
                </c:pt>
                <c:pt idx="133">
                  <c:v>0.1193730046437306</c:v>
                </c:pt>
                <c:pt idx="134">
                  <c:v>-0.12202062220170429</c:v>
                </c:pt>
                <c:pt idx="135">
                  <c:v>0.12901956197141404</c:v>
                </c:pt>
                <c:pt idx="136">
                  <c:v>-0.2195295166299718</c:v>
                </c:pt>
                <c:pt idx="137">
                  <c:v>0.40070223111621439</c:v>
                </c:pt>
                <c:pt idx="138">
                  <c:v>-0.58499319816937423</c:v>
                </c:pt>
                <c:pt idx="139">
                  <c:v>0.63336878874992331</c:v>
                </c:pt>
                <c:pt idx="140">
                  <c:v>-0.4449381774177803</c:v>
                </c:pt>
                <c:pt idx="141">
                  <c:v>4.1620463453434495E-2</c:v>
                </c:pt>
                <c:pt idx="142">
                  <c:v>0.41087116806968998</c:v>
                </c:pt>
                <c:pt idx="143">
                  <c:v>-0.6780680993265128</c:v>
                </c:pt>
                <c:pt idx="144">
                  <c:v>0.5998372509276898</c:v>
                </c:pt>
                <c:pt idx="145">
                  <c:v>-0.20841919471746326</c:v>
                </c:pt>
                <c:pt idx="146">
                  <c:v>-0.27777210335476898</c:v>
                </c:pt>
                <c:pt idx="147">
                  <c:v>0.59505342471847378</c:v>
                </c:pt>
                <c:pt idx="148">
                  <c:v>-0.60421444897232091</c:v>
                </c:pt>
                <c:pt idx="149">
                  <c:v>0.35865419139227839</c:v>
                </c:pt>
                <c:pt idx="150">
                  <c:v>-3.3770714113721761E-2</c:v>
                </c:pt>
                <c:pt idx="151">
                  <c:v>-0.20799063919934196</c:v>
                </c:pt>
                <c:pt idx="152">
                  <c:v>0.31167240128477269</c:v>
                </c:pt>
                <c:pt idx="153">
                  <c:v>-0.33156525839538681</c:v>
                </c:pt>
                <c:pt idx="154">
                  <c:v>0.36052675465961881</c:v>
                </c:pt>
                <c:pt idx="155">
                  <c:v>-0.44828606104846969</c:v>
                </c:pt>
                <c:pt idx="156">
                  <c:v>0.5652022696309118</c:v>
                </c:pt>
                <c:pt idx="157">
                  <c:v>-0.62985956953640887</c:v>
                </c:pt>
                <c:pt idx="158">
                  <c:v>0.57426077248185114</c:v>
                </c:pt>
                <c:pt idx="159">
                  <c:v>-0.39681781815649331</c:v>
                </c:pt>
                <c:pt idx="160">
                  <c:v>0.16487290522294501</c:v>
                </c:pt>
                <c:pt idx="161">
                  <c:v>3.3630913971361573E-2</c:v>
                </c:pt>
                <c:pt idx="162">
                  <c:v>-0.15201169852832247</c:v>
                </c:pt>
                <c:pt idx="163">
                  <c:v>0.21213584484734724</c:v>
                </c:pt>
                <c:pt idx="164">
                  <c:v>-0.27384176189276727</c:v>
                </c:pt>
                <c:pt idx="165">
                  <c:v>0.36798003150988989</c:v>
                </c:pt>
                <c:pt idx="166">
                  <c:v>-0.44827473445147009</c:v>
                </c:pt>
                <c:pt idx="167">
                  <c:v>0.41174901427830785</c:v>
                </c:pt>
                <c:pt idx="168">
                  <c:v>-0.18693219376628001</c:v>
                </c:pt>
                <c:pt idx="169">
                  <c:v>-0.17621108709705033</c:v>
                </c:pt>
                <c:pt idx="170">
                  <c:v>0.50175223720865869</c:v>
                </c:pt>
                <c:pt idx="171">
                  <c:v>-0.59390916718363607</c:v>
                </c:pt>
                <c:pt idx="172">
                  <c:v>0.37681294294112744</c:v>
                </c:pt>
                <c:pt idx="173">
                  <c:v>4.7274431217752447E-2</c:v>
                </c:pt>
                <c:pt idx="174">
                  <c:v>-0.46444279423248774</c:v>
                </c:pt>
                <c:pt idx="175">
                  <c:v>0.67927197486078827</c:v>
                </c:pt>
                <c:pt idx="176">
                  <c:v>-0.61455630890460744</c:v>
                </c:pt>
                <c:pt idx="177">
                  <c:v>0.33135145190449028</c:v>
                </c:pt>
                <c:pt idx="178">
                  <c:v>2.2439396260527329E-2</c:v>
                </c:pt>
                <c:pt idx="179">
                  <c:v>-0.29716943724893102</c:v>
                </c:pt>
                <c:pt idx="180">
                  <c:v>0.41625503889043769</c:v>
                </c:pt>
                <c:pt idx="181">
                  <c:v>-0.40445028955353779</c:v>
                </c:pt>
                <c:pt idx="182">
                  <c:v>0.35647462407443775</c:v>
                </c:pt>
                <c:pt idx="183">
                  <c:v>-0.36639264247573988</c:v>
                </c:pt>
                <c:pt idx="184">
                  <c:v>0.46268337455916142</c:v>
                </c:pt>
                <c:pt idx="185">
                  <c:v>-0.5905115467921993</c:v>
                </c:pt>
                <c:pt idx="186">
                  <c:v>0.65109762534079518</c:v>
                </c:pt>
                <c:pt idx="187">
                  <c:v>-0.56944611131035849</c:v>
                </c:pt>
                <c:pt idx="188">
                  <c:v>0.34350536276676236</c:v>
                </c:pt>
                <c:pt idx="189">
                  <c:v>-4.3354573288750836E-2</c:v>
                </c:pt>
                <c:pt idx="190">
                  <c:v>-0.23330318719208881</c:v>
                </c:pt>
                <c:pt idx="191">
                  <c:v>0.41224195448441414</c:v>
                </c:pt>
                <c:pt idx="192">
                  <c:v>-0.46440490395627482</c:v>
                </c:pt>
                <c:pt idx="193">
                  <c:v>0.39430502909507714</c:v>
                </c:pt>
                <c:pt idx="194">
                  <c:v>-0.2231853158127782</c:v>
                </c:pt>
                <c:pt idx="195">
                  <c:v>-8.714482712976368E-3</c:v>
                </c:pt>
                <c:pt idx="196">
                  <c:v>0.23280191553562851</c:v>
                </c:pt>
                <c:pt idx="197">
                  <c:v>-0.36773633733475275</c:v>
                </c:pt>
                <c:pt idx="198">
                  <c:v>0.36163808751383975</c:v>
                </c:pt>
                <c:pt idx="199">
                  <c:v>-0.2210924015612758</c:v>
                </c:pt>
                <c:pt idx="200">
                  <c:v>-2.0277350045223297E-3</c:v>
                </c:pt>
                <c:pt idx="201">
                  <c:v>0.24473171077965516</c:v>
                </c:pt>
                <c:pt idx="202">
                  <c:v>-0.44993654732330524</c:v>
                </c:pt>
                <c:pt idx="203">
                  <c:v>0.56356519120902637</c:v>
                </c:pt>
                <c:pt idx="204">
                  <c:v>-0.53977114762647216</c:v>
                </c:pt>
                <c:pt idx="205">
                  <c:v>0.36723864578424181</c:v>
                </c:pt>
                <c:pt idx="206">
                  <c:v>-9.3829231708883395E-2</c:v>
                </c:pt>
                <c:pt idx="207">
                  <c:v>-0.18294823305631241</c:v>
                </c:pt>
                <c:pt idx="208">
                  <c:v>0.36518451257180229</c:v>
                </c:pt>
                <c:pt idx="209">
                  <c:v>-0.41286403905345892</c:v>
                </c:pt>
                <c:pt idx="210">
                  <c:v>0.36818136969757048</c:v>
                </c:pt>
                <c:pt idx="211">
                  <c:v>-0.32484665249631339</c:v>
                </c:pt>
                <c:pt idx="212">
                  <c:v>0.360635643249135</c:v>
                </c:pt>
                <c:pt idx="213">
                  <c:v>-0.4786104400466582</c:v>
                </c:pt>
                <c:pt idx="214">
                  <c:v>0.59776614141083428</c:v>
                </c:pt>
                <c:pt idx="215">
                  <c:v>-0.60109872919264951</c:v>
                </c:pt>
                <c:pt idx="216">
                  <c:v>0.41180259469842617</c:v>
                </c:pt>
                <c:pt idx="217">
                  <c:v>-5.1583845677389939E-2</c:v>
                </c:pt>
                <c:pt idx="218">
                  <c:v>-0.35322027162411918</c:v>
                </c:pt>
                <c:pt idx="219">
                  <c:v>0.6242823697875437</c:v>
                </c:pt>
                <c:pt idx="220">
                  <c:v>-0.6220788982218739</c:v>
                </c:pt>
                <c:pt idx="221">
                  <c:v>0.33277734537448905</c:v>
                </c:pt>
                <c:pt idx="222">
                  <c:v>0.10347725414854553</c:v>
                </c:pt>
                <c:pt idx="223">
                  <c:v>-0.46030193883460446</c:v>
                </c:pt>
                <c:pt idx="224">
                  <c:v>0.56182920674973724</c:v>
                </c:pt>
                <c:pt idx="225">
                  <c:v>-0.39161301375274604</c:v>
                </c:pt>
                <c:pt idx="226">
                  <c:v>8.4880352118191033E-2</c:v>
                </c:pt>
                <c:pt idx="227">
                  <c:v>0.18573459513501028</c:v>
                </c:pt>
                <c:pt idx="228">
                  <c:v>-0.32961021791511641</c:v>
                </c:pt>
                <c:pt idx="229">
                  <c:v>0.37048120417211883</c:v>
                </c:pt>
                <c:pt idx="230">
                  <c:v>-0.38643267994684782</c:v>
                </c:pt>
                <c:pt idx="231">
                  <c:v>0.42471660070102563</c:v>
                </c:pt>
                <c:pt idx="232">
                  <c:v>-0.4621897543353703</c:v>
                </c:pt>
                <c:pt idx="233">
                  <c:v>0.43329122053912061</c:v>
                </c:pt>
                <c:pt idx="234">
                  <c:v>-0.29370853667631625</c:v>
                </c:pt>
                <c:pt idx="235">
                  <c:v>6.5914698891493234E-2</c:v>
                </c:pt>
                <c:pt idx="236">
                  <c:v>0.16862689175608564</c:v>
                </c:pt>
                <c:pt idx="237">
                  <c:v>-0.32393880079536519</c:v>
                </c:pt>
                <c:pt idx="238">
                  <c:v>0.36916273462168198</c:v>
                </c:pt>
                <c:pt idx="239">
                  <c:v>-0.34777020765870992</c:v>
                </c:pt>
                <c:pt idx="240">
                  <c:v>0.33981942529982578</c:v>
                </c:pt>
                <c:pt idx="241">
                  <c:v>-0.39257565202425104</c:v>
                </c:pt>
                <c:pt idx="242">
                  <c:v>0.47063754890872994</c:v>
                </c:pt>
                <c:pt idx="243">
                  <c:v>-0.46819721643515294</c:v>
                </c:pt>
                <c:pt idx="244">
                  <c:v>0.28617549152179234</c:v>
                </c:pt>
                <c:pt idx="245">
                  <c:v>7.2376064002738716E-2</c:v>
                </c:pt>
                <c:pt idx="246">
                  <c:v>-0.46257083499575152</c:v>
                </c:pt>
                <c:pt idx="247">
                  <c:v>0.66436043130110645</c:v>
                </c:pt>
                <c:pt idx="248">
                  <c:v>-0.529581322830738</c:v>
                </c:pt>
                <c:pt idx="249">
                  <c:v>0.10334889366153824</c:v>
                </c:pt>
                <c:pt idx="250">
                  <c:v>0.38659149774607826</c:v>
                </c:pt>
                <c:pt idx="251">
                  <c:v>-0.67521708263811075</c:v>
                </c:pt>
                <c:pt idx="252">
                  <c:v>0.62740252231735216</c:v>
                </c:pt>
                <c:pt idx="253">
                  <c:v>-0.30328123677755731</c:v>
                </c:pt>
                <c:pt idx="254">
                  <c:v>-0.10729840446624897</c:v>
                </c:pt>
                <c:pt idx="255">
                  <c:v>0.41389327983512514</c:v>
                </c:pt>
                <c:pt idx="256">
                  <c:v>-0.52776916275076569</c:v>
                </c:pt>
                <c:pt idx="257">
                  <c:v>0.48580473531631629</c:v>
                </c:pt>
                <c:pt idx="258">
                  <c:v>-0.39869110942104868</c:v>
                </c:pt>
                <c:pt idx="259">
                  <c:v>0.36555464330017184</c:v>
                </c:pt>
                <c:pt idx="260">
                  <c:v>-0.40958239454701595</c:v>
                </c:pt>
                <c:pt idx="261">
                  <c:v>0.4716797393822808</c:v>
                </c:pt>
                <c:pt idx="262">
                  <c:v>-0.4608317313942264</c:v>
                </c:pt>
                <c:pt idx="263">
                  <c:v>0.32335257891847968</c:v>
                </c:pt>
                <c:pt idx="264">
                  <c:v>-8.248115240714253E-2</c:v>
                </c:pt>
                <c:pt idx="265">
                  <c:v>-0.17751915192480505</c:v>
                </c:pt>
                <c:pt idx="266">
                  <c:v>0.36808312841243074</c:v>
                </c:pt>
                <c:pt idx="267">
                  <c:v>-0.44982586186510259</c:v>
                </c:pt>
                <c:pt idx="268">
                  <c:v>0.44256363935403659</c:v>
                </c:pt>
                <c:pt idx="269">
                  <c:v>-0.38754117032639046</c:v>
                </c:pt>
                <c:pt idx="270">
                  <c:v>0.29924563579723984</c:v>
                </c:pt>
                <c:pt idx="271">
                  <c:v>-0.15611969307153567</c:v>
                </c:pt>
                <c:pt idx="272">
                  <c:v>-5.57118799090075E-2</c:v>
                </c:pt>
                <c:pt idx="273">
                  <c:v>0.28892636041480524</c:v>
                </c:pt>
                <c:pt idx="274">
                  <c:v>-0.43578944099902883</c:v>
                </c:pt>
                <c:pt idx="275">
                  <c:v>0.39769554301322696</c:v>
                </c:pt>
                <c:pt idx="276">
                  <c:v>-0.16399860638591296</c:v>
                </c:pt>
                <c:pt idx="277">
                  <c:v>-0.17135196842197273</c:v>
                </c:pt>
                <c:pt idx="278">
                  <c:v>0.46358240286065672</c:v>
                </c:pt>
                <c:pt idx="279">
                  <c:v>-0.59084397022134194</c:v>
                </c:pt>
                <c:pt idx="280">
                  <c:v>0.50231770981848967</c:v>
                </c:pt>
                <c:pt idx="281">
                  <c:v>-0.23129565673261865</c:v>
                </c:pt>
                <c:pt idx="282">
                  <c:v>-0.12056692507953988</c:v>
                </c:pt>
                <c:pt idx="283">
                  <c:v>0.42489738101525548</c:v>
                </c:pt>
                <c:pt idx="284">
                  <c:v>-0.58468069001979972</c:v>
                </c:pt>
                <c:pt idx="285">
                  <c:v>0.58171620144218306</c:v>
                </c:pt>
                <c:pt idx="286">
                  <c:v>-0.48209362498491304</c:v>
                </c:pt>
                <c:pt idx="287">
                  <c:v>0.39082535609055624</c:v>
                </c:pt>
                <c:pt idx="288">
                  <c:v>-0.38176027232977361</c:v>
                </c:pt>
                <c:pt idx="289">
                  <c:v>0.44848280524238393</c:v>
                </c:pt>
                <c:pt idx="290">
                  <c:v>-0.5094471995695512</c:v>
                </c:pt>
                <c:pt idx="291">
                  <c:v>0.46409132558606103</c:v>
                </c:pt>
                <c:pt idx="292">
                  <c:v>-0.26231943510703765</c:v>
                </c:pt>
                <c:pt idx="293">
                  <c:v>-5.7852055885612437E-2</c:v>
                </c:pt>
                <c:pt idx="294">
                  <c:v>0.38604801259138677</c:v>
                </c:pt>
                <c:pt idx="295">
                  <c:v>-0.59454787115360086</c:v>
                </c:pt>
                <c:pt idx="296">
                  <c:v>0.59812278369746552</c:v>
                </c:pt>
                <c:pt idx="297">
                  <c:v>-0.39112283619964211</c:v>
                </c:pt>
                <c:pt idx="298">
                  <c:v>5.3252173401374753E-2</c:v>
                </c:pt>
                <c:pt idx="299">
                  <c:v>0.27629039402943301</c:v>
                </c:pt>
                <c:pt idx="300">
                  <c:v>-0.45675131058863927</c:v>
                </c:pt>
                <c:pt idx="301">
                  <c:v>0.41927088979396399</c:v>
                </c:pt>
                <c:pt idx="302">
                  <c:v>-0.20800011684741726</c:v>
                </c:pt>
                <c:pt idx="303">
                  <c:v>-5.413346579502528E-2</c:v>
                </c:pt>
                <c:pt idx="304">
                  <c:v>0.25444523942495056</c:v>
                </c:pt>
                <c:pt idx="305">
                  <c:v>-0.35659855276530633</c:v>
                </c:pt>
                <c:pt idx="306">
                  <c:v>0.38983537738995178</c:v>
                </c:pt>
                <c:pt idx="307">
                  <c:v>-0.38673606575798297</c:v>
                </c:pt>
                <c:pt idx="308">
                  <c:v>0.33918042918907071</c:v>
                </c:pt>
                <c:pt idx="309">
                  <c:v>-0.2121569392192858</c:v>
                </c:pt>
                <c:pt idx="310">
                  <c:v>-5.8489699417269697E-3</c:v>
                </c:pt>
                <c:pt idx="311">
                  <c:v>0.26836085985230412</c:v>
                </c:pt>
                <c:pt idx="312">
                  <c:v>-0.48655807928996453</c:v>
                </c:pt>
                <c:pt idx="313">
                  <c:v>0.58496453727766795</c:v>
                </c:pt>
                <c:pt idx="314">
                  <c:v>-0.55394651633539171</c:v>
                </c:pt>
                <c:pt idx="315">
                  <c:v>0.45732721010238786</c:v>
                </c:pt>
                <c:pt idx="316">
                  <c:v>-0.38644219558257931</c:v>
                </c:pt>
                <c:pt idx="317">
                  <c:v>0.39160275815554613</c:v>
                </c:pt>
                <c:pt idx="318">
                  <c:v>-0.43986602405010727</c:v>
                </c:pt>
                <c:pt idx="319">
                  <c:v>0.43189272771445009</c:v>
                </c:pt>
                <c:pt idx="320">
                  <c:v>-0.27176620038861266</c:v>
                </c:pt>
                <c:pt idx="321">
                  <c:v>-5.2490281637605773E-2</c:v>
                </c:pt>
                <c:pt idx="322">
                  <c:v>0.43157306814210011</c:v>
                </c:pt>
                <c:pt idx="323">
                  <c:v>-0.67531265924946404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81872"/>
        <c:axId val="416992064"/>
      </c:scatterChart>
      <c:valAx>
        <c:axId val="416981872"/>
        <c:scaling>
          <c:orientation val="minMax"/>
          <c:max val="200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16992064"/>
        <c:crosses val="autoZero"/>
        <c:crossBetween val="midCat"/>
      </c:valAx>
      <c:valAx>
        <c:axId val="416992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6981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607237183126409"/>
          <c:y val="5.9801326917468652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'cc (2)'!$E$10:$E$337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'cc (2)'!$F$10:$F$337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83440"/>
        <c:axId val="416985792"/>
      </c:scatterChart>
      <c:valAx>
        <c:axId val="416983440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16985792"/>
        <c:crosses val="autoZero"/>
        <c:crossBetween val="midCat"/>
      </c:valAx>
      <c:valAx>
        <c:axId val="416985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69834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'cc (2)'!$I$12:$I$335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'cc (2)'!$J$12:$J$335</c:f>
              <c:numCache>
                <c:formatCode>General</c:formatCode>
                <c:ptCount val="324"/>
                <c:pt idx="0">
                  <c:v>-4.4521779963483657E-3</c:v>
                </c:pt>
                <c:pt idx="1">
                  <c:v>0.58880708732681419</c:v>
                </c:pt>
                <c:pt idx="2">
                  <c:v>-8.4901001721870276E-2</c:v>
                </c:pt>
                <c:pt idx="3">
                  <c:v>0.24557150085383325</c:v>
                </c:pt>
                <c:pt idx="4">
                  <c:v>-5.1489095750484701E-2</c:v>
                </c:pt>
                <c:pt idx="5">
                  <c:v>1.2795312929656137</c:v>
                </c:pt>
                <c:pt idx="6">
                  <c:v>-4.2357548670533568E-2</c:v>
                </c:pt>
                <c:pt idx="7">
                  <c:v>0.68800833103541581</c:v>
                </c:pt>
                <c:pt idx="8">
                  <c:v>0.40480621531527555</c:v>
                </c:pt>
                <c:pt idx="9">
                  <c:v>-9.0092826671882925E-2</c:v>
                </c:pt>
                <c:pt idx="10">
                  <c:v>5.167987431958488E-2</c:v>
                </c:pt>
                <c:pt idx="11">
                  <c:v>-0.68739049633726534</c:v>
                </c:pt>
                <c:pt idx="12">
                  <c:v>0.41644868729997747</c:v>
                </c:pt>
                <c:pt idx="13">
                  <c:v>-1.0544172457268566</c:v>
                </c:pt>
                <c:pt idx="14">
                  <c:v>-0.40939750529872515</c:v>
                </c:pt>
                <c:pt idx="15">
                  <c:v>-0.58792099304999368</c:v>
                </c:pt>
                <c:pt idx="16">
                  <c:v>-0.2005292171284335</c:v>
                </c:pt>
                <c:pt idx="17">
                  <c:v>-0.50069483832784445</c:v>
                </c:pt>
                <c:pt idx="18">
                  <c:v>0.23738156444854883</c:v>
                </c:pt>
                <c:pt idx="19">
                  <c:v>-1.1130204110282078</c:v>
                </c:pt>
                <c:pt idx="20">
                  <c:v>0.36238715675405558</c:v>
                </c:pt>
                <c:pt idx="21">
                  <c:v>0.45917823445204309</c:v>
                </c:pt>
                <c:pt idx="22">
                  <c:v>-0.92161519578722506</c:v>
                </c:pt>
                <c:pt idx="23">
                  <c:v>-6.1304420971115617E-2</c:v>
                </c:pt>
                <c:pt idx="24">
                  <c:v>1.163197011270128</c:v>
                </c:pt>
                <c:pt idx="25">
                  <c:v>-1.1446001465031157</c:v>
                </c:pt>
                <c:pt idx="26">
                  <c:v>0.11477337706018276</c:v>
                </c:pt>
                <c:pt idx="27">
                  <c:v>0.20448218877356972</c:v>
                </c:pt>
                <c:pt idx="28">
                  <c:v>-0.52975974320301422</c:v>
                </c:pt>
                <c:pt idx="29">
                  <c:v>0.71651392510004486</c:v>
                </c:pt>
                <c:pt idx="30">
                  <c:v>-1.2337152532029565E-2</c:v>
                </c:pt>
                <c:pt idx="31">
                  <c:v>0.4198931050393675</c:v>
                </c:pt>
                <c:pt idx="32">
                  <c:v>-0.89977397946482551</c:v>
                </c:pt>
                <c:pt idx="33">
                  <c:v>1.5545067949835722</c:v>
                </c:pt>
                <c:pt idx="34">
                  <c:v>-0.27840787142782697</c:v>
                </c:pt>
                <c:pt idx="35">
                  <c:v>-0.45300192085870122</c:v>
                </c:pt>
                <c:pt idx="36">
                  <c:v>1.3620831461513261</c:v>
                </c:pt>
                <c:pt idx="37">
                  <c:v>0.28732603415732655</c:v>
                </c:pt>
                <c:pt idx="38">
                  <c:v>5.8999819333178438E-2</c:v>
                </c:pt>
                <c:pt idx="39">
                  <c:v>1.0089282283841854</c:v>
                </c:pt>
                <c:pt idx="40">
                  <c:v>-0.26540774864377692</c:v>
                </c:pt>
                <c:pt idx="41">
                  <c:v>0.98041033776418807</c:v>
                </c:pt>
                <c:pt idx="42">
                  <c:v>1.0159011651152539</c:v>
                </c:pt>
                <c:pt idx="43">
                  <c:v>-1.4730098874578297</c:v>
                </c:pt>
                <c:pt idx="44">
                  <c:v>0.98631327499346588</c:v>
                </c:pt>
                <c:pt idx="45">
                  <c:v>-1.5446331286949477</c:v>
                </c:pt>
                <c:pt idx="46">
                  <c:v>-0.34788523019879086</c:v>
                </c:pt>
                <c:pt idx="47">
                  <c:v>-0.85622439308560039</c:v>
                </c:pt>
                <c:pt idx="48">
                  <c:v>0.21041099991481241</c:v>
                </c:pt>
                <c:pt idx="49">
                  <c:v>-0.13299593351559416</c:v>
                </c:pt>
                <c:pt idx="50">
                  <c:v>-0.51793796894641597</c:v>
                </c:pt>
                <c:pt idx="51">
                  <c:v>-4.1850702163640605E-2</c:v>
                </c:pt>
                <c:pt idx="52">
                  <c:v>-0.39979074632988343</c:v>
                </c:pt>
                <c:pt idx="53">
                  <c:v>-0.54397034887335116</c:v>
                </c:pt>
                <c:pt idx="54">
                  <c:v>-1.0159127663039644</c:v>
                </c:pt>
                <c:pt idx="55">
                  <c:v>0.24180008092415745</c:v>
                </c:pt>
                <c:pt idx="56">
                  <c:v>-1.0567001018820277</c:v>
                </c:pt>
                <c:pt idx="57">
                  <c:v>1.6269061500388973</c:v>
                </c:pt>
                <c:pt idx="58">
                  <c:v>-0.81662489660717041</c:v>
                </c:pt>
                <c:pt idx="59">
                  <c:v>1.3952556534232803</c:v>
                </c:pt>
                <c:pt idx="60">
                  <c:v>0.49672633809469452</c:v>
                </c:pt>
                <c:pt idx="61">
                  <c:v>-0.11614020070858917</c:v>
                </c:pt>
                <c:pt idx="62">
                  <c:v>-0.18338800255696885</c:v>
                </c:pt>
                <c:pt idx="63">
                  <c:v>-0.79575236567842011</c:v>
                </c:pt>
                <c:pt idx="64">
                  <c:v>3.7101718732595063E-3</c:v>
                </c:pt>
                <c:pt idx="65">
                  <c:v>-2.4811197787608921E-4</c:v>
                </c:pt>
                <c:pt idx="66">
                  <c:v>-1.0522463371913842</c:v>
                </c:pt>
                <c:pt idx="67">
                  <c:v>1.3516035336854333</c:v>
                </c:pt>
                <c:pt idx="68">
                  <c:v>0.83414930119948028</c:v>
                </c:pt>
                <c:pt idx="69">
                  <c:v>0.70552737692895773</c:v>
                </c:pt>
                <c:pt idx="70">
                  <c:v>1.782206581360066</c:v>
                </c:pt>
                <c:pt idx="71">
                  <c:v>-0.54742071437645701</c:v>
                </c:pt>
                <c:pt idx="72">
                  <c:v>7.6673214942109658E-2</c:v>
                </c:pt>
                <c:pt idx="73">
                  <c:v>3.0452806201847427</c:v>
                </c:pt>
                <c:pt idx="74">
                  <c:v>-0.64350395816725914</c:v>
                </c:pt>
                <c:pt idx="75">
                  <c:v>-0.36731147538103498</c:v>
                </c:pt>
                <c:pt idx="76">
                  <c:v>0.84421120227690216</c:v>
                </c:pt>
                <c:pt idx="77">
                  <c:v>-0.68963963003169093</c:v>
                </c:pt>
                <c:pt idx="78">
                  <c:v>-0.27162188575018364</c:v>
                </c:pt>
                <c:pt idx="79">
                  <c:v>-0.87740741187621873</c:v>
                </c:pt>
                <c:pt idx="80">
                  <c:v>-1.3623767251374865</c:v>
                </c:pt>
                <c:pt idx="81">
                  <c:v>0.39774988933552408</c:v>
                </c:pt>
                <c:pt idx="82">
                  <c:v>-1.6060171492667723</c:v>
                </c:pt>
                <c:pt idx="83">
                  <c:v>0.35228609394841626</c:v>
                </c:pt>
                <c:pt idx="84">
                  <c:v>0.74303387095949913</c:v>
                </c:pt>
                <c:pt idx="85">
                  <c:v>0.28723003228135657</c:v>
                </c:pt>
                <c:pt idx="86">
                  <c:v>-0.1482224536705197</c:v>
                </c:pt>
                <c:pt idx="87">
                  <c:v>1.9215666916219445</c:v>
                </c:pt>
                <c:pt idx="88">
                  <c:v>-0.43594811738959549</c:v>
                </c:pt>
                <c:pt idx="89">
                  <c:v>-1.8300524041275059</c:v>
                </c:pt>
                <c:pt idx="90">
                  <c:v>0.85411869115629668</c:v>
                </c:pt>
                <c:pt idx="91">
                  <c:v>-0.98169701295611944</c:v>
                </c:pt>
                <c:pt idx="92">
                  <c:v>0.34451230186918058</c:v>
                </c:pt>
                <c:pt idx="93">
                  <c:v>1.3800122805703039</c:v>
                </c:pt>
                <c:pt idx="94">
                  <c:v>1.0017100655951874</c:v>
                </c:pt>
                <c:pt idx="95">
                  <c:v>-0.17296713242412759</c:v>
                </c:pt>
                <c:pt idx="96">
                  <c:v>3.9208807270865771</c:v>
                </c:pt>
                <c:pt idx="97">
                  <c:v>-1.1489023906394071</c:v>
                </c:pt>
                <c:pt idx="98">
                  <c:v>0.96304270541158943</c:v>
                </c:pt>
                <c:pt idx="99">
                  <c:v>-1.5049061148040894</c:v>
                </c:pt>
                <c:pt idx="100">
                  <c:v>-0.16656377293294911</c:v>
                </c:pt>
                <c:pt idx="101">
                  <c:v>-1.269449357073082</c:v>
                </c:pt>
                <c:pt idx="102">
                  <c:v>-1.7693434739641372</c:v>
                </c:pt>
                <c:pt idx="103">
                  <c:v>-8.4810701749262252E-2</c:v>
                </c:pt>
                <c:pt idx="104">
                  <c:v>-2.5462391917472846</c:v>
                </c:pt>
                <c:pt idx="105">
                  <c:v>-2.3924022858918148E-2</c:v>
                </c:pt>
                <c:pt idx="106">
                  <c:v>-0.52195439233973084</c:v>
                </c:pt>
                <c:pt idx="107">
                  <c:v>-0.72543858315310816</c:v>
                </c:pt>
                <c:pt idx="108">
                  <c:v>-0.47261399804529725</c:v>
                </c:pt>
                <c:pt idx="109">
                  <c:v>1.0123878335077465</c:v>
                </c:pt>
                <c:pt idx="110">
                  <c:v>-2.108990882471486</c:v>
                </c:pt>
                <c:pt idx="111">
                  <c:v>1.1054741038753566</c:v>
                </c:pt>
                <c:pt idx="112">
                  <c:v>-1.0023476051240905</c:v>
                </c:pt>
                <c:pt idx="113">
                  <c:v>0.91443632609940428</c:v>
                </c:pt>
                <c:pt idx="114">
                  <c:v>-0.12153261424523365</c:v>
                </c:pt>
                <c:pt idx="115">
                  <c:v>0.12645843666777296</c:v>
                </c:pt>
                <c:pt idx="116">
                  <c:v>0.75609552694234272</c:v>
                </c:pt>
                <c:pt idx="117">
                  <c:v>0.47685702774134814</c:v>
                </c:pt>
                <c:pt idx="118">
                  <c:v>0.24178357029100669</c:v>
                </c:pt>
                <c:pt idx="119">
                  <c:v>-0.16261439684136841</c:v>
                </c:pt>
                <c:pt idx="120">
                  <c:v>9.7157157678424075E-2</c:v>
                </c:pt>
                <c:pt idx="121">
                  <c:v>-0.33082058989864349</c:v>
                </c:pt>
                <c:pt idx="122">
                  <c:v>-1.2512350053179411</c:v>
                </c:pt>
                <c:pt idx="123">
                  <c:v>-0.61126253583396717</c:v>
                </c:pt>
                <c:pt idx="124">
                  <c:v>-0.29358615655737719</c:v>
                </c:pt>
                <c:pt idx="125">
                  <c:v>-0.74542521048188426</c:v>
                </c:pt>
                <c:pt idx="126">
                  <c:v>-0.79947052108572958</c:v>
                </c:pt>
                <c:pt idx="127">
                  <c:v>-0.17305793629970076</c:v>
                </c:pt>
                <c:pt idx="128">
                  <c:v>-1.4082762961535502</c:v>
                </c:pt>
                <c:pt idx="129">
                  <c:v>-0.21784856092577534</c:v>
                </c:pt>
                <c:pt idx="130">
                  <c:v>0.64496161851537648</c:v>
                </c:pt>
                <c:pt idx="131">
                  <c:v>-0.25224943482409218</c:v>
                </c:pt>
                <c:pt idx="132">
                  <c:v>-1.1217400049498238</c:v>
                </c:pt>
                <c:pt idx="133">
                  <c:v>0.72951275162056228</c:v>
                </c:pt>
                <c:pt idx="134">
                  <c:v>0.6416042264014008</c:v>
                </c:pt>
                <c:pt idx="135">
                  <c:v>-0.93404781290694849</c:v>
                </c:pt>
                <c:pt idx="136">
                  <c:v>-1.1307676029725402</c:v>
                </c:pt>
                <c:pt idx="137">
                  <c:v>-0.81177568785051246</c:v>
                </c:pt>
                <c:pt idx="138">
                  <c:v>1.5385118360041341</c:v>
                </c:pt>
                <c:pt idx="139">
                  <c:v>-0.60574611237413001</c:v>
                </c:pt>
                <c:pt idx="140">
                  <c:v>2.069663244969083</c:v>
                </c:pt>
                <c:pt idx="141">
                  <c:v>0.37898407790062838</c:v>
                </c:pt>
                <c:pt idx="142">
                  <c:v>2.1746850225463512</c:v>
                </c:pt>
                <c:pt idx="143">
                  <c:v>-0.1678120417302989</c:v>
                </c:pt>
                <c:pt idx="144">
                  <c:v>-0.34607546315543997</c:v>
                </c:pt>
                <c:pt idx="145">
                  <c:v>-0.12233371903984779</c:v>
                </c:pt>
                <c:pt idx="146">
                  <c:v>0.98748831584101127</c:v>
                </c:pt>
                <c:pt idx="147">
                  <c:v>-0.13597981207527543</c:v>
                </c:pt>
                <c:pt idx="148">
                  <c:v>-1.4961586954070287</c:v>
                </c:pt>
                <c:pt idx="149">
                  <c:v>0.64373971726307277</c:v>
                </c:pt>
                <c:pt idx="150">
                  <c:v>-0.46013907337469451</c:v>
                </c:pt>
                <c:pt idx="151">
                  <c:v>0.44279496891664416</c:v>
                </c:pt>
                <c:pt idx="152">
                  <c:v>-2.1751865784398765</c:v>
                </c:pt>
                <c:pt idx="153">
                  <c:v>1.3072141065706384</c:v>
                </c:pt>
                <c:pt idx="154">
                  <c:v>-0.32441627694103209</c:v>
                </c:pt>
                <c:pt idx="155">
                  <c:v>-2.2533859541188943</c:v>
                </c:pt>
                <c:pt idx="156">
                  <c:v>0.47955006719892695</c:v>
                </c:pt>
                <c:pt idx="157">
                  <c:v>-0.63728647531223082</c:v>
                </c:pt>
                <c:pt idx="158">
                  <c:v>-0.71470201164638925</c:v>
                </c:pt>
                <c:pt idx="159">
                  <c:v>-0.19779291530262325</c:v>
                </c:pt>
                <c:pt idx="160">
                  <c:v>-0.62849419059818534</c:v>
                </c:pt>
                <c:pt idx="161">
                  <c:v>0.26441603766556648</c:v>
                </c:pt>
                <c:pt idx="162">
                  <c:v>-0.19054992232062506</c:v>
                </c:pt>
                <c:pt idx="163">
                  <c:v>1.638352169175632</c:v>
                </c:pt>
                <c:pt idx="164">
                  <c:v>-7.2991107431968946E-2</c:v>
                </c:pt>
                <c:pt idx="165">
                  <c:v>0.31418369780483973</c:v>
                </c:pt>
                <c:pt idx="166">
                  <c:v>-0.55391929763315062</c:v>
                </c:pt>
                <c:pt idx="167">
                  <c:v>-1.3727983960069854</c:v>
                </c:pt>
                <c:pt idx="168">
                  <c:v>-0.31528397181320622</c:v>
                </c:pt>
                <c:pt idx="169">
                  <c:v>-3.0132100645334696</c:v>
                </c:pt>
                <c:pt idx="170">
                  <c:v>3.2258748903158593E-2</c:v>
                </c:pt>
                <c:pt idx="171">
                  <c:v>0.26550305061959878</c:v>
                </c:pt>
                <c:pt idx="172">
                  <c:v>-0.17897184380064476</c:v>
                </c:pt>
                <c:pt idx="173">
                  <c:v>-0.18911093699682743</c:v>
                </c:pt>
                <c:pt idx="174">
                  <c:v>1.6237329401085245</c:v>
                </c:pt>
                <c:pt idx="175">
                  <c:v>0.82448863405593453</c:v>
                </c:pt>
                <c:pt idx="176">
                  <c:v>0.3858648774546185</c:v>
                </c:pt>
                <c:pt idx="177">
                  <c:v>0.8981378623408981</c:v>
                </c:pt>
                <c:pt idx="178">
                  <c:v>0.33329595078037083</c:v>
                </c:pt>
                <c:pt idx="179">
                  <c:v>1.1114295344119383</c:v>
                </c:pt>
                <c:pt idx="180">
                  <c:v>1.2835159834476721</c:v>
                </c:pt>
                <c:pt idx="181">
                  <c:v>-0.94899110799699227</c:v>
                </c:pt>
                <c:pt idx="182">
                  <c:v>1.8444118982650823</c:v>
                </c:pt>
                <c:pt idx="183">
                  <c:v>0.87951199751315501</c:v>
                </c:pt>
                <c:pt idx="184">
                  <c:v>1.0413615197242059</c:v>
                </c:pt>
                <c:pt idx="185">
                  <c:v>6.6213563063051914E-2</c:v>
                </c:pt>
                <c:pt idx="186">
                  <c:v>2.3166339783899708</c:v>
                </c:pt>
                <c:pt idx="187">
                  <c:v>0.25914011796777192</c:v>
                </c:pt>
                <c:pt idx="188">
                  <c:v>1.7709191189119968</c:v>
                </c:pt>
                <c:pt idx="189">
                  <c:v>-0.51274533806035072</c:v>
                </c:pt>
                <c:pt idx="190">
                  <c:v>1.109809358606016</c:v>
                </c:pt>
                <c:pt idx="191">
                  <c:v>-0.3277764778069257</c:v>
                </c:pt>
                <c:pt idx="192">
                  <c:v>-4.1275601060783276E-2</c:v>
                </c:pt>
                <c:pt idx="193">
                  <c:v>1.1984978528509949</c:v>
                </c:pt>
                <c:pt idx="194">
                  <c:v>-1.1798475382669464</c:v>
                </c:pt>
                <c:pt idx="195">
                  <c:v>2.4910534703616558</c:v>
                </c:pt>
                <c:pt idx="196">
                  <c:v>-0.94143875773872665</c:v>
                </c:pt>
                <c:pt idx="197">
                  <c:v>6.183087851388059E-2</c:v>
                </c:pt>
                <c:pt idx="198">
                  <c:v>-0.62519660597378746</c:v>
                </c:pt>
                <c:pt idx="199">
                  <c:v>2.1310449337114976</c:v>
                </c:pt>
                <c:pt idx="200">
                  <c:v>-1.295821999113514</c:v>
                </c:pt>
                <c:pt idx="201">
                  <c:v>0.79353131553198131</c:v>
                </c:pt>
                <c:pt idx="202">
                  <c:v>0.69042244698236432</c:v>
                </c:pt>
                <c:pt idx="203">
                  <c:v>1.4424673858252204</c:v>
                </c:pt>
                <c:pt idx="204">
                  <c:v>-2.3134395813224282</c:v>
                </c:pt>
                <c:pt idx="205">
                  <c:v>2.15231347548221</c:v>
                </c:pt>
                <c:pt idx="206">
                  <c:v>-1.28916433067698</c:v>
                </c:pt>
                <c:pt idx="207">
                  <c:v>7.5214027322624888E-2</c:v>
                </c:pt>
                <c:pt idx="208">
                  <c:v>-1.2587361395909606</c:v>
                </c:pt>
                <c:pt idx="209">
                  <c:v>-0.91497432756445829</c:v>
                </c:pt>
                <c:pt idx="210">
                  <c:v>-1.7876861572834783</c:v>
                </c:pt>
                <c:pt idx="211">
                  <c:v>-1.3637156292078065</c:v>
                </c:pt>
                <c:pt idx="212">
                  <c:v>0.39624282433943225</c:v>
                </c:pt>
                <c:pt idx="213">
                  <c:v>-1.9179971194179048</c:v>
                </c:pt>
                <c:pt idx="214">
                  <c:v>0.38946090442830927</c:v>
                </c:pt>
                <c:pt idx="215">
                  <c:v>0.36725829905061502</c:v>
                </c:pt>
                <c:pt idx="216">
                  <c:v>1.4499590665431279</c:v>
                </c:pt>
                <c:pt idx="217">
                  <c:v>-1.0784581254859675</c:v>
                </c:pt>
                <c:pt idx="218">
                  <c:v>1.2364430181371155</c:v>
                </c:pt>
                <c:pt idx="219">
                  <c:v>-0.8837531468133738</c:v>
                </c:pt>
                <c:pt idx="220">
                  <c:v>-1.3290878068348584</c:v>
                </c:pt>
                <c:pt idx="221">
                  <c:v>-0.25121535688368507</c:v>
                </c:pt>
                <c:pt idx="222">
                  <c:v>-0.53426077715928244</c:v>
                </c:pt>
                <c:pt idx="223">
                  <c:v>-0.89297116123815923</c:v>
                </c:pt>
                <c:pt idx="224">
                  <c:v>1.5864376768012458</c:v>
                </c:pt>
                <c:pt idx="225">
                  <c:v>-0.41174865866987559</c:v>
                </c:pt>
                <c:pt idx="226">
                  <c:v>-0.73790465512410397</c:v>
                </c:pt>
                <c:pt idx="227">
                  <c:v>-0.11184137595318089</c:v>
                </c:pt>
                <c:pt idx="228">
                  <c:v>1.5816328041794541</c:v>
                </c:pt>
                <c:pt idx="229">
                  <c:v>-1.6972416033282578</c:v>
                </c:pt>
                <c:pt idx="230">
                  <c:v>-0.7263767617406357</c:v>
                </c:pt>
                <c:pt idx="231">
                  <c:v>0.9460296122176336</c:v>
                </c:pt>
                <c:pt idx="232">
                  <c:v>0.56923473074383624</c:v>
                </c:pt>
                <c:pt idx="233">
                  <c:v>-0.91585957050948419</c:v>
                </c:pt>
                <c:pt idx="234">
                  <c:v>-9.0635151806767414E-2</c:v>
                </c:pt>
                <c:pt idx="235">
                  <c:v>3.1077213446339127</c:v>
                </c:pt>
                <c:pt idx="236">
                  <c:v>-0.91692087603328765</c:v>
                </c:pt>
                <c:pt idx="237">
                  <c:v>-1.882364355699871</c:v>
                </c:pt>
                <c:pt idx="238">
                  <c:v>1.9058622905446256</c:v>
                </c:pt>
                <c:pt idx="239">
                  <c:v>-1.7729155008741946</c:v>
                </c:pt>
                <c:pt idx="240">
                  <c:v>-2.0115847023653881</c:v>
                </c:pt>
                <c:pt idx="241">
                  <c:v>-0.60745507861410786</c:v>
                </c:pt>
                <c:pt idx="242">
                  <c:v>-0.57607878387943856</c:v>
                </c:pt>
                <c:pt idx="243">
                  <c:v>-2.0255092486732442</c:v>
                </c:pt>
                <c:pt idx="244">
                  <c:v>1.5780353573206494</c:v>
                </c:pt>
                <c:pt idx="245">
                  <c:v>-0.95651137556250332</c:v>
                </c:pt>
                <c:pt idx="246">
                  <c:v>-0.16778064250710564</c:v>
                </c:pt>
                <c:pt idx="247">
                  <c:v>1.9265290376118529</c:v>
                </c:pt>
                <c:pt idx="248">
                  <c:v>-0.61061595192629881</c:v>
                </c:pt>
                <c:pt idx="249">
                  <c:v>-1.7925772145093612</c:v>
                </c:pt>
                <c:pt idx="250">
                  <c:v>3.0715702223097545</c:v>
                </c:pt>
                <c:pt idx="251">
                  <c:v>-4.812361707201779</c:v>
                </c:pt>
                <c:pt idx="252">
                  <c:v>5.0808856290327942</c:v>
                </c:pt>
                <c:pt idx="253">
                  <c:v>-2.0124182704684936</c:v>
                </c:pt>
                <c:pt idx="254">
                  <c:v>1.1126892923205987</c:v>
                </c:pt>
                <c:pt idx="255">
                  <c:v>2.1173661578700833</c:v>
                </c:pt>
                <c:pt idx="256">
                  <c:v>-1.023695087378492</c:v>
                </c:pt>
                <c:pt idx="257">
                  <c:v>-1.3553226423501803</c:v>
                </c:pt>
                <c:pt idx="258">
                  <c:v>1.0352281721163199</c:v>
                </c:pt>
                <c:pt idx="259">
                  <c:v>3.1394694611334921E-2</c:v>
                </c:pt>
                <c:pt idx="260">
                  <c:v>-1.4288339603543703</c:v>
                </c:pt>
                <c:pt idx="261">
                  <c:v>3.032249769004709</c:v>
                </c:pt>
                <c:pt idx="262">
                  <c:v>1.9575546845420784</c:v>
                </c:pt>
                <c:pt idx="263">
                  <c:v>-1.1702433444745215</c:v>
                </c:pt>
                <c:pt idx="264">
                  <c:v>1.0993907647592154</c:v>
                </c:pt>
                <c:pt idx="265">
                  <c:v>-0.89933916536287806</c:v>
                </c:pt>
                <c:pt idx="266">
                  <c:v>2.2214595526322536</c:v>
                </c:pt>
                <c:pt idx="267">
                  <c:v>-1.9798337452286694</c:v>
                </c:pt>
                <c:pt idx="268">
                  <c:v>0.11433816231096766</c:v>
                </c:pt>
                <c:pt idx="269">
                  <c:v>0.5255829598308589</c:v>
                </c:pt>
                <c:pt idx="270">
                  <c:v>0.30637791653169261</c:v>
                </c:pt>
                <c:pt idx="271">
                  <c:v>-0.4850660662008367</c:v>
                </c:pt>
                <c:pt idx="272">
                  <c:v>-2.9160821400503778</c:v>
                </c:pt>
                <c:pt idx="273">
                  <c:v>3.5290592418186235</c:v>
                </c:pt>
                <c:pt idx="274">
                  <c:v>-3.4664507884155396</c:v>
                </c:pt>
                <c:pt idx="275">
                  <c:v>2.2870493822077496</c:v>
                </c:pt>
                <c:pt idx="276">
                  <c:v>-1.5923910899118627</c:v>
                </c:pt>
                <c:pt idx="277">
                  <c:v>2.5589234957087199</c:v>
                </c:pt>
                <c:pt idx="278">
                  <c:v>0.63766055427608082</c:v>
                </c:pt>
                <c:pt idx="279">
                  <c:v>-1.4858975419242979</c:v>
                </c:pt>
                <c:pt idx="280">
                  <c:v>1.7868118884955453</c:v>
                </c:pt>
                <c:pt idx="281">
                  <c:v>-1.0687134435234082</c:v>
                </c:pt>
                <c:pt idx="282">
                  <c:v>1.0802601449030385</c:v>
                </c:pt>
                <c:pt idx="283">
                  <c:v>-1.5028171803351555</c:v>
                </c:pt>
                <c:pt idx="284">
                  <c:v>8.3473557751314723E-2</c:v>
                </c:pt>
                <c:pt idx="285">
                  <c:v>7.5036268685725604E-2</c:v>
                </c:pt>
                <c:pt idx="286">
                  <c:v>-0.43491735518435842</c:v>
                </c:pt>
                <c:pt idx="287">
                  <c:v>1.5644343233631515</c:v>
                </c:pt>
                <c:pt idx="288">
                  <c:v>1.8002662761727755</c:v>
                </c:pt>
                <c:pt idx="289">
                  <c:v>0.25678829380650342</c:v>
                </c:pt>
                <c:pt idx="290">
                  <c:v>1.6568790071646589</c:v>
                </c:pt>
                <c:pt idx="291">
                  <c:v>4.4455700466749688</c:v>
                </c:pt>
                <c:pt idx="292">
                  <c:v>-0.64158929715314494</c:v>
                </c:pt>
                <c:pt idx="293">
                  <c:v>-0.63093102568816395</c:v>
                </c:pt>
                <c:pt idx="294">
                  <c:v>1.8728226536772534</c:v>
                </c:pt>
                <c:pt idx="295">
                  <c:v>-1.7267079790663376</c:v>
                </c:pt>
                <c:pt idx="296">
                  <c:v>0.47757841044265764</c:v>
                </c:pt>
                <c:pt idx="297">
                  <c:v>-1.5148360679867965</c:v>
                </c:pt>
                <c:pt idx="298">
                  <c:v>0.29210017891405882</c:v>
                </c:pt>
                <c:pt idx="299">
                  <c:v>-0.15658699112092528</c:v>
                </c:pt>
                <c:pt idx="300">
                  <c:v>-3.8478907663956381</c:v>
                </c:pt>
                <c:pt idx="301">
                  <c:v>0.22986284029298765</c:v>
                </c:pt>
                <c:pt idx="302">
                  <c:v>-1.3963523037189107</c:v>
                </c:pt>
                <c:pt idx="303">
                  <c:v>-1.8373284932805689</c:v>
                </c:pt>
                <c:pt idx="304">
                  <c:v>-1.1831994912329622</c:v>
                </c:pt>
                <c:pt idx="305">
                  <c:v>0.5227894452338806</c:v>
                </c:pt>
                <c:pt idx="306">
                  <c:v>-1.5573176663918333</c:v>
                </c:pt>
                <c:pt idx="307">
                  <c:v>1.8089481435294819</c:v>
                </c:pt>
                <c:pt idx="308">
                  <c:v>-1.0075802556990092</c:v>
                </c:pt>
                <c:pt idx="309">
                  <c:v>0.63657449896155638</c:v>
                </c:pt>
                <c:pt idx="310">
                  <c:v>-1.597936708189956</c:v>
                </c:pt>
                <c:pt idx="311">
                  <c:v>1.5454542792825334</c:v>
                </c:pt>
                <c:pt idx="312">
                  <c:v>-1.9215166549965081</c:v>
                </c:pt>
                <c:pt idx="313">
                  <c:v>2.9224778567444281</c:v>
                </c:pt>
                <c:pt idx="314">
                  <c:v>-2.0685750991196663</c:v>
                </c:pt>
                <c:pt idx="315">
                  <c:v>3.2612114480178684</c:v>
                </c:pt>
                <c:pt idx="316">
                  <c:v>-0.40122867218811303</c:v>
                </c:pt>
                <c:pt idx="317">
                  <c:v>0.28654395541687422</c:v>
                </c:pt>
                <c:pt idx="318">
                  <c:v>-2.3658991439801595</c:v>
                </c:pt>
                <c:pt idx="319">
                  <c:v>2.9816310165556299</c:v>
                </c:pt>
                <c:pt idx="320">
                  <c:v>-0.79655465739060982</c:v>
                </c:pt>
                <c:pt idx="321">
                  <c:v>-6.0922756803880773</c:v>
                </c:pt>
                <c:pt idx="322">
                  <c:v>3.6986653050550315</c:v>
                </c:pt>
                <c:pt idx="323">
                  <c:v>-3.5369645420274156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90104"/>
        <c:axId val="416990888"/>
      </c:scatterChart>
      <c:scatterChart>
        <c:scatterStyle val="lineMarker"/>
        <c:varyColors val="0"/>
        <c:ser>
          <c:idx val="1"/>
          <c:order val="1"/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'cc (2)'!$I$12:$I$335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'cc (2)'!$K$12:$K$335</c:f>
              <c:numCache>
                <c:formatCode>General</c:formatCode>
                <c:ptCount val="324"/>
                <c:pt idx="0">
                  <c:v>-2.6182890842038402</c:v>
                </c:pt>
                <c:pt idx="1">
                  <c:v>4.3610161351606358</c:v>
                </c:pt>
                <c:pt idx="2">
                  <c:v>-3.4287564630886829</c:v>
                </c:pt>
                <c:pt idx="3">
                  <c:v>3.9472975150666452</c:v>
                </c:pt>
                <c:pt idx="4">
                  <c:v>-1.8660246096469626</c:v>
                </c:pt>
                <c:pt idx="5">
                  <c:v>1.3796676266086081</c:v>
                </c:pt>
                <c:pt idx="6">
                  <c:v>0.82851820104906548</c:v>
                </c:pt>
                <c:pt idx="7">
                  <c:v>-1.8707074142730127</c:v>
                </c:pt>
                <c:pt idx="8">
                  <c:v>3.1984000331942037</c:v>
                </c:pt>
                <c:pt idx="9">
                  <c:v>-4.0818658028745531</c:v>
                </c:pt>
                <c:pt idx="10">
                  <c:v>3.604965734356977</c:v>
                </c:pt>
                <c:pt idx="11">
                  <c:v>-3.5075346669488674</c:v>
                </c:pt>
                <c:pt idx="12">
                  <c:v>1.0078736203001104</c:v>
                </c:pt>
                <c:pt idx="13">
                  <c:v>-3.0212284451404559E-2</c:v>
                </c:pt>
                <c:pt idx="14">
                  <c:v>-2.9792761803049865</c:v>
                </c:pt>
                <c:pt idx="15">
                  <c:v>3.2469469123183186</c:v>
                </c:pt>
                <c:pt idx="16">
                  <c:v>-4.3519845965188164</c:v>
                </c:pt>
                <c:pt idx="17">
                  <c:v>2.8002110218106959</c:v>
                </c:pt>
                <c:pt idx="18">
                  <c:v>-1.4942364297585935</c:v>
                </c:pt>
                <c:pt idx="19">
                  <c:v>-0.60489975233114424</c:v>
                </c:pt>
                <c:pt idx="20">
                  <c:v>2.5880629439751308</c:v>
                </c:pt>
                <c:pt idx="21">
                  <c:v>-3.2643270519588734</c:v>
                </c:pt>
                <c:pt idx="22">
                  <c:v>4.4407711940096046</c:v>
                </c:pt>
                <c:pt idx="23">
                  <c:v>-3.2106386260191151</c:v>
                </c:pt>
                <c:pt idx="24">
                  <c:v>3.3824451281288903</c:v>
                </c:pt>
                <c:pt idx="25">
                  <c:v>-1.0363359079866084</c:v>
                </c:pt>
                <c:pt idx="26">
                  <c:v>0.55663724689464389</c:v>
                </c:pt>
                <c:pt idx="27">
                  <c:v>1.8086357591605542</c:v>
                </c:pt>
                <c:pt idx="28">
                  <c:v>-2.4950497827024991</c:v>
                </c:pt>
                <c:pt idx="29">
                  <c:v>3.7974289031297537</c:v>
                </c:pt>
                <c:pt idx="30">
                  <c:v>-4.0547105281285871</c:v>
                </c:pt>
                <c:pt idx="31">
                  <c:v>3.3721442084707611</c:v>
                </c:pt>
                <c:pt idx="32">
                  <c:v>-2.6597420791037991</c:v>
                </c:pt>
                <c:pt idx="33">
                  <c:v>4.1229013604371811E-2</c:v>
                </c:pt>
                <c:pt idx="34">
                  <c:v>1.0440548811470785</c:v>
                </c:pt>
                <c:pt idx="35">
                  <c:v>-3.7586221519326877</c:v>
                </c:pt>
                <c:pt idx="36">
                  <c:v>3.4648407546102522</c:v>
                </c:pt>
                <c:pt idx="37">
                  <c:v>-4.100518858971224</c:v>
                </c:pt>
                <c:pt idx="38">
                  <c:v>1.8911364351245394</c:v>
                </c:pt>
                <c:pt idx="39">
                  <c:v>-0.56634927030233118</c:v>
                </c:pt>
                <c:pt idx="40">
                  <c:v>-1.7314879484175145</c:v>
                </c:pt>
                <c:pt idx="41">
                  <c:v>3.1940972905828278</c:v>
                </c:pt>
                <c:pt idx="42">
                  <c:v>-3.705405460747536</c:v>
                </c:pt>
                <c:pt idx="43">
                  <c:v>4.2674455880294371</c:v>
                </c:pt>
                <c:pt idx="44">
                  <c:v>-2.820404790427693</c:v>
                </c:pt>
                <c:pt idx="45">
                  <c:v>2.6435791029163589</c:v>
                </c:pt>
                <c:pt idx="46">
                  <c:v>-0.15710316141150193</c:v>
                </c:pt>
                <c:pt idx="47">
                  <c:v>-0.29698905504433393</c:v>
                </c:pt>
                <c:pt idx="48">
                  <c:v>2.6980618206680651</c:v>
                </c:pt>
                <c:pt idx="49">
                  <c:v>-2.9905775202142157</c:v>
                </c:pt>
                <c:pt idx="50">
                  <c:v>4.1866944332565925</c:v>
                </c:pt>
                <c:pt idx="51">
                  <c:v>-3.786348005942529</c:v>
                </c:pt>
                <c:pt idx="52">
                  <c:v>2.9198769746050961</c:v>
                </c:pt>
                <c:pt idx="53">
                  <c:v>-1.6308180243788861</c:v>
                </c:pt>
                <c:pt idx="54">
                  <c:v>-0.94313952934507195</c:v>
                </c:pt>
                <c:pt idx="55">
                  <c:v>2.0366845975603649</c:v>
                </c:pt>
                <c:pt idx="56">
                  <c:v>-4.2686657498756491</c:v>
                </c:pt>
                <c:pt idx="57">
                  <c:v>3.4082571155456947</c:v>
                </c:pt>
                <c:pt idx="58">
                  <c:v>-3.5517514837333142</c:v>
                </c:pt>
                <c:pt idx="59">
                  <c:v>0.84021467960669738</c:v>
                </c:pt>
                <c:pt idx="60">
                  <c:v>0.39003165515490018</c:v>
                </c:pt>
                <c:pt idx="61">
                  <c:v>-2.7349741892428492</c:v>
                </c:pt>
                <c:pt idx="62">
                  <c:v>3.592312665943834</c:v>
                </c:pt>
                <c:pt idx="63">
                  <c:v>-3.9222277223729991</c:v>
                </c:pt>
                <c:pt idx="64">
                  <c:v>3.8565492471973051</c:v>
                </c:pt>
                <c:pt idx="65">
                  <c:v>-2.2828548064685288</c:v>
                </c:pt>
                <c:pt idx="66">
                  <c:v>1.7702904240378956</c:v>
                </c:pt>
                <c:pt idx="67">
                  <c:v>0.7274841547739892</c:v>
                </c:pt>
                <c:pt idx="68">
                  <c:v>-1.1387489164705618</c:v>
                </c:pt>
                <c:pt idx="69">
                  <c:v>3.4499437919397749</c:v>
                </c:pt>
                <c:pt idx="70">
                  <c:v>-3.3275315584691789</c:v>
                </c:pt>
                <c:pt idx="71">
                  <c:v>4.3389102190171815</c:v>
                </c:pt>
                <c:pt idx="72">
                  <c:v>-3.2852739646368359</c:v>
                </c:pt>
                <c:pt idx="73">
                  <c:v>2.2723844378102629</c:v>
                </c:pt>
                <c:pt idx="74">
                  <c:v>-0.48593449495847635</c:v>
                </c:pt>
                <c:pt idx="75">
                  <c:v>-1.873185563710011</c:v>
                </c:pt>
                <c:pt idx="76">
                  <c:v>2.8728463497101369</c:v>
                </c:pt>
                <c:pt idx="77">
                  <c:v>-4.4683235664035053</c:v>
                </c:pt>
                <c:pt idx="78">
                  <c:v>3.0815093481251683</c:v>
                </c:pt>
                <c:pt idx="79">
                  <c:v>-2.7506024862184697</c:v>
                </c:pt>
                <c:pt idx="80">
                  <c:v>-0.27461168781889089</c:v>
                </c:pt>
                <c:pt idx="81">
                  <c:v>1.3059006844950161</c:v>
                </c:pt>
                <c:pt idx="82">
                  <c:v>-3.5534971370249058</c:v>
                </c:pt>
                <c:pt idx="83">
                  <c:v>3.7626845584981856</c:v>
                </c:pt>
                <c:pt idx="84">
                  <c:v>-3.9092979607093881</c:v>
                </c:pt>
                <c:pt idx="85">
                  <c:v>3.2359374153379057</c:v>
                </c:pt>
                <c:pt idx="86">
                  <c:v>-1.6291227347960027</c:v>
                </c:pt>
                <c:pt idx="87">
                  <c:v>0.80789171875193255</c:v>
                </c:pt>
                <c:pt idx="88">
                  <c:v>1.5734652974517891</c:v>
                </c:pt>
                <c:pt idx="89">
                  <c:v>-1.9260630843653501</c:v>
                </c:pt>
                <c:pt idx="90">
                  <c:v>4.0231957032433261</c:v>
                </c:pt>
                <c:pt idx="91">
                  <c:v>-3.4831816649593574</c:v>
                </c:pt>
                <c:pt idx="92">
                  <c:v>4.2394418060433043</c:v>
                </c:pt>
                <c:pt idx="93">
                  <c:v>-2.5747171099520254</c:v>
                </c:pt>
                <c:pt idx="94">
                  <c:v>1.4686511309891326</c:v>
                </c:pt>
                <c:pt idx="95">
                  <c:v>0.69905622812699253</c:v>
                </c:pt>
                <c:pt idx="96">
                  <c:v>-2.6779712048637045</c:v>
                </c:pt>
                <c:pt idx="97">
                  <c:v>3.4889134940733904</c:v>
                </c:pt>
                <c:pt idx="98">
                  <c:v>-4.3399640288621582</c:v>
                </c:pt>
                <c:pt idx="99">
                  <c:v>2.5109380617323453</c:v>
                </c:pt>
                <c:pt idx="100">
                  <c:v>-1.7600438337350806</c:v>
                </c:pt>
                <c:pt idx="101">
                  <c:v>-1.3722208944343839</c:v>
                </c:pt>
                <c:pt idx="102">
                  <c:v>2.1182753121670204</c:v>
                </c:pt>
                <c:pt idx="103">
                  <c:v>-4.1398103091590626</c:v>
                </c:pt>
                <c:pt idx="104">
                  <c:v>3.7005552358457514</c:v>
                </c:pt>
                <c:pt idx="105">
                  <c:v>-3.6741781769721897</c:v>
                </c:pt>
                <c:pt idx="106">
                  <c:v>2.4436057215892957</c:v>
                </c:pt>
                <c:pt idx="107">
                  <c:v>-0.8948573253637373</c:v>
                </c:pt>
                <c:pt idx="108">
                  <c:v>-0.1946829694002038</c:v>
                </c:pt>
                <c:pt idx="109">
                  <c:v>2.3389159317621049</c:v>
                </c:pt>
                <c:pt idx="110">
                  <c:v>-2.6180726269346897</c:v>
                </c:pt>
                <c:pt idx="111">
                  <c:v>4.3846529734710256</c:v>
                </c:pt>
                <c:pt idx="112">
                  <c:v>-3.443553019311099</c:v>
                </c:pt>
                <c:pt idx="113">
                  <c:v>3.8880516014331268</c:v>
                </c:pt>
                <c:pt idx="114">
                  <c:v>-1.6923459156575704</c:v>
                </c:pt>
                <c:pt idx="115">
                  <c:v>0.5605835204119165</c:v>
                </c:pt>
                <c:pt idx="116">
                  <c:v>1.8426752379705269</c:v>
                </c:pt>
                <c:pt idx="117">
                  <c:v>-3.2935156527798779</c:v>
                </c:pt>
                <c:pt idx="118">
                  <c:v>3.8379550650625616</c:v>
                </c:pt>
                <c:pt idx="119">
                  <c:v>-3.891180336413905</c:v>
                </c:pt>
                <c:pt idx="120">
                  <c:v>1.7425121512960617</c:v>
                </c:pt>
                <c:pt idx="121">
                  <c:v>-0.65555832578776985</c:v>
                </c:pt>
                <c:pt idx="122">
                  <c:v>-2.3746893234956343</c:v>
                </c:pt>
                <c:pt idx="123">
                  <c:v>2.7744655628763413</c:v>
                </c:pt>
                <c:pt idx="124">
                  <c:v>-4.4634611495232885</c:v>
                </c:pt>
                <c:pt idx="125">
                  <c:v>3.4158604657489358</c:v>
                </c:pt>
                <c:pt idx="126">
                  <c:v>-3.2361114265590314</c:v>
                </c:pt>
                <c:pt idx="127">
                  <c:v>1.5251737133285497</c:v>
                </c:pt>
                <c:pt idx="128">
                  <c:v>-0.11840086825527993</c:v>
                </c:pt>
                <c:pt idx="129">
                  <c:v>-1.1870324369884013</c:v>
                </c:pt>
                <c:pt idx="130">
                  <c:v>2.985653314850587</c:v>
                </c:pt>
                <c:pt idx="131">
                  <c:v>-3.1775337430584067</c:v>
                </c:pt>
                <c:pt idx="132">
                  <c:v>4.5110404618866236</c:v>
                </c:pt>
                <c:pt idx="133">
                  <c:v>-3.2048995881277382</c:v>
                </c:pt>
                <c:pt idx="134">
                  <c:v>3.2999132373522118</c:v>
                </c:pt>
                <c:pt idx="135">
                  <c:v>-0.68894492272084573</c:v>
                </c:pt>
                <c:pt idx="136">
                  <c:v>-0.39004933781811313</c:v>
                </c:pt>
                <c:pt idx="137">
                  <c:v>2.8637018068946505</c:v>
                </c:pt>
                <c:pt idx="138">
                  <c:v>-3.6684165279611092</c:v>
                </c:pt>
                <c:pt idx="139">
                  <c:v>3.8938833046313217</c:v>
                </c:pt>
                <c:pt idx="140">
                  <c:v>-3.1543783048770861</c:v>
                </c:pt>
                <c:pt idx="141">
                  <c:v>0.83768615618841813</c:v>
                </c:pt>
                <c:pt idx="142">
                  <c:v>0.48120661852553581</c:v>
                </c:pt>
                <c:pt idx="143">
                  <c:v>-3.2130838204408683</c:v>
                </c:pt>
                <c:pt idx="144">
                  <c:v>3.2351870869691268</c:v>
                </c:pt>
                <c:pt idx="145">
                  <c:v>-4.5116466821176999</c:v>
                </c:pt>
                <c:pt idx="146">
                  <c:v>2.9314831261019556</c:v>
                </c:pt>
                <c:pt idx="147">
                  <c:v>-2.6241865257418127</c:v>
                </c:pt>
                <c:pt idx="148">
                  <c:v>0.53121962978030468</c:v>
                </c:pt>
                <c:pt idx="149">
                  <c:v>0.6609683161893275</c:v>
                </c:pt>
                <c:pt idx="150">
                  <c:v>-2.1194451269375651</c:v>
                </c:pt>
                <c:pt idx="151">
                  <c:v>3.4808158758643262</c:v>
                </c:pt>
                <c:pt idx="152">
                  <c:v>-3.5727159682448826</c:v>
                </c:pt>
                <c:pt idx="153">
                  <c:v>4.3906494218182841</c:v>
                </c:pt>
                <c:pt idx="154">
                  <c:v>-2.7747805755504977</c:v>
                </c:pt>
                <c:pt idx="155">
                  <c:v>2.5057166753969997</c:v>
                </c:pt>
                <c:pt idx="156">
                  <c:v>0.3739965203860699</c:v>
                </c:pt>
                <c:pt idx="157">
                  <c:v>-1.3157618640223108</c:v>
                </c:pt>
                <c:pt idx="158">
                  <c:v>3.6874384220818244</c:v>
                </c:pt>
                <c:pt idx="159">
                  <c:v>-3.7686800086525234</c:v>
                </c:pt>
                <c:pt idx="160">
                  <c:v>3.6538147561918439</c:v>
                </c:pt>
                <c:pt idx="161">
                  <c:v>-2.1841952352058689</c:v>
                </c:pt>
                <c:pt idx="162">
                  <c:v>-0.13204634229862194</c:v>
                </c:pt>
                <c:pt idx="163">
                  <c:v>1.5689734250327221</c:v>
                </c:pt>
                <c:pt idx="164">
                  <c:v>-3.8322078202685872</c:v>
                </c:pt>
                <c:pt idx="165">
                  <c:v>3.4763836401301287</c:v>
                </c:pt>
                <c:pt idx="166">
                  <c:v>-4.288840130719465</c:v>
                </c:pt>
                <c:pt idx="167">
                  <c:v>2.2809596338512113</c:v>
                </c:pt>
                <c:pt idx="168">
                  <c:v>-1.8752128344143626</c:v>
                </c:pt>
                <c:pt idx="169">
                  <c:v>-0.48539411140344713</c:v>
                </c:pt>
                <c:pt idx="170">
                  <c:v>1.4046874312267659</c:v>
                </c:pt>
                <c:pt idx="171">
                  <c:v>-2.9450125553966231</c:v>
                </c:pt>
                <c:pt idx="172">
                  <c:v>3.7982936371010458</c:v>
                </c:pt>
                <c:pt idx="173">
                  <c:v>-3.7792302064969907</c:v>
                </c:pt>
                <c:pt idx="174">
                  <c:v>4.0246061590410394</c:v>
                </c:pt>
                <c:pt idx="175">
                  <c:v>-2.1725896193323937</c:v>
                </c:pt>
                <c:pt idx="176">
                  <c:v>1.5507262806875552</c:v>
                </c:pt>
                <c:pt idx="177">
                  <c:v>1.427749377506609</c:v>
                </c:pt>
                <c:pt idx="178">
                  <c:v>-2.148325408536286</c:v>
                </c:pt>
                <c:pt idx="179">
                  <c:v>4.2518177684635479</c:v>
                </c:pt>
                <c:pt idx="180">
                  <c:v>-3.5812351640251081</c:v>
                </c:pt>
                <c:pt idx="181">
                  <c:v>3.1383794343149267</c:v>
                </c:pt>
                <c:pt idx="182">
                  <c:v>-1.0529922304681707</c:v>
                </c:pt>
                <c:pt idx="183">
                  <c:v>-1.091339472637741</c:v>
                </c:pt>
                <c:pt idx="184">
                  <c:v>2.5329653283769398</c:v>
                </c:pt>
                <c:pt idx="185">
                  <c:v>-4.1939789956793501</c:v>
                </c:pt>
                <c:pt idx="186">
                  <c:v>3.4897585891011023</c:v>
                </c:pt>
                <c:pt idx="187">
                  <c:v>-3.8153641364351851</c:v>
                </c:pt>
                <c:pt idx="188">
                  <c:v>1.5057766313013237</c:v>
                </c:pt>
                <c:pt idx="189">
                  <c:v>-1.0314543214617098</c:v>
                </c:pt>
                <c:pt idx="190">
                  <c:v>-1.4720920133002884</c:v>
                </c:pt>
                <c:pt idx="191">
                  <c:v>2.0764311843851986</c:v>
                </c:pt>
                <c:pt idx="192">
                  <c:v>-3.6216549156329441</c:v>
                </c:pt>
                <c:pt idx="193">
                  <c:v>3.9199808543819614</c:v>
                </c:pt>
                <c:pt idx="194">
                  <c:v>-3.7816931237698257</c:v>
                </c:pt>
                <c:pt idx="195">
                  <c:v>3.4276080911889251</c:v>
                </c:pt>
                <c:pt idx="196">
                  <c:v>-1.4293949915803648</c:v>
                </c:pt>
                <c:pt idx="197">
                  <c:v>0.49271860148582841</c:v>
                </c:pt>
                <c:pt idx="198">
                  <c:v>2.4007231544969136</c:v>
                </c:pt>
                <c:pt idx="199">
                  <c:v>-2.8241908274167855</c:v>
                </c:pt>
                <c:pt idx="200">
                  <c:v>4.5127772022184631</c:v>
                </c:pt>
                <c:pt idx="201">
                  <c:v>-3.115713583660408</c:v>
                </c:pt>
                <c:pt idx="202">
                  <c:v>2.3899260790482755</c:v>
                </c:pt>
                <c:pt idx="203">
                  <c:v>0.15513934741682225</c:v>
                </c:pt>
                <c:pt idx="204">
                  <c:v>-1.9673039267335233</c:v>
                </c:pt>
                <c:pt idx="205">
                  <c:v>3.3101289116746702</c:v>
                </c:pt>
                <c:pt idx="206">
                  <c:v>-4.2792730212730543</c:v>
                </c:pt>
                <c:pt idx="207">
                  <c:v>3.2821292582355088</c:v>
                </c:pt>
                <c:pt idx="208">
                  <c:v>-3.1251374740767783</c:v>
                </c:pt>
                <c:pt idx="209">
                  <c:v>0.652484447925049</c:v>
                </c:pt>
                <c:pt idx="210">
                  <c:v>-0.13834560878590291</c:v>
                </c:pt>
                <c:pt idx="211">
                  <c:v>-2.3789673180968673</c:v>
                </c:pt>
                <c:pt idx="212">
                  <c:v>2.6434936268975351</c:v>
                </c:pt>
                <c:pt idx="213">
                  <c:v>-4.1140120329434247</c:v>
                </c:pt>
                <c:pt idx="214">
                  <c:v>3.836813551769271</c:v>
                </c:pt>
                <c:pt idx="215">
                  <c:v>-3.5751167172121647</c:v>
                </c:pt>
                <c:pt idx="216">
                  <c:v>2.6280049782395269</c:v>
                </c:pt>
                <c:pt idx="217">
                  <c:v>-0.586976298771543</c:v>
                </c:pt>
                <c:pt idx="218">
                  <c:v>-0.60118705363044866</c:v>
                </c:pt>
                <c:pt idx="219">
                  <c:v>3.2235033579468499</c:v>
                </c:pt>
                <c:pt idx="220">
                  <c:v>-3.2898901347650114</c:v>
                </c:pt>
                <c:pt idx="221">
                  <c:v>4.4483524522143432</c:v>
                </c:pt>
                <c:pt idx="222">
                  <c:v>-2.4042388519805522</c:v>
                </c:pt>
                <c:pt idx="223">
                  <c:v>1.4687950727716801</c:v>
                </c:pt>
                <c:pt idx="224">
                  <c:v>1.3512712642863964</c:v>
                </c:pt>
                <c:pt idx="225">
                  <c:v>-2.6953387502830788</c:v>
                </c:pt>
                <c:pt idx="226">
                  <c:v>3.8530755201907065</c:v>
                </c:pt>
                <c:pt idx="227">
                  <c:v>-4.088223080920903</c:v>
                </c:pt>
                <c:pt idx="228">
                  <c:v>2.8738029210903631</c:v>
                </c:pt>
                <c:pt idx="229">
                  <c:v>-2.2628443675326899</c:v>
                </c:pt>
                <c:pt idx="230">
                  <c:v>-0.23017371976542145</c:v>
                </c:pt>
                <c:pt idx="231">
                  <c:v>0.75771625915901086</c:v>
                </c:pt>
                <c:pt idx="232">
                  <c:v>-3.1609130244238948</c:v>
                </c:pt>
                <c:pt idx="233">
                  <c:v>3.0780260721207724</c:v>
                </c:pt>
                <c:pt idx="234">
                  <c:v>-4.3951472846289779</c:v>
                </c:pt>
                <c:pt idx="235">
                  <c:v>3.5495438421733838</c:v>
                </c:pt>
                <c:pt idx="236">
                  <c:v>-3.1658994647063019</c:v>
                </c:pt>
                <c:pt idx="237">
                  <c:v>1.6671177256903558</c:v>
                </c:pt>
                <c:pt idx="238">
                  <c:v>0.30400912237685795</c:v>
                </c:pt>
                <c:pt idx="239">
                  <c:v>-1.6586891442935976</c:v>
                </c:pt>
                <c:pt idx="240">
                  <c:v>3.8341885789988637</c:v>
                </c:pt>
                <c:pt idx="241">
                  <c:v>-3.5068987099137003</c:v>
                </c:pt>
                <c:pt idx="242">
                  <c:v>4.0610344000032903</c:v>
                </c:pt>
                <c:pt idx="243">
                  <c:v>-1.4991738644008272</c:v>
                </c:pt>
                <c:pt idx="244">
                  <c:v>0.44803536077966871</c:v>
                </c:pt>
                <c:pt idx="245">
                  <c:v>2.4487703061914141</c:v>
                </c:pt>
                <c:pt idx="246">
                  <c:v>-3.223971904835309</c:v>
                </c:pt>
                <c:pt idx="247">
                  <c:v>4.1325259534164935</c:v>
                </c:pt>
                <c:pt idx="248">
                  <c:v>-3.6391010164167699</c:v>
                </c:pt>
                <c:pt idx="249">
                  <c:v>2.2962248536987842</c:v>
                </c:pt>
                <c:pt idx="250">
                  <c:v>-1.2807726183332262</c:v>
                </c:pt>
                <c:pt idx="251">
                  <c:v>-1.0939559550237474</c:v>
                </c:pt>
                <c:pt idx="252">
                  <c:v>1.6114381084392659</c:v>
                </c:pt>
                <c:pt idx="253">
                  <c:v>-3.7794607616576306</c:v>
                </c:pt>
                <c:pt idx="254">
                  <c:v>3.3581279405509874</c:v>
                </c:pt>
                <c:pt idx="255">
                  <c:v>-4.4480044961037297</c:v>
                </c:pt>
                <c:pt idx="256">
                  <c:v>3.0691921480566804</c:v>
                </c:pt>
                <c:pt idx="257">
                  <c:v>-2.572291730261492</c:v>
                </c:pt>
                <c:pt idx="258">
                  <c:v>0.59771710317872251</c:v>
                </c:pt>
                <c:pt idx="259">
                  <c:v>1.1867293205791927</c:v>
                </c:pt>
                <c:pt idx="260">
                  <c:v>-2.6072286355256762</c:v>
                </c:pt>
                <c:pt idx="261">
                  <c:v>4.1835846171443203</c:v>
                </c:pt>
                <c:pt idx="262">
                  <c:v>-3.4554467099972319</c:v>
                </c:pt>
                <c:pt idx="263">
                  <c:v>3.378085203753967</c:v>
                </c:pt>
                <c:pt idx="264">
                  <c:v>-0.46899267592105531</c:v>
                </c:pt>
                <c:pt idx="265">
                  <c:v>-0.5928988053051869</c:v>
                </c:pt>
                <c:pt idx="266">
                  <c:v>3.3700088502024395</c:v>
                </c:pt>
                <c:pt idx="267">
                  <c:v>-3.5183311021058921</c:v>
                </c:pt>
                <c:pt idx="268">
                  <c:v>4.1382036045363204</c:v>
                </c:pt>
                <c:pt idx="269">
                  <c:v>-2.9660114962097759</c:v>
                </c:pt>
                <c:pt idx="270">
                  <c:v>1.5891676643260357</c:v>
                </c:pt>
                <c:pt idx="271">
                  <c:v>-0.23554466343800887</c:v>
                </c:pt>
                <c:pt idx="272">
                  <c:v>-1.8935206305576311</c:v>
                </c:pt>
                <c:pt idx="273">
                  <c:v>2.3805121327124965</c:v>
                </c:pt>
                <c:pt idx="274">
                  <c:v>-4.2043013209996207</c:v>
                </c:pt>
                <c:pt idx="275">
                  <c:v>3.468782561170169</c:v>
                </c:pt>
                <c:pt idx="276">
                  <c:v>-4.2665497127998417</c:v>
                </c:pt>
                <c:pt idx="277">
                  <c:v>2.4171101988941799</c:v>
                </c:pt>
                <c:pt idx="278">
                  <c:v>-1.8242163202103472</c:v>
                </c:pt>
                <c:pt idx="279">
                  <c:v>-0.51836853444863473</c:v>
                </c:pt>
                <c:pt idx="280">
                  <c:v>2.0016656519112614</c:v>
                </c:pt>
                <c:pt idx="281">
                  <c:v>-3.3793445264454109</c:v>
                </c:pt>
                <c:pt idx="282">
                  <c:v>4.239767902498258</c:v>
                </c:pt>
                <c:pt idx="283">
                  <c:v>-3.1368370826074914</c:v>
                </c:pt>
                <c:pt idx="284">
                  <c:v>2.449707849550613</c:v>
                </c:pt>
                <c:pt idx="285">
                  <c:v>0.607350682157901</c:v>
                </c:pt>
                <c:pt idx="286">
                  <c:v>-1.5748412041595889</c:v>
                </c:pt>
                <c:pt idx="287">
                  <c:v>4.0520686115522047</c:v>
                </c:pt>
                <c:pt idx="288">
                  <c:v>-3.5620318592258173</c:v>
                </c:pt>
                <c:pt idx="289">
                  <c:v>3.8782667963467947</c:v>
                </c:pt>
                <c:pt idx="290">
                  <c:v>-2.1156988981909164</c:v>
                </c:pt>
                <c:pt idx="291">
                  <c:v>0.79772140334644082</c:v>
                </c:pt>
                <c:pt idx="292">
                  <c:v>0.81506902454484798</c:v>
                </c:pt>
                <c:pt idx="293">
                  <c:v>-2.5884538044601442</c:v>
                </c:pt>
                <c:pt idx="294">
                  <c:v>3.0272872548749201</c:v>
                </c:pt>
                <c:pt idx="295">
                  <c:v>-4.4144705836764278</c:v>
                </c:pt>
                <c:pt idx="296">
                  <c:v>3.4026209405224161</c:v>
                </c:pt>
                <c:pt idx="297">
                  <c:v>-3.8565230073389967</c:v>
                </c:pt>
                <c:pt idx="298">
                  <c:v>1.6245848022701308</c:v>
                </c:pt>
                <c:pt idx="299">
                  <c:v>-0.9623479742571508</c:v>
                </c:pt>
                <c:pt idx="300">
                  <c:v>-1.6134843092510589</c:v>
                </c:pt>
                <c:pt idx="301">
                  <c:v>2.6907074440191852</c:v>
                </c:pt>
                <c:pt idx="302">
                  <c:v>-3.9180387116570436</c:v>
                </c:pt>
                <c:pt idx="303">
                  <c:v>3.9915354531498646</c:v>
                </c:pt>
                <c:pt idx="304">
                  <c:v>-2.5739555083231211</c:v>
                </c:pt>
                <c:pt idx="305">
                  <c:v>1.3451837739902412</c:v>
                </c:pt>
                <c:pt idx="306">
                  <c:v>1.6470184621016295</c:v>
                </c:pt>
                <c:pt idx="307">
                  <c:v>-2.4253482102164883</c:v>
                </c:pt>
                <c:pt idx="308">
                  <c:v>4.4509855771832134</c:v>
                </c:pt>
                <c:pt idx="309">
                  <c:v>-3.3574422350148678</c:v>
                </c:pt>
                <c:pt idx="310">
                  <c:v>3.3774872827363662</c:v>
                </c:pt>
                <c:pt idx="311">
                  <c:v>-1.1437968527126328</c:v>
                </c:pt>
                <c:pt idx="312">
                  <c:v>-3.0687533750397844E-2</c:v>
                </c:pt>
                <c:pt idx="313">
                  <c:v>1.8151057126247854</c:v>
                </c:pt>
                <c:pt idx="314">
                  <c:v>-3.1448862033487881</c:v>
                </c:pt>
                <c:pt idx="315">
                  <c:v>3.5202160707324621</c:v>
                </c:pt>
                <c:pt idx="316">
                  <c:v>-4.399189742972986</c:v>
                </c:pt>
                <c:pt idx="317">
                  <c:v>3.1604849811582918</c:v>
                </c:pt>
                <c:pt idx="318">
                  <c:v>-3.2357222573032485</c:v>
                </c:pt>
                <c:pt idx="319">
                  <c:v>0.73191770856506544</c:v>
                </c:pt>
                <c:pt idx="320">
                  <c:v>-3.6394771028143369E-2</c:v>
                </c:pt>
                <c:pt idx="321">
                  <c:v>-2.6181098372578901</c:v>
                </c:pt>
                <c:pt idx="322">
                  <c:v>3.2015825093158279</c:v>
                </c:pt>
                <c:pt idx="323">
                  <c:v>-4.1816737074114299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82656"/>
        <c:axId val="416991280"/>
      </c:scatterChart>
      <c:valAx>
        <c:axId val="416990104"/>
        <c:scaling>
          <c:orientation val="minMax"/>
          <c:max val="200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16990888"/>
        <c:crosses val="autoZero"/>
        <c:crossBetween val="midCat"/>
      </c:valAx>
      <c:valAx>
        <c:axId val="416990888"/>
        <c:scaling>
          <c:orientation val="minMax"/>
          <c:max val="6"/>
          <c:min val="-6"/>
        </c:scaling>
        <c:delete val="0"/>
        <c:axPos val="l"/>
        <c:numFmt formatCode="General" sourceLinked="1"/>
        <c:majorTickMark val="out"/>
        <c:minorTickMark val="none"/>
        <c:tickLblPos val="nextTo"/>
        <c:crossAx val="416990104"/>
        <c:crosses val="autoZero"/>
        <c:crossBetween val="midCat"/>
      </c:valAx>
      <c:valAx>
        <c:axId val="416991280"/>
        <c:scaling>
          <c:orientation val="minMax"/>
          <c:max val="15"/>
          <c:min val="-15"/>
        </c:scaling>
        <c:delete val="0"/>
        <c:axPos val="r"/>
        <c:numFmt formatCode="General" sourceLinked="1"/>
        <c:majorTickMark val="out"/>
        <c:minorTickMark val="none"/>
        <c:tickLblPos val="nextTo"/>
        <c:crossAx val="416982656"/>
        <c:crosses val="max"/>
        <c:crossBetween val="midCat"/>
      </c:valAx>
      <c:valAx>
        <c:axId val="41698265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169912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1607237183126409"/>
          <c:y val="5.9801326917468652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cc_best!$E$11:$E$338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cc_best!$F$11:$F$338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22328"/>
        <c:axId val="419517232"/>
      </c:scatterChart>
      <c:valAx>
        <c:axId val="419522328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19517232"/>
        <c:crosses val="autoZero"/>
        <c:crossBetween val="midCat"/>
      </c:valAx>
      <c:valAx>
        <c:axId val="419517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95223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cc_best!$I$13:$I$336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cc_best!$J$13:$J$336</c:f>
              <c:numCache>
                <c:formatCode>General</c:formatCode>
                <c:ptCount val="324"/>
                <c:pt idx="0">
                  <c:v>-0.43699643653402542</c:v>
                </c:pt>
                <c:pt idx="1">
                  <c:v>-1.667646137630225</c:v>
                </c:pt>
                <c:pt idx="2">
                  <c:v>2.1544317220364908</c:v>
                </c:pt>
                <c:pt idx="3">
                  <c:v>0.78159448967622669</c:v>
                </c:pt>
                <c:pt idx="4">
                  <c:v>4.4483928780044391</c:v>
                </c:pt>
                <c:pt idx="5">
                  <c:v>1.1626203248338642</c:v>
                </c:pt>
                <c:pt idx="6">
                  <c:v>2.6445932753328281</c:v>
                </c:pt>
                <c:pt idx="7">
                  <c:v>0.64317008828905919</c:v>
                </c:pt>
                <c:pt idx="8">
                  <c:v>0.4745458356235428</c:v>
                </c:pt>
                <c:pt idx="9">
                  <c:v>-0.32508235826278942</c:v>
                </c:pt>
                <c:pt idx="10">
                  <c:v>0.45840689697430864</c:v>
                </c:pt>
                <c:pt idx="11">
                  <c:v>0.50008222371312283</c:v>
                </c:pt>
                <c:pt idx="12">
                  <c:v>-2.3648149769070295</c:v>
                </c:pt>
                <c:pt idx="13">
                  <c:v>-3.1302556161335611</c:v>
                </c:pt>
                <c:pt idx="14">
                  <c:v>-0.1559512393388085</c:v>
                </c:pt>
                <c:pt idx="15">
                  <c:v>-1.9545924183879146</c:v>
                </c:pt>
                <c:pt idx="16">
                  <c:v>-1.0048610091096108</c:v>
                </c:pt>
                <c:pt idx="17">
                  <c:v>-0.91173531661709684</c:v>
                </c:pt>
                <c:pt idx="18">
                  <c:v>1.2615200056384122</c:v>
                </c:pt>
                <c:pt idx="19">
                  <c:v>1.2560282621325816</c:v>
                </c:pt>
                <c:pt idx="20">
                  <c:v>1.7165333778725573</c:v>
                </c:pt>
                <c:pt idx="21">
                  <c:v>-2.228815270670037E-3</c:v>
                </c:pt>
                <c:pt idx="22">
                  <c:v>1.7558477089804749</c:v>
                </c:pt>
                <c:pt idx="23">
                  <c:v>-0.37123202965587737</c:v>
                </c:pt>
                <c:pt idx="24">
                  <c:v>0.28098319536946659</c:v>
                </c:pt>
                <c:pt idx="25">
                  <c:v>-0.60661527539389537</c:v>
                </c:pt>
                <c:pt idx="26">
                  <c:v>-1.1442351031840901</c:v>
                </c:pt>
                <c:pt idx="27">
                  <c:v>3.4783987909962595</c:v>
                </c:pt>
                <c:pt idx="28">
                  <c:v>-0.18740937794437929</c:v>
                </c:pt>
                <c:pt idx="29">
                  <c:v>1.1526212681697929</c:v>
                </c:pt>
                <c:pt idx="30">
                  <c:v>1.270823567209546</c:v>
                </c:pt>
                <c:pt idx="31">
                  <c:v>0.28843579795072694</c:v>
                </c:pt>
                <c:pt idx="32">
                  <c:v>-1.5798534068957255</c:v>
                </c:pt>
                <c:pt idx="33">
                  <c:v>0.15935031191109728</c:v>
                </c:pt>
                <c:pt idx="34">
                  <c:v>1.0131012871160321E-2</c:v>
                </c:pt>
                <c:pt idx="35">
                  <c:v>-2.1759357328525133</c:v>
                </c:pt>
                <c:pt idx="36">
                  <c:v>2.466673903700237</c:v>
                </c:pt>
                <c:pt idx="37">
                  <c:v>-3.3132056741290512</c:v>
                </c:pt>
                <c:pt idx="38">
                  <c:v>1.4437529455837259</c:v>
                </c:pt>
                <c:pt idx="39">
                  <c:v>0.91680910396945148</c:v>
                </c:pt>
                <c:pt idx="40">
                  <c:v>1.1921115987288464</c:v>
                </c:pt>
                <c:pt idx="41">
                  <c:v>1.5630162623857675</c:v>
                </c:pt>
                <c:pt idx="42">
                  <c:v>3.6024143765610273</c:v>
                </c:pt>
                <c:pt idx="43">
                  <c:v>1.0001949736032734</c:v>
                </c:pt>
                <c:pt idx="44">
                  <c:v>6.4631004947426973</c:v>
                </c:pt>
                <c:pt idx="45">
                  <c:v>-4.8525291095076266</c:v>
                </c:pt>
                <c:pt idx="46">
                  <c:v>5.134926648529655</c:v>
                </c:pt>
                <c:pt idx="47">
                  <c:v>-1.3694607668492162</c:v>
                </c:pt>
                <c:pt idx="48">
                  <c:v>0.18977432279463191</c:v>
                </c:pt>
                <c:pt idx="49">
                  <c:v>1.24476473284448</c:v>
                </c:pt>
                <c:pt idx="50">
                  <c:v>-0.35804290624673635</c:v>
                </c:pt>
                <c:pt idx="51">
                  <c:v>-2.3298818679222375</c:v>
                </c:pt>
                <c:pt idx="52">
                  <c:v>-2.3541850752461277</c:v>
                </c:pt>
                <c:pt idx="53">
                  <c:v>2.329997344687492</c:v>
                </c:pt>
                <c:pt idx="54">
                  <c:v>-1.2243138455443836</c:v>
                </c:pt>
                <c:pt idx="55">
                  <c:v>2.9559131794447708</c:v>
                </c:pt>
                <c:pt idx="56">
                  <c:v>-1.139519860339</c:v>
                </c:pt>
                <c:pt idx="57">
                  <c:v>0.2179849538617567</c:v>
                </c:pt>
                <c:pt idx="58">
                  <c:v>1.9334991526823049</c:v>
                </c:pt>
                <c:pt idx="59">
                  <c:v>1.5888075067674852</c:v>
                </c:pt>
                <c:pt idx="60">
                  <c:v>1.8075712999159741</c:v>
                </c:pt>
                <c:pt idx="61">
                  <c:v>1.4773874123515467</c:v>
                </c:pt>
                <c:pt idx="62">
                  <c:v>0.42859761652954215</c:v>
                </c:pt>
                <c:pt idx="63">
                  <c:v>-4.4174657443881449</c:v>
                </c:pt>
                <c:pt idx="64">
                  <c:v>2.5426566505734214</c:v>
                </c:pt>
                <c:pt idx="65">
                  <c:v>-0.21746356852340956</c:v>
                </c:pt>
                <c:pt idx="66">
                  <c:v>-1.0410765165608238E-2</c:v>
                </c:pt>
                <c:pt idx="67">
                  <c:v>5.4818882435579379</c:v>
                </c:pt>
                <c:pt idx="68">
                  <c:v>-8.1018911245500647E-2</c:v>
                </c:pt>
                <c:pt idx="69">
                  <c:v>2.4756665021148603</c:v>
                </c:pt>
                <c:pt idx="70">
                  <c:v>2.7155209306376085</c:v>
                </c:pt>
                <c:pt idx="71">
                  <c:v>4.5157884465046871E-3</c:v>
                </c:pt>
                <c:pt idx="72">
                  <c:v>-1.0998317234579023</c:v>
                </c:pt>
                <c:pt idx="73">
                  <c:v>-2.5434238309367729</c:v>
                </c:pt>
                <c:pt idx="74">
                  <c:v>-0.89080571676256459</c:v>
                </c:pt>
                <c:pt idx="75">
                  <c:v>-7.415626540685949E-3</c:v>
                </c:pt>
                <c:pt idx="76">
                  <c:v>-0.4739601665660621</c:v>
                </c:pt>
                <c:pt idx="77">
                  <c:v>-2.7479756480798194</c:v>
                </c:pt>
                <c:pt idx="78">
                  <c:v>-0.93138697266832027</c:v>
                </c:pt>
                <c:pt idx="79">
                  <c:v>0.55461193574318968</c:v>
                </c:pt>
                <c:pt idx="80">
                  <c:v>-3.4282451885698491</c:v>
                </c:pt>
                <c:pt idx="81">
                  <c:v>6.3257843841413601</c:v>
                </c:pt>
                <c:pt idx="82">
                  <c:v>-1.6165196635656482</c:v>
                </c:pt>
                <c:pt idx="83">
                  <c:v>0.30578769581847443</c:v>
                </c:pt>
                <c:pt idx="84">
                  <c:v>1.8594316989252375</c:v>
                </c:pt>
                <c:pt idx="85">
                  <c:v>-1.621293450829834</c:v>
                </c:pt>
                <c:pt idx="86">
                  <c:v>4.8723690522531475</c:v>
                </c:pt>
                <c:pt idx="87">
                  <c:v>0.98804394745015234</c:v>
                </c:pt>
                <c:pt idx="88">
                  <c:v>-0.43664103826753381</c:v>
                </c:pt>
                <c:pt idx="89">
                  <c:v>-2.0416405809854812</c:v>
                </c:pt>
                <c:pt idx="90">
                  <c:v>-1.8344055870071405</c:v>
                </c:pt>
                <c:pt idx="91">
                  <c:v>0.35695538783706371</c:v>
                </c:pt>
                <c:pt idx="92">
                  <c:v>0.55450660671136065</c:v>
                </c:pt>
                <c:pt idx="93">
                  <c:v>7.2883288599056488</c:v>
                </c:pt>
                <c:pt idx="94">
                  <c:v>-2.0476070424282371</c:v>
                </c:pt>
                <c:pt idx="95">
                  <c:v>6.375811021275231</c:v>
                </c:pt>
                <c:pt idx="96">
                  <c:v>2.6271709075638356</c:v>
                </c:pt>
                <c:pt idx="97">
                  <c:v>-3.1811920692877704</c:v>
                </c:pt>
                <c:pt idx="98">
                  <c:v>4.8359243384226626E-2</c:v>
                </c:pt>
                <c:pt idx="99">
                  <c:v>-1.0729344320227439</c:v>
                </c:pt>
                <c:pt idx="100">
                  <c:v>4.0164787559843695</c:v>
                </c:pt>
                <c:pt idx="101">
                  <c:v>-1.8592318082988539</c:v>
                </c:pt>
                <c:pt idx="102">
                  <c:v>-5.9235808548202353</c:v>
                </c:pt>
                <c:pt idx="103">
                  <c:v>2.5081564295551244</c:v>
                </c:pt>
                <c:pt idx="104">
                  <c:v>-3.3090394252784856</c:v>
                </c:pt>
                <c:pt idx="105">
                  <c:v>-1.409598956093381</c:v>
                </c:pt>
                <c:pt idx="106">
                  <c:v>0.26132111946658176</c:v>
                </c:pt>
                <c:pt idx="107">
                  <c:v>-2.0141789065337434</c:v>
                </c:pt>
                <c:pt idx="108">
                  <c:v>-0.3116074674680841</c:v>
                </c:pt>
                <c:pt idx="109">
                  <c:v>2.92698314094471</c:v>
                </c:pt>
                <c:pt idx="110">
                  <c:v>-2.3184731768121738</c:v>
                </c:pt>
                <c:pt idx="111">
                  <c:v>-3.1371109628155889</c:v>
                </c:pt>
                <c:pt idx="112">
                  <c:v>-0.97430942918269348</c:v>
                </c:pt>
                <c:pt idx="113">
                  <c:v>0.53547446699236112</c:v>
                </c:pt>
                <c:pt idx="114">
                  <c:v>-1.1010052491762503</c:v>
                </c:pt>
                <c:pt idx="115">
                  <c:v>1.869969899608777</c:v>
                </c:pt>
                <c:pt idx="116">
                  <c:v>1.3231286535465934</c:v>
                </c:pt>
                <c:pt idx="117">
                  <c:v>1.5187700298900744</c:v>
                </c:pt>
                <c:pt idx="118">
                  <c:v>4.0399632377187078E-2</c:v>
                </c:pt>
                <c:pt idx="119">
                  <c:v>0.86263455494893326</c:v>
                </c:pt>
                <c:pt idx="120">
                  <c:v>0.95372364046049651</c:v>
                </c:pt>
                <c:pt idx="121">
                  <c:v>-7.98312982788193</c:v>
                </c:pt>
                <c:pt idx="122">
                  <c:v>-1.2497718047190967</c:v>
                </c:pt>
                <c:pt idx="123">
                  <c:v>-0.502671773039431</c:v>
                </c:pt>
                <c:pt idx="124">
                  <c:v>0.33663710911397415</c:v>
                </c:pt>
                <c:pt idx="125">
                  <c:v>-2.1750293835634231</c:v>
                </c:pt>
                <c:pt idx="126">
                  <c:v>4.0324296985173476</c:v>
                </c:pt>
                <c:pt idx="127">
                  <c:v>-1.2053041967581435</c:v>
                </c:pt>
                <c:pt idx="128">
                  <c:v>-1.5882144628473087</c:v>
                </c:pt>
                <c:pt idx="129">
                  <c:v>-0.12961358169186488</c:v>
                </c:pt>
                <c:pt idx="130">
                  <c:v>-0.78395359880816384</c:v>
                </c:pt>
                <c:pt idx="131">
                  <c:v>0.58861610339655335</c:v>
                </c:pt>
                <c:pt idx="132">
                  <c:v>2.047136244099578</c:v>
                </c:pt>
                <c:pt idx="133">
                  <c:v>4.8471513891751066</c:v>
                </c:pt>
                <c:pt idx="134">
                  <c:v>-5.1437380713965464</c:v>
                </c:pt>
                <c:pt idx="135">
                  <c:v>-0.56937978296676506</c:v>
                </c:pt>
                <c:pt idx="136">
                  <c:v>-1.0325849502423661</c:v>
                </c:pt>
                <c:pt idx="137">
                  <c:v>-2.5871948311727442</c:v>
                </c:pt>
                <c:pt idx="138">
                  <c:v>-1.1314666179521138</c:v>
                </c:pt>
                <c:pt idx="139">
                  <c:v>-0.35332961715697309</c:v>
                </c:pt>
                <c:pt idx="140">
                  <c:v>2.3298135811493714</c:v>
                </c:pt>
                <c:pt idx="141">
                  <c:v>5.264804537854606</c:v>
                </c:pt>
                <c:pt idx="142">
                  <c:v>8.5184969158147439E-2</c:v>
                </c:pt>
                <c:pt idx="143">
                  <c:v>2.9021716115054481</c:v>
                </c:pt>
                <c:pt idx="144">
                  <c:v>-1.1290065715445041</c:v>
                </c:pt>
                <c:pt idx="145">
                  <c:v>-0.12409262046531844</c:v>
                </c:pt>
                <c:pt idx="146">
                  <c:v>-1.4650292406089609</c:v>
                </c:pt>
                <c:pt idx="147">
                  <c:v>0.48125533558172667</c:v>
                </c:pt>
                <c:pt idx="148">
                  <c:v>-0.83071127619679319</c:v>
                </c:pt>
                <c:pt idx="149">
                  <c:v>1.227625531669964</c:v>
                </c:pt>
                <c:pt idx="150">
                  <c:v>-2.9405901796759379</c:v>
                </c:pt>
                <c:pt idx="151">
                  <c:v>2.323460983060341</c:v>
                </c:pt>
                <c:pt idx="152">
                  <c:v>2.6110194743003814</c:v>
                </c:pt>
                <c:pt idx="153">
                  <c:v>4.4672782734324112</c:v>
                </c:pt>
                <c:pt idx="154">
                  <c:v>-6.7036211050389705E-2</c:v>
                </c:pt>
                <c:pt idx="155">
                  <c:v>-1.808403704365819</c:v>
                </c:pt>
                <c:pt idx="156">
                  <c:v>-2.6490218317308676</c:v>
                </c:pt>
                <c:pt idx="157">
                  <c:v>-0.36607345703547245</c:v>
                </c:pt>
                <c:pt idx="158">
                  <c:v>-0.71383298228600511</c:v>
                </c:pt>
                <c:pt idx="159">
                  <c:v>-1.4676397659724842</c:v>
                </c:pt>
                <c:pt idx="160">
                  <c:v>1.5584481157707075</c:v>
                </c:pt>
                <c:pt idx="161">
                  <c:v>2.2856432117228733</c:v>
                </c:pt>
                <c:pt idx="162">
                  <c:v>0.58771832654134282</c:v>
                </c:pt>
                <c:pt idx="163">
                  <c:v>3.2608211282499395</c:v>
                </c:pt>
                <c:pt idx="164">
                  <c:v>-4.6359597167002145</c:v>
                </c:pt>
                <c:pt idx="165">
                  <c:v>1.5564862472511136</c:v>
                </c:pt>
                <c:pt idx="166">
                  <c:v>-0.70747428368016818</c:v>
                </c:pt>
                <c:pt idx="167">
                  <c:v>-2.3880130837642688</c:v>
                </c:pt>
                <c:pt idx="168">
                  <c:v>12.185117710980165</c:v>
                </c:pt>
                <c:pt idx="169">
                  <c:v>-0.97895284784338132</c:v>
                </c:pt>
                <c:pt idx="170">
                  <c:v>3.5839896912137528</c:v>
                </c:pt>
                <c:pt idx="171">
                  <c:v>1.8356175846747758E-2</c:v>
                </c:pt>
                <c:pt idx="172">
                  <c:v>-0.1352837627005698</c:v>
                </c:pt>
                <c:pt idx="173">
                  <c:v>2.0243647490702088</c:v>
                </c:pt>
                <c:pt idx="174">
                  <c:v>1.6104272182049926</c:v>
                </c:pt>
                <c:pt idx="175">
                  <c:v>2.4940592663190002</c:v>
                </c:pt>
                <c:pt idx="176">
                  <c:v>2.375104056202018</c:v>
                </c:pt>
                <c:pt idx="177">
                  <c:v>-3.5747660068615632</c:v>
                </c:pt>
                <c:pt idx="178">
                  <c:v>0.30558381248344929</c:v>
                </c:pt>
                <c:pt idx="179">
                  <c:v>1.2963332396272405</c:v>
                </c:pt>
                <c:pt idx="180">
                  <c:v>0.18474954820281991</c:v>
                </c:pt>
                <c:pt idx="181">
                  <c:v>-3.3765243339547615</c:v>
                </c:pt>
                <c:pt idx="182">
                  <c:v>6.4445715022373111</c:v>
                </c:pt>
                <c:pt idx="183">
                  <c:v>0.80670286222272358</c:v>
                </c:pt>
                <c:pt idx="184">
                  <c:v>1.0492807567338871</c:v>
                </c:pt>
                <c:pt idx="185">
                  <c:v>0.96166700711671438</c:v>
                </c:pt>
                <c:pt idx="186">
                  <c:v>-1.0647554233165495</c:v>
                </c:pt>
                <c:pt idx="187">
                  <c:v>-3.8703904575901995</c:v>
                </c:pt>
                <c:pt idx="188">
                  <c:v>1.793523969289148</c:v>
                </c:pt>
                <c:pt idx="189">
                  <c:v>-0.60079313497189635</c:v>
                </c:pt>
                <c:pt idx="190">
                  <c:v>2.2919338504812772</c:v>
                </c:pt>
                <c:pt idx="191">
                  <c:v>-0.12204179072835916</c:v>
                </c:pt>
                <c:pt idx="192">
                  <c:v>-1.6726714111980974</c:v>
                </c:pt>
                <c:pt idx="193">
                  <c:v>1.3866255417189763</c:v>
                </c:pt>
                <c:pt idx="194">
                  <c:v>-0.1969350368170284</c:v>
                </c:pt>
                <c:pt idx="195">
                  <c:v>6.8986613360870122</c:v>
                </c:pt>
                <c:pt idx="196">
                  <c:v>-1.5961909612080458</c:v>
                </c:pt>
                <c:pt idx="197">
                  <c:v>0.14494210882320435</c:v>
                </c:pt>
                <c:pt idx="198">
                  <c:v>-0.63670462486572843</c:v>
                </c:pt>
                <c:pt idx="199">
                  <c:v>4.1603774126803605</c:v>
                </c:pt>
                <c:pt idx="200">
                  <c:v>6.578038599718945</c:v>
                </c:pt>
                <c:pt idx="201">
                  <c:v>-1.1879359354230421</c:v>
                </c:pt>
                <c:pt idx="202">
                  <c:v>0.69340614569340797</c:v>
                </c:pt>
                <c:pt idx="203">
                  <c:v>2.2870777737293064</c:v>
                </c:pt>
                <c:pt idx="204">
                  <c:v>0.45166456528037724</c:v>
                </c:pt>
                <c:pt idx="205">
                  <c:v>4.5462256335323774</c:v>
                </c:pt>
                <c:pt idx="206">
                  <c:v>-0.4815623204928634</c:v>
                </c:pt>
                <c:pt idx="207">
                  <c:v>-8.3011858705030916E-2</c:v>
                </c:pt>
                <c:pt idx="208">
                  <c:v>-0.32930451268147354</c:v>
                </c:pt>
                <c:pt idx="209">
                  <c:v>-0.70465539848881709</c:v>
                </c:pt>
                <c:pt idx="210">
                  <c:v>-4.1247358733089374</c:v>
                </c:pt>
                <c:pt idx="211">
                  <c:v>-1.6576018113907098</c:v>
                </c:pt>
                <c:pt idx="212">
                  <c:v>9.9895978435208477</c:v>
                </c:pt>
                <c:pt idx="213">
                  <c:v>-1.503533389578003</c:v>
                </c:pt>
                <c:pt idx="214">
                  <c:v>0.12706932697273729</c:v>
                </c:pt>
                <c:pt idx="215">
                  <c:v>0.30000667856505903</c:v>
                </c:pt>
                <c:pt idx="216">
                  <c:v>1.2813378977326169</c:v>
                </c:pt>
                <c:pt idx="217">
                  <c:v>5.6799936955412011</c:v>
                </c:pt>
                <c:pt idx="218">
                  <c:v>2.9658834502172753</c:v>
                </c:pt>
                <c:pt idx="219">
                  <c:v>-1.9110902242682257</c:v>
                </c:pt>
                <c:pt idx="220">
                  <c:v>-0.28980881667094011</c:v>
                </c:pt>
                <c:pt idx="221">
                  <c:v>-0.98516682300744529</c:v>
                </c:pt>
                <c:pt idx="222">
                  <c:v>0.8525719116253756</c:v>
                </c:pt>
                <c:pt idx="223">
                  <c:v>-2.0579876308499667E-2</c:v>
                </c:pt>
                <c:pt idx="224">
                  <c:v>3.3715882121503871</c:v>
                </c:pt>
                <c:pt idx="225">
                  <c:v>-1.8352930660596174</c:v>
                </c:pt>
                <c:pt idx="226">
                  <c:v>2.0974245320205176</c:v>
                </c:pt>
                <c:pt idx="227">
                  <c:v>-8.497510273600517E-3</c:v>
                </c:pt>
                <c:pt idx="228">
                  <c:v>2.1730589045236144</c:v>
                </c:pt>
                <c:pt idx="229">
                  <c:v>-2.7514456611523492</c:v>
                </c:pt>
                <c:pt idx="230">
                  <c:v>-3.6509985081270235E-2</c:v>
                </c:pt>
                <c:pt idx="231">
                  <c:v>8.2147781726232232</c:v>
                </c:pt>
                <c:pt idx="232">
                  <c:v>1.587307877093155</c:v>
                </c:pt>
                <c:pt idx="233">
                  <c:v>-5.9139765291298607</c:v>
                </c:pt>
                <c:pt idx="234">
                  <c:v>-0.12168762824823701</c:v>
                </c:pt>
                <c:pt idx="235">
                  <c:v>-2.115780537791824</c:v>
                </c:pt>
                <c:pt idx="236">
                  <c:v>-2.0027184091958423</c:v>
                </c:pt>
                <c:pt idx="237">
                  <c:v>-2.1246156546782036</c:v>
                </c:pt>
                <c:pt idx="238">
                  <c:v>6.3332211365527264</c:v>
                </c:pt>
                <c:pt idx="239">
                  <c:v>-1.8126580429611305</c:v>
                </c:pt>
                <c:pt idx="240">
                  <c:v>1.0965676459125848</c:v>
                </c:pt>
                <c:pt idx="241">
                  <c:v>-6.1738261555731775</c:v>
                </c:pt>
                <c:pt idx="242">
                  <c:v>2.8368371912996695</c:v>
                </c:pt>
                <c:pt idx="243">
                  <c:v>-1.390718105958733</c:v>
                </c:pt>
                <c:pt idx="244">
                  <c:v>0.84487922606855304</c:v>
                </c:pt>
                <c:pt idx="245">
                  <c:v>5.6731164569406412E-2</c:v>
                </c:pt>
                <c:pt idx="246">
                  <c:v>-0.34661430084669942</c:v>
                </c:pt>
                <c:pt idx="247">
                  <c:v>8.2922836877470552</c:v>
                </c:pt>
                <c:pt idx="248">
                  <c:v>0.71593297943244583</c:v>
                </c:pt>
                <c:pt idx="249">
                  <c:v>-9.5878476910366928</c:v>
                </c:pt>
                <c:pt idx="250">
                  <c:v>4.0445421789700955</c:v>
                </c:pt>
                <c:pt idx="251">
                  <c:v>-5.9120536635759704</c:v>
                </c:pt>
                <c:pt idx="252">
                  <c:v>2.1023228578999689</c:v>
                </c:pt>
                <c:pt idx="253">
                  <c:v>-11.939947569095006</c:v>
                </c:pt>
                <c:pt idx="254">
                  <c:v>8.3413722789088975</c:v>
                </c:pt>
                <c:pt idx="255">
                  <c:v>1.5022628685970592</c:v>
                </c:pt>
                <c:pt idx="256">
                  <c:v>-1.6287771115891947</c:v>
                </c:pt>
                <c:pt idx="257">
                  <c:v>5.6725409950553427</c:v>
                </c:pt>
                <c:pt idx="258">
                  <c:v>-5.697382045715492</c:v>
                </c:pt>
                <c:pt idx="259">
                  <c:v>2.5937512373692382</c:v>
                </c:pt>
                <c:pt idx="260">
                  <c:v>-3.2014195047385963</c:v>
                </c:pt>
                <c:pt idx="261">
                  <c:v>4.0151209477065057</c:v>
                </c:pt>
                <c:pt idx="262">
                  <c:v>3.3616768592472415</c:v>
                </c:pt>
                <c:pt idx="263">
                  <c:v>-5.1971390337429373</c:v>
                </c:pt>
                <c:pt idx="264">
                  <c:v>2.1320958639454575</c:v>
                </c:pt>
                <c:pt idx="265">
                  <c:v>-3.3807851257772139</c:v>
                </c:pt>
                <c:pt idx="266">
                  <c:v>16.266209178287099</c:v>
                </c:pt>
                <c:pt idx="267">
                  <c:v>-2.1927505757116679</c:v>
                </c:pt>
                <c:pt idx="268">
                  <c:v>-2.8057893559275726</c:v>
                </c:pt>
                <c:pt idx="269">
                  <c:v>1.3459386093767796</c:v>
                </c:pt>
                <c:pt idx="270">
                  <c:v>3.3925487785918684</c:v>
                </c:pt>
                <c:pt idx="271">
                  <c:v>-2.6050265606897582</c:v>
                </c:pt>
                <c:pt idx="272">
                  <c:v>-4.5636425481694207</c:v>
                </c:pt>
                <c:pt idx="273">
                  <c:v>7.8715563080776194</c:v>
                </c:pt>
                <c:pt idx="274">
                  <c:v>-1.693097319472427</c:v>
                </c:pt>
                <c:pt idx="275">
                  <c:v>3.1435133015928409</c:v>
                </c:pt>
                <c:pt idx="276">
                  <c:v>-2.1857639944802303</c:v>
                </c:pt>
                <c:pt idx="277">
                  <c:v>4.1151829097284924</c:v>
                </c:pt>
                <c:pt idx="278">
                  <c:v>3.4006977075830891E-2</c:v>
                </c:pt>
                <c:pt idx="279">
                  <c:v>-7.6396090073963077</c:v>
                </c:pt>
                <c:pt idx="280">
                  <c:v>3.4855423876092053</c:v>
                </c:pt>
                <c:pt idx="281">
                  <c:v>-0.4947275645056104</c:v>
                </c:pt>
                <c:pt idx="282">
                  <c:v>6.2396645271683049</c:v>
                </c:pt>
                <c:pt idx="283">
                  <c:v>-1.8317119883534683</c:v>
                </c:pt>
                <c:pt idx="284">
                  <c:v>-0.21524144700925546</c:v>
                </c:pt>
                <c:pt idx="285">
                  <c:v>-0.79289947153097351</c:v>
                </c:pt>
                <c:pt idx="286">
                  <c:v>-0.71930477142336269</c:v>
                </c:pt>
                <c:pt idx="287">
                  <c:v>1.6310156088382803</c:v>
                </c:pt>
                <c:pt idx="288">
                  <c:v>-1.6577608428734738</c:v>
                </c:pt>
                <c:pt idx="289">
                  <c:v>13.532908185379032</c:v>
                </c:pt>
                <c:pt idx="290">
                  <c:v>-6.8670820747013801</c:v>
                </c:pt>
                <c:pt idx="291">
                  <c:v>5.4967892144444832</c:v>
                </c:pt>
                <c:pt idx="292">
                  <c:v>-2.5710524493792404</c:v>
                </c:pt>
                <c:pt idx="293">
                  <c:v>-1.1275223168097233</c:v>
                </c:pt>
                <c:pt idx="294">
                  <c:v>12.120086405952655</c:v>
                </c:pt>
                <c:pt idx="295">
                  <c:v>-1.9654688180547444</c:v>
                </c:pt>
                <c:pt idx="296">
                  <c:v>0.88573032642954319</c:v>
                </c:pt>
                <c:pt idx="297">
                  <c:v>-2.6588714291348863</c:v>
                </c:pt>
                <c:pt idx="298">
                  <c:v>-1.432671019938754</c:v>
                </c:pt>
                <c:pt idx="299">
                  <c:v>2.2757392020919993</c:v>
                </c:pt>
                <c:pt idx="300">
                  <c:v>-3.7294927575033574</c:v>
                </c:pt>
                <c:pt idx="301">
                  <c:v>9.4101291136969749</c:v>
                </c:pt>
                <c:pt idx="302">
                  <c:v>-3.997060352217825</c:v>
                </c:pt>
                <c:pt idx="303">
                  <c:v>4.1356251945614657</c:v>
                </c:pt>
                <c:pt idx="304">
                  <c:v>3.5509827884371155</c:v>
                </c:pt>
                <c:pt idx="305">
                  <c:v>2.1171411927862387</c:v>
                </c:pt>
                <c:pt idx="306">
                  <c:v>4.3638910204122983</c:v>
                </c:pt>
                <c:pt idx="307">
                  <c:v>2.1615888968881287</c:v>
                </c:pt>
                <c:pt idx="308">
                  <c:v>-1.1076404338609023</c:v>
                </c:pt>
                <c:pt idx="309">
                  <c:v>2.1446347171246658</c:v>
                </c:pt>
                <c:pt idx="310">
                  <c:v>-1.7329857082848041</c:v>
                </c:pt>
                <c:pt idx="311">
                  <c:v>6.967102942434801</c:v>
                </c:pt>
                <c:pt idx="312">
                  <c:v>-0.24495264446697718</c:v>
                </c:pt>
                <c:pt idx="313">
                  <c:v>2.3769498331978438</c:v>
                </c:pt>
                <c:pt idx="314">
                  <c:v>-8.405154267512895</c:v>
                </c:pt>
                <c:pt idx="315">
                  <c:v>1.8569523838693833</c:v>
                </c:pt>
                <c:pt idx="316">
                  <c:v>-2.2989583675446132</c:v>
                </c:pt>
                <c:pt idx="317">
                  <c:v>-0.85543828286031609</c:v>
                </c:pt>
                <c:pt idx="318">
                  <c:v>-3.1874814096338211</c:v>
                </c:pt>
                <c:pt idx="319">
                  <c:v>-2.0698061100050271</c:v>
                </c:pt>
                <c:pt idx="320">
                  <c:v>9.1217268522576802</c:v>
                </c:pt>
                <c:pt idx="321">
                  <c:v>-4.0089993474737984</c:v>
                </c:pt>
                <c:pt idx="322">
                  <c:v>8.483511459640253</c:v>
                </c:pt>
                <c:pt idx="323">
                  <c:v>-1.8957980294859136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20760"/>
        <c:axId val="419518408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cc_best!$I$13:$I$336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cc_best!$K$13:$K$336</c:f>
              <c:numCache>
                <c:formatCode>General</c:formatCode>
                <c:ptCount val="324"/>
                <c:pt idx="0">
                  <c:v>1.2219732766285019</c:v>
                </c:pt>
                <c:pt idx="1">
                  <c:v>-1.2165451328466683</c:v>
                </c:pt>
                <c:pt idx="2">
                  <c:v>2.5529583157133575</c:v>
                </c:pt>
                <c:pt idx="3">
                  <c:v>-2.9207057684221236</c:v>
                </c:pt>
                <c:pt idx="4">
                  <c:v>2.4424927110316768</c:v>
                </c:pt>
                <c:pt idx="5">
                  <c:v>-3.148312151865313</c:v>
                </c:pt>
                <c:pt idx="6">
                  <c:v>1.8452290108740108</c:v>
                </c:pt>
                <c:pt idx="7">
                  <c:v>-1.4411282689336231</c:v>
                </c:pt>
                <c:pt idx="8">
                  <c:v>0.88904311187110163</c:v>
                </c:pt>
                <c:pt idx="9">
                  <c:v>0.89329777445677072</c:v>
                </c:pt>
                <c:pt idx="10">
                  <c:v>-0.91786768090955539</c:v>
                </c:pt>
                <c:pt idx="11">
                  <c:v>2.2809422527511933</c:v>
                </c:pt>
                <c:pt idx="12">
                  <c:v>-2.8852144884393565</c:v>
                </c:pt>
                <c:pt idx="13">
                  <c:v>2.4222045800016523</c:v>
                </c:pt>
                <c:pt idx="14">
                  <c:v>-3.1126681676305523</c:v>
                </c:pt>
                <c:pt idx="15">
                  <c:v>1.6726517448451059</c:v>
                </c:pt>
                <c:pt idx="16">
                  <c:v>-0.83909944259510749</c:v>
                </c:pt>
                <c:pt idx="17">
                  <c:v>-4.8201657762052263E-3</c:v>
                </c:pt>
                <c:pt idx="18">
                  <c:v>2.106073832714876</c:v>
                </c:pt>
                <c:pt idx="19">
                  <c:v>-2.140377914062936</c:v>
                </c:pt>
                <c:pt idx="20">
                  <c:v>2.9640383694761683</c:v>
                </c:pt>
                <c:pt idx="21">
                  <c:v>-2.7401511931413185</c:v>
                </c:pt>
                <c:pt idx="22">
                  <c:v>0.95318674152773308</c:v>
                </c:pt>
                <c:pt idx="23">
                  <c:v>-0.38830753416345187</c:v>
                </c:pt>
                <c:pt idx="24">
                  <c:v>-1.8135299639305456</c:v>
                </c:pt>
                <c:pt idx="25">
                  <c:v>2.7313593239229093</c:v>
                </c:pt>
                <c:pt idx="26">
                  <c:v>-2.4385906536512043</c:v>
                </c:pt>
                <c:pt idx="27">
                  <c:v>2.6310796439220865</c:v>
                </c:pt>
                <c:pt idx="28">
                  <c:v>-0.36977421620663692</c:v>
                </c:pt>
                <c:pt idx="29">
                  <c:v>-0.89146756878581968</c:v>
                </c:pt>
                <c:pt idx="30">
                  <c:v>1.977437490588845</c:v>
                </c:pt>
                <c:pt idx="31">
                  <c:v>-3.3481410515320662</c:v>
                </c:pt>
                <c:pt idx="32">
                  <c:v>2.0906922464395956</c:v>
                </c:pt>
                <c:pt idx="33">
                  <c:v>-1.6009535721872541</c:v>
                </c:pt>
                <c:pt idx="34">
                  <c:v>5.6222062518528959E-2</c:v>
                </c:pt>
                <c:pt idx="35">
                  <c:v>1.9958906088288662</c:v>
                </c:pt>
                <c:pt idx="36">
                  <c:v>-2.0731866896484781</c:v>
                </c:pt>
                <c:pt idx="37">
                  <c:v>3.1831237373008601</c:v>
                </c:pt>
                <c:pt idx="38">
                  <c:v>-2.4851214252720522</c:v>
                </c:pt>
                <c:pt idx="39">
                  <c:v>1.1879340004475638</c:v>
                </c:pt>
                <c:pt idx="40">
                  <c:v>-0.78270650558912547</c:v>
                </c:pt>
                <c:pt idx="41">
                  <c:v>-1.3723321081085178</c:v>
                </c:pt>
                <c:pt idx="42">
                  <c:v>1.8521931546610004</c:v>
                </c:pt>
                <c:pt idx="43">
                  <c:v>-2.4329852475580829</c:v>
                </c:pt>
                <c:pt idx="44">
                  <c:v>3.3263843903963037</c:v>
                </c:pt>
                <c:pt idx="45">
                  <c:v>-2.2059163350842637</c:v>
                </c:pt>
                <c:pt idx="46">
                  <c:v>2.4158756895699782</c:v>
                </c:pt>
                <c:pt idx="47">
                  <c:v>-1.4268432242784082</c:v>
                </c:pt>
                <c:pt idx="48">
                  <c:v>5.9815315673141328E-2</c:v>
                </c:pt>
                <c:pt idx="49">
                  <c:v>2.4391554785348008E-2</c:v>
                </c:pt>
                <c:pt idx="50">
                  <c:v>-1.7892766265257782</c:v>
                </c:pt>
                <c:pt idx="51">
                  <c:v>2.0548414066835372</c:v>
                </c:pt>
                <c:pt idx="52">
                  <c:v>-2.3807277540600924</c:v>
                </c:pt>
                <c:pt idx="53">
                  <c:v>3.3373368121924876</c:v>
                </c:pt>
                <c:pt idx="54">
                  <c:v>-2.3186979251681596</c:v>
                </c:pt>
                <c:pt idx="55">
                  <c:v>2.5985816499052117</c:v>
                </c:pt>
                <c:pt idx="56">
                  <c:v>-1.7979707661692417</c:v>
                </c:pt>
                <c:pt idx="57">
                  <c:v>0.33903285620274587</c:v>
                </c:pt>
                <c:pt idx="58">
                  <c:v>-0.17565000865856703</c:v>
                </c:pt>
                <c:pt idx="59">
                  <c:v>-1.7237418542095664</c:v>
                </c:pt>
                <c:pt idx="60">
                  <c:v>2.2308052653171009</c:v>
                </c:pt>
                <c:pt idx="61">
                  <c:v>-2.4844928770772143</c:v>
                </c:pt>
                <c:pt idx="62">
                  <c:v>3.305339765149891</c:v>
                </c:pt>
                <c:pt idx="63">
                  <c:v>-1.8477297190203599</c:v>
                </c:pt>
                <c:pt idx="64">
                  <c:v>1.4105473236871606</c:v>
                </c:pt>
                <c:pt idx="65">
                  <c:v>-3.6586509040628941E-2</c:v>
                </c:pt>
                <c:pt idx="66">
                  <c:v>-1.9499239536631097</c:v>
                </c:pt>
                <c:pt idx="67">
                  <c:v>2.0452027186113257</c:v>
                </c:pt>
                <c:pt idx="68">
                  <c:v>-3.1741815620545526</c:v>
                </c:pt>
                <c:pt idx="69">
                  <c:v>2.3975197401038604</c:v>
                </c:pt>
                <c:pt idx="70">
                  <c:v>-0.80044280975190918</c:v>
                </c:pt>
                <c:pt idx="71">
                  <c:v>3.3233557696020946E-2</c:v>
                </c:pt>
                <c:pt idx="72">
                  <c:v>2.3437691502857554</c:v>
                </c:pt>
                <c:pt idx="73">
                  <c:v>-2.6601359424308995</c:v>
                </c:pt>
                <c:pt idx="74">
                  <c:v>2.4919950280548586</c:v>
                </c:pt>
                <c:pt idx="75">
                  <c:v>-2.2020847222991078</c:v>
                </c:pt>
                <c:pt idx="76">
                  <c:v>-0.26826417655151175</c:v>
                </c:pt>
                <c:pt idx="77">
                  <c:v>1.1243386197597167</c:v>
                </c:pt>
                <c:pt idx="78">
                  <c:v>-2.4423534959541042</c:v>
                </c:pt>
                <c:pt idx="79">
                  <c:v>3.24758614063719</c:v>
                </c:pt>
                <c:pt idx="80">
                  <c:v>-1.8669783319130215</c:v>
                </c:pt>
                <c:pt idx="81">
                  <c:v>1.5852822814093082</c:v>
                </c:pt>
                <c:pt idx="82">
                  <c:v>0.30790408881326081</c:v>
                </c:pt>
                <c:pt idx="83">
                  <c:v>-1.8506008985790308</c:v>
                </c:pt>
                <c:pt idx="84">
                  <c:v>2.0402946463253286</c:v>
                </c:pt>
                <c:pt idx="85">
                  <c:v>-3.3259247953786537</c:v>
                </c:pt>
                <c:pt idx="86">
                  <c:v>2.4171336281534304</c:v>
                </c:pt>
                <c:pt idx="87">
                  <c:v>-1.7784794792060132</c:v>
                </c:pt>
                <c:pt idx="88">
                  <c:v>1.2971439243198075</c:v>
                </c:pt>
                <c:pt idx="89">
                  <c:v>0.73653776579948615</c:v>
                </c:pt>
                <c:pt idx="90">
                  <c:v>-0.95377435204824357</c:v>
                </c:pt>
                <c:pt idx="91">
                  <c:v>2.1463064090316739</c:v>
                </c:pt>
                <c:pt idx="92">
                  <c:v>-2.9779975963437244</c:v>
                </c:pt>
                <c:pt idx="93">
                  <c:v>2.3813138904662696</c:v>
                </c:pt>
                <c:pt idx="94">
                  <c:v>-3.1732835977247169</c:v>
                </c:pt>
                <c:pt idx="95">
                  <c:v>2.1502776279415041</c:v>
                </c:pt>
                <c:pt idx="96">
                  <c:v>-1.463590587241103</c:v>
                </c:pt>
                <c:pt idx="97">
                  <c:v>1.2435275580019254</c:v>
                </c:pt>
                <c:pt idx="98">
                  <c:v>0.6116659500825079</c:v>
                </c:pt>
                <c:pt idx="99">
                  <c:v>-0.75526130444843342</c:v>
                </c:pt>
                <c:pt idx="100">
                  <c:v>1.8412331494184877</c:v>
                </c:pt>
                <c:pt idx="101">
                  <c:v>-2.853000371262338</c:v>
                </c:pt>
                <c:pt idx="102">
                  <c:v>2.3404136125368864</c:v>
                </c:pt>
                <c:pt idx="103">
                  <c:v>-3.2109987464775163</c:v>
                </c:pt>
                <c:pt idx="104">
                  <c:v>2.2694438488381823</c:v>
                </c:pt>
                <c:pt idx="105">
                  <c:v>-1.3464904891844585</c:v>
                </c:pt>
                <c:pt idx="106">
                  <c:v>0.94069209429817291</c:v>
                </c:pt>
                <c:pt idx="107">
                  <c:v>1.2196327564142135</c:v>
                </c:pt>
                <c:pt idx="108">
                  <c:v>-1.6250859004516343</c:v>
                </c:pt>
                <c:pt idx="109">
                  <c:v>2.5656947360492213</c:v>
                </c:pt>
                <c:pt idx="110">
                  <c:v>-3.246900645663457</c:v>
                </c:pt>
                <c:pt idx="111">
                  <c:v>1.8841716431602309</c:v>
                </c:pt>
                <c:pt idx="112">
                  <c:v>-1.6447179799870748</c:v>
                </c:pt>
                <c:pt idx="113">
                  <c:v>-0.26656958786196372</c:v>
                </c:pt>
                <c:pt idx="114">
                  <c:v>1.9392030718821225</c:v>
                </c:pt>
                <c:pt idx="115">
                  <c:v>-2.1708266640621767</c:v>
                </c:pt>
                <c:pt idx="116">
                  <c:v>3.2812766057862928</c:v>
                </c:pt>
                <c:pt idx="117">
                  <c:v>-1.9034627380190732</c:v>
                </c:pt>
                <c:pt idx="118">
                  <c:v>0.55207709010761774</c:v>
                </c:pt>
                <c:pt idx="119">
                  <c:v>0.53958370686142487</c:v>
                </c:pt>
                <c:pt idx="120">
                  <c:v>-2.7855523890219338</c:v>
                </c:pt>
                <c:pt idx="121">
                  <c:v>2.5362228941312868</c:v>
                </c:pt>
                <c:pt idx="122">
                  <c:v>-2.5095797011240109</c:v>
                </c:pt>
                <c:pt idx="123">
                  <c:v>1.661313895525151</c:v>
                </c:pt>
                <c:pt idx="124">
                  <c:v>0.70954835714615316</c:v>
                </c:pt>
                <c:pt idx="125">
                  <c:v>-1.2607151356289854</c:v>
                </c:pt>
                <c:pt idx="126">
                  <c:v>2.7953678586827557</c:v>
                </c:pt>
                <c:pt idx="127">
                  <c:v>-3.0428789415005952</c:v>
                </c:pt>
                <c:pt idx="128">
                  <c:v>1.8786037151368526</c:v>
                </c:pt>
                <c:pt idx="129">
                  <c:v>-1.7329731892302838</c:v>
                </c:pt>
                <c:pt idx="130">
                  <c:v>-0.35877348819129828</c:v>
                </c:pt>
                <c:pt idx="131">
                  <c:v>1.376185769363178</c:v>
                </c:pt>
                <c:pt idx="132">
                  <c:v>-1.9281461617941036</c:v>
                </c:pt>
                <c:pt idx="133">
                  <c:v>3.2947724323417971</c:v>
                </c:pt>
                <c:pt idx="134">
                  <c:v>-2.4320818171619645</c:v>
                </c:pt>
                <c:pt idx="135">
                  <c:v>2.5288261150857689</c:v>
                </c:pt>
                <c:pt idx="136">
                  <c:v>-1.9345567069134155</c:v>
                </c:pt>
                <c:pt idx="137">
                  <c:v>0.30010942241121402</c:v>
                </c:pt>
                <c:pt idx="138">
                  <c:v>-0.23826466255025944</c:v>
                </c:pt>
                <c:pt idx="139">
                  <c:v>-1.4159816672116481</c:v>
                </c:pt>
                <c:pt idx="140">
                  <c:v>2.0657963837271733</c:v>
                </c:pt>
                <c:pt idx="141">
                  <c:v>-2.1443120661573363</c:v>
                </c:pt>
                <c:pt idx="142">
                  <c:v>3.3324543340082129</c:v>
                </c:pt>
                <c:pt idx="143">
                  <c:v>-2.4720772989654813</c:v>
                </c:pt>
                <c:pt idx="144">
                  <c:v>2.5785667806356698</c:v>
                </c:pt>
                <c:pt idx="145">
                  <c:v>-2.2261962078303714</c:v>
                </c:pt>
                <c:pt idx="146">
                  <c:v>0.6384721523276885</c:v>
                </c:pt>
                <c:pt idx="147">
                  <c:v>-0.59016058923795633</c:v>
                </c:pt>
                <c:pt idx="148">
                  <c:v>-1.0774074974086314</c:v>
                </c:pt>
                <c:pt idx="149">
                  <c:v>1.9739237309172093</c:v>
                </c:pt>
                <c:pt idx="150">
                  <c:v>-2.1066955575516633</c:v>
                </c:pt>
                <c:pt idx="151">
                  <c:v>3.3533707515598183</c:v>
                </c:pt>
                <c:pt idx="152">
                  <c:v>-2.3893034665612771</c:v>
                </c:pt>
                <c:pt idx="153">
                  <c:v>2.0454574594400254</c:v>
                </c:pt>
                <c:pt idx="154">
                  <c:v>-1.2731721121431006</c:v>
                </c:pt>
                <c:pt idx="155">
                  <c:v>-0.89467138274284175</c:v>
                </c:pt>
                <c:pt idx="156">
                  <c:v>1.2806695187743644</c:v>
                </c:pt>
                <c:pt idx="157">
                  <c:v>-2.7593266903909619</c:v>
                </c:pt>
                <c:pt idx="158">
                  <c:v>3.0591555038162221</c:v>
                </c:pt>
                <c:pt idx="159">
                  <c:v>-1.857310195348771</c:v>
                </c:pt>
                <c:pt idx="160">
                  <c:v>1.545924081522325</c:v>
                </c:pt>
                <c:pt idx="161">
                  <c:v>0.80301973916358804</c:v>
                </c:pt>
                <c:pt idx="162">
                  <c:v>-2.0250295506613663</c:v>
                </c:pt>
                <c:pt idx="163">
                  <c:v>2.4264777704678311</c:v>
                </c:pt>
                <c:pt idx="164">
                  <c:v>-3.2006699509591185</c:v>
                </c:pt>
                <c:pt idx="165">
                  <c:v>1.3297522715847518</c:v>
                </c:pt>
                <c:pt idx="166">
                  <c:v>-0.26015545640856585</c:v>
                </c:pt>
                <c:pt idx="167">
                  <c:v>-1.1834568604549172</c:v>
                </c:pt>
                <c:pt idx="168">
                  <c:v>3.024919499578544</c:v>
                </c:pt>
                <c:pt idx="169">
                  <c:v>-2.3962091688234257</c:v>
                </c:pt>
                <c:pt idx="170">
                  <c:v>2.5223161734355974</c:v>
                </c:pt>
                <c:pt idx="171">
                  <c:v>-1.1668359987675097</c:v>
                </c:pt>
                <c:pt idx="172">
                  <c:v>-0.8401096399886383</c:v>
                </c:pt>
                <c:pt idx="173">
                  <c:v>1.2869890256939933</c:v>
                </c:pt>
                <c:pt idx="174">
                  <c:v>-2.9982590560699665</c:v>
                </c:pt>
                <c:pt idx="175">
                  <c:v>2.8229070696361407</c:v>
                </c:pt>
                <c:pt idx="176">
                  <c:v>-2.1605555404618118</c:v>
                </c:pt>
                <c:pt idx="177">
                  <c:v>2.0516242168740333</c:v>
                </c:pt>
                <c:pt idx="178">
                  <c:v>1.9851415784062732E-2</c:v>
                </c:pt>
                <c:pt idx="179">
                  <c:v>-0.56666193410624277</c:v>
                </c:pt>
                <c:pt idx="180">
                  <c:v>1.6025524770999384</c:v>
                </c:pt>
                <c:pt idx="181">
                  <c:v>-2.9087182710533979</c:v>
                </c:pt>
                <c:pt idx="182">
                  <c:v>2.3446335572317487</c:v>
                </c:pt>
                <c:pt idx="183">
                  <c:v>-3.1333615663415388</c:v>
                </c:pt>
                <c:pt idx="184">
                  <c:v>2.4809815174185137</c:v>
                </c:pt>
                <c:pt idx="185">
                  <c:v>-1.5086425076377625</c:v>
                </c:pt>
                <c:pt idx="186">
                  <c:v>1.5223474658545579</c:v>
                </c:pt>
                <c:pt idx="187">
                  <c:v>0.3032006616535205</c:v>
                </c:pt>
                <c:pt idx="188">
                  <c:v>-0.67945612284455581</c:v>
                </c:pt>
                <c:pt idx="189">
                  <c:v>1.4471766207051608</c:v>
                </c:pt>
                <c:pt idx="190">
                  <c:v>-2.7844971308090702</c:v>
                </c:pt>
                <c:pt idx="191">
                  <c:v>2.277577981739872</c:v>
                </c:pt>
                <c:pt idx="192">
                  <c:v>-3.1381877151684887</c:v>
                </c:pt>
                <c:pt idx="193">
                  <c:v>2.6934426308865471</c:v>
                </c:pt>
                <c:pt idx="194">
                  <c:v>-1.6576680915511706</c:v>
                </c:pt>
                <c:pt idx="195">
                  <c:v>1.6206243777620069</c:v>
                </c:pt>
                <c:pt idx="196">
                  <c:v>0.37455185553935055</c:v>
                </c:pt>
                <c:pt idx="197">
                  <c:v>-1.0686662293763456</c:v>
                </c:pt>
                <c:pt idx="198">
                  <c:v>1.8908452876317843</c:v>
                </c:pt>
                <c:pt idx="199">
                  <c:v>-3.2370272165572356</c:v>
                </c:pt>
                <c:pt idx="200">
                  <c:v>2.3593298780753464</c:v>
                </c:pt>
                <c:pt idx="201">
                  <c:v>-2.4616559381238363</c:v>
                </c:pt>
                <c:pt idx="202">
                  <c:v>1.2119253456039163</c:v>
                </c:pt>
                <c:pt idx="203">
                  <c:v>0.77365348394563582</c:v>
                </c:pt>
                <c:pt idx="204">
                  <c:v>-1.2697588409023968</c:v>
                </c:pt>
                <c:pt idx="205">
                  <c:v>3.0326863948640108</c:v>
                </c:pt>
                <c:pt idx="206">
                  <c:v>-2.7875538880371478</c:v>
                </c:pt>
                <c:pt idx="207">
                  <c:v>1.7708134976377603</c:v>
                </c:pt>
                <c:pt idx="208">
                  <c:v>-1.1428060697707145</c:v>
                </c:pt>
                <c:pt idx="209">
                  <c:v>-1.4232754577418041</c:v>
                </c:pt>
                <c:pt idx="210">
                  <c:v>2.1340563273263111</c:v>
                </c:pt>
                <c:pt idx="211">
                  <c:v>-2.6978685492689922</c:v>
                </c:pt>
                <c:pt idx="212">
                  <c:v>2.9135767214539592</c:v>
                </c:pt>
                <c:pt idx="213">
                  <c:v>-0.79759321334588484</c:v>
                </c:pt>
                <c:pt idx="214">
                  <c:v>8.950508872247534E-4</c:v>
                </c:pt>
                <c:pt idx="215">
                  <c:v>1.7549687432811423</c:v>
                </c:pt>
                <c:pt idx="216">
                  <c:v>-3.038170072518406</c:v>
                </c:pt>
                <c:pt idx="217">
                  <c:v>2.3280297721583736</c:v>
                </c:pt>
                <c:pt idx="218">
                  <c:v>-2.5908295107929327</c:v>
                </c:pt>
                <c:pt idx="219">
                  <c:v>0.87514824007909131</c:v>
                </c:pt>
                <c:pt idx="220">
                  <c:v>0.60622916356424783</c:v>
                </c:pt>
                <c:pt idx="221">
                  <c:v>-1.1829866740507387</c:v>
                </c:pt>
                <c:pt idx="222">
                  <c:v>2.9851820205714108</c:v>
                </c:pt>
                <c:pt idx="223">
                  <c:v>-2.6032133976204777</c:v>
                </c:pt>
                <c:pt idx="224">
                  <c:v>2.6208375771551995</c:v>
                </c:pt>
                <c:pt idx="225">
                  <c:v>-2.4739830950087822</c:v>
                </c:pt>
                <c:pt idx="226">
                  <c:v>0.69872936780306005</c:v>
                </c:pt>
                <c:pt idx="227">
                  <c:v>-0.53858265819901885</c:v>
                </c:pt>
                <c:pt idx="228">
                  <c:v>-0.9307384464173144</c:v>
                </c:pt>
                <c:pt idx="229">
                  <c:v>2.0105193387677582</c:v>
                </c:pt>
                <c:pt idx="230">
                  <c:v>-1.9291051881116179</c:v>
                </c:pt>
                <c:pt idx="231">
                  <c:v>3.2423830455446705</c:v>
                </c:pt>
                <c:pt idx="232">
                  <c:v>-2.6471672110135542</c:v>
                </c:pt>
                <c:pt idx="233">
                  <c:v>2.5050933660540977</c:v>
                </c:pt>
                <c:pt idx="234">
                  <c:v>-2.5396171285438283</c:v>
                </c:pt>
                <c:pt idx="235">
                  <c:v>0.8944707521080395</c:v>
                </c:pt>
                <c:pt idx="236">
                  <c:v>-0.82524455367508753</c:v>
                </c:pt>
                <c:pt idx="237">
                  <c:v>-0.51050970021083142</c:v>
                </c:pt>
                <c:pt idx="238">
                  <c:v>1.7464055641111085</c:v>
                </c:pt>
                <c:pt idx="239">
                  <c:v>-1.7376462361858804</c:v>
                </c:pt>
                <c:pt idx="240">
                  <c:v>3.169881360338533</c:v>
                </c:pt>
                <c:pt idx="241">
                  <c:v>-2.6962697002044034</c:v>
                </c:pt>
                <c:pt idx="242">
                  <c:v>2.3511237812706556</c:v>
                </c:pt>
                <c:pt idx="243">
                  <c:v>-2.1868140354568095</c:v>
                </c:pt>
                <c:pt idx="244">
                  <c:v>0.11808537879136249</c:v>
                </c:pt>
                <c:pt idx="245">
                  <c:v>0.40759045480235939</c:v>
                </c:pt>
                <c:pt idx="246">
                  <c:v>-1.8719393122623498</c:v>
                </c:pt>
                <c:pt idx="247">
                  <c:v>3.048074552798421</c:v>
                </c:pt>
                <c:pt idx="248">
                  <c:v>-2.3387481455445269</c:v>
                </c:pt>
                <c:pt idx="249">
                  <c:v>2.6211101482927113</c:v>
                </c:pt>
                <c:pt idx="250">
                  <c:v>-0.84730124461588707</c:v>
                </c:pt>
                <c:pt idx="251">
                  <c:v>-0.83346959391059172</c:v>
                </c:pt>
                <c:pt idx="252">
                  <c:v>1.5500831944774396</c:v>
                </c:pt>
                <c:pt idx="253">
                  <c:v>-3.2732441711816822</c:v>
                </c:pt>
                <c:pt idx="254">
                  <c:v>2.4384949470075572</c:v>
                </c:pt>
                <c:pt idx="255">
                  <c:v>-1.6082562034501449</c:v>
                </c:pt>
                <c:pt idx="256">
                  <c:v>0.52189483308616147</c:v>
                </c:pt>
                <c:pt idx="257">
                  <c:v>1.9642219273042985</c:v>
                </c:pt>
                <c:pt idx="258">
                  <c:v>-2.2107906096180421</c:v>
                </c:pt>
                <c:pt idx="259">
                  <c:v>2.9140686937628146</c:v>
                </c:pt>
                <c:pt idx="260">
                  <c:v>-2.5004043978390897</c:v>
                </c:pt>
                <c:pt idx="261">
                  <c:v>0.45320238562222448</c:v>
                </c:pt>
                <c:pt idx="262">
                  <c:v>0.15549895353971127</c:v>
                </c:pt>
                <c:pt idx="263">
                  <c:v>-2.1483776006204551</c:v>
                </c:pt>
                <c:pt idx="264">
                  <c:v>2.871961497704846</c:v>
                </c:pt>
                <c:pt idx="265">
                  <c:v>-2.4060540403801318</c:v>
                </c:pt>
                <c:pt idx="266">
                  <c:v>2.7523751772504217</c:v>
                </c:pt>
                <c:pt idx="267">
                  <c:v>-0.89648238931884161</c:v>
                </c:pt>
                <c:pt idx="268">
                  <c:v>-2.9925524629553155E-3</c:v>
                </c:pt>
                <c:pt idx="269">
                  <c:v>0.88454321395478552</c:v>
                </c:pt>
                <c:pt idx="270">
                  <c:v>-2.6352733550768934</c:v>
                </c:pt>
                <c:pt idx="271">
                  <c:v>2.2877125348118792</c:v>
                </c:pt>
                <c:pt idx="272">
                  <c:v>-3.0252484423778778</c:v>
                </c:pt>
                <c:pt idx="273">
                  <c:v>2.8221042619622128</c:v>
                </c:pt>
                <c:pt idx="274">
                  <c:v>-1.6263507370638945</c:v>
                </c:pt>
                <c:pt idx="275">
                  <c:v>1.7617348300600775</c:v>
                </c:pt>
                <c:pt idx="276">
                  <c:v>-6.9505826684526054E-2</c:v>
                </c:pt>
                <c:pt idx="277">
                  <c:v>-0.62981574020162723</c:v>
                </c:pt>
                <c:pt idx="278">
                  <c:v>1.1000886692386613</c:v>
                </c:pt>
                <c:pt idx="279">
                  <c:v>-2.6708584879685491</c:v>
                </c:pt>
                <c:pt idx="280">
                  <c:v>2.266183751125685</c:v>
                </c:pt>
                <c:pt idx="281">
                  <c:v>-2.9727458552040673</c:v>
                </c:pt>
                <c:pt idx="282">
                  <c:v>2.9939545630896234</c:v>
                </c:pt>
                <c:pt idx="283">
                  <c:v>-1.8499009585169579</c:v>
                </c:pt>
                <c:pt idx="284">
                  <c:v>2.0416791723365901</c:v>
                </c:pt>
                <c:pt idx="285">
                  <c:v>-0.3528575120590175</c:v>
                </c:pt>
                <c:pt idx="286">
                  <c:v>-0.59867309040138228</c:v>
                </c:pt>
                <c:pt idx="287">
                  <c:v>1.1707755373181223</c:v>
                </c:pt>
                <c:pt idx="288">
                  <c:v>-2.9023009909082931</c:v>
                </c:pt>
                <c:pt idx="289">
                  <c:v>2.4805341313990654</c:v>
                </c:pt>
                <c:pt idx="290">
                  <c:v>-2.7892197100663805</c:v>
                </c:pt>
                <c:pt idx="291">
                  <c:v>2.3317207446469839</c:v>
                </c:pt>
                <c:pt idx="292">
                  <c:v>-0.3849143692102584</c:v>
                </c:pt>
                <c:pt idx="293">
                  <c:v>-0.11653542971470515</c:v>
                </c:pt>
                <c:pt idx="294">
                  <c:v>2.0849208867967168</c:v>
                </c:pt>
                <c:pt idx="295">
                  <c:v>-2.8775512077775574</c:v>
                </c:pt>
                <c:pt idx="296">
                  <c:v>2.3739510102927079</c:v>
                </c:pt>
                <c:pt idx="297">
                  <c:v>-2.5156047570066624</c:v>
                </c:pt>
                <c:pt idx="298">
                  <c:v>0.28342806585476948</c:v>
                </c:pt>
                <c:pt idx="299">
                  <c:v>1.0230149761412954</c:v>
                </c:pt>
                <c:pt idx="300">
                  <c:v>-2.001448979919227</c:v>
                </c:pt>
                <c:pt idx="301">
                  <c:v>3.3623726719959475</c:v>
                </c:pt>
                <c:pt idx="302">
                  <c:v>-2.0402652016052873</c:v>
                </c:pt>
                <c:pt idx="303">
                  <c:v>1.3891538663580081</c:v>
                </c:pt>
                <c:pt idx="304">
                  <c:v>0.17057893384975123</c:v>
                </c:pt>
                <c:pt idx="305">
                  <c:v>-2.2971048648076353</c:v>
                </c:pt>
                <c:pt idx="306">
                  <c:v>2.253439950725554</c:v>
                </c:pt>
                <c:pt idx="307">
                  <c:v>-3.0720080315304412</c:v>
                </c:pt>
                <c:pt idx="308">
                  <c:v>2.1086705356956319</c:v>
                </c:pt>
                <c:pt idx="309">
                  <c:v>-0.41493216504365682</c:v>
                </c:pt>
                <c:pt idx="310">
                  <c:v>-0.16001348367608512</c:v>
                </c:pt>
                <c:pt idx="311">
                  <c:v>2.2839372265944133</c:v>
                </c:pt>
                <c:pt idx="312">
                  <c:v>-2.5740371964255573</c:v>
                </c:pt>
                <c:pt idx="313">
                  <c:v>2.6170262127200408</c:v>
                </c:pt>
                <c:pt idx="314">
                  <c:v>-2.975810175779861</c:v>
                </c:pt>
                <c:pt idx="315">
                  <c:v>1.255602858224601</c:v>
                </c:pt>
                <c:pt idx="316">
                  <c:v>-0.91810511816535068</c:v>
                </c:pt>
                <c:pt idx="317">
                  <c:v>-0.31001063121412692</c:v>
                </c:pt>
                <c:pt idx="318">
                  <c:v>1.820748267734752</c:v>
                </c:pt>
                <c:pt idx="319">
                  <c:v>-1.7114882469788963</c:v>
                </c:pt>
                <c:pt idx="320">
                  <c:v>3.0571025209177902</c:v>
                </c:pt>
                <c:pt idx="321">
                  <c:v>-2.8312042362125958</c:v>
                </c:pt>
                <c:pt idx="322">
                  <c:v>2.4286265809253145</c:v>
                </c:pt>
                <c:pt idx="323">
                  <c:v>-2.7634571475418666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18800"/>
        <c:axId val="419516448"/>
      </c:scatterChart>
      <c:valAx>
        <c:axId val="419520760"/>
        <c:scaling>
          <c:orientation val="minMax"/>
          <c:max val="185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19518408"/>
        <c:crosses val="autoZero"/>
        <c:crossBetween val="midCat"/>
      </c:valAx>
      <c:valAx>
        <c:axId val="419518408"/>
        <c:scaling>
          <c:orientation val="minMax"/>
          <c:max val="40"/>
          <c:min val="-40"/>
        </c:scaling>
        <c:delete val="0"/>
        <c:axPos val="l"/>
        <c:numFmt formatCode="General" sourceLinked="1"/>
        <c:majorTickMark val="out"/>
        <c:minorTickMark val="none"/>
        <c:tickLblPos val="nextTo"/>
        <c:crossAx val="419520760"/>
        <c:crosses val="autoZero"/>
        <c:crossBetween val="midCat"/>
      </c:valAx>
      <c:valAx>
        <c:axId val="419516448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419518800"/>
        <c:crosses val="max"/>
        <c:crossBetween val="midCat"/>
      </c:valAx>
      <c:valAx>
        <c:axId val="41951880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195164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cc_best!$I$13:$I$336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cc_best!$J$13:$J$336</c:f>
              <c:numCache>
                <c:formatCode>General</c:formatCode>
                <c:ptCount val="324"/>
                <c:pt idx="0">
                  <c:v>-0.43699643653402542</c:v>
                </c:pt>
                <c:pt idx="1">
                  <c:v>-1.667646137630225</c:v>
                </c:pt>
                <c:pt idx="2">
                  <c:v>2.1544317220364908</c:v>
                </c:pt>
                <c:pt idx="3">
                  <c:v>0.78159448967622669</c:v>
                </c:pt>
                <c:pt idx="4">
                  <c:v>4.4483928780044391</c:v>
                </c:pt>
                <c:pt idx="5">
                  <c:v>1.1626203248338642</c:v>
                </c:pt>
                <c:pt idx="6">
                  <c:v>2.6445932753328281</c:v>
                </c:pt>
                <c:pt idx="7">
                  <c:v>0.64317008828905919</c:v>
                </c:pt>
                <c:pt idx="8">
                  <c:v>0.4745458356235428</c:v>
                </c:pt>
                <c:pt idx="9">
                  <c:v>-0.32508235826278942</c:v>
                </c:pt>
                <c:pt idx="10">
                  <c:v>0.45840689697430864</c:v>
                </c:pt>
                <c:pt idx="11">
                  <c:v>0.50008222371312283</c:v>
                </c:pt>
                <c:pt idx="12">
                  <c:v>-2.3648149769070295</c:v>
                </c:pt>
                <c:pt idx="13">
                  <c:v>-3.1302556161335611</c:v>
                </c:pt>
                <c:pt idx="14">
                  <c:v>-0.1559512393388085</c:v>
                </c:pt>
                <c:pt idx="15">
                  <c:v>-1.9545924183879146</c:v>
                </c:pt>
                <c:pt idx="16">
                  <c:v>-1.0048610091096108</c:v>
                </c:pt>
                <c:pt idx="17">
                  <c:v>-0.91173531661709684</c:v>
                </c:pt>
                <c:pt idx="18">
                  <c:v>1.2615200056384122</c:v>
                </c:pt>
                <c:pt idx="19">
                  <c:v>1.2560282621325816</c:v>
                </c:pt>
                <c:pt idx="20">
                  <c:v>1.7165333778725573</c:v>
                </c:pt>
                <c:pt idx="21">
                  <c:v>-2.228815270670037E-3</c:v>
                </c:pt>
                <c:pt idx="22">
                  <c:v>1.7558477089804749</c:v>
                </c:pt>
                <c:pt idx="23">
                  <c:v>-0.37123202965587737</c:v>
                </c:pt>
                <c:pt idx="24">
                  <c:v>0.28098319536946659</c:v>
                </c:pt>
                <c:pt idx="25">
                  <c:v>-0.60661527539389537</c:v>
                </c:pt>
                <c:pt idx="26">
                  <c:v>-1.1442351031840901</c:v>
                </c:pt>
                <c:pt idx="27">
                  <c:v>3.4783987909962595</c:v>
                </c:pt>
                <c:pt idx="28">
                  <c:v>-0.18740937794437929</c:v>
                </c:pt>
                <c:pt idx="29">
                  <c:v>1.1526212681697929</c:v>
                </c:pt>
                <c:pt idx="30">
                  <c:v>1.270823567209546</c:v>
                </c:pt>
                <c:pt idx="31">
                  <c:v>0.28843579795072694</c:v>
                </c:pt>
                <c:pt idx="32">
                  <c:v>-1.5798534068957255</c:v>
                </c:pt>
                <c:pt idx="33">
                  <c:v>0.15935031191109728</c:v>
                </c:pt>
                <c:pt idx="34">
                  <c:v>1.0131012871160321E-2</c:v>
                </c:pt>
                <c:pt idx="35">
                  <c:v>-2.1759357328525133</c:v>
                </c:pt>
                <c:pt idx="36">
                  <c:v>2.466673903700237</c:v>
                </c:pt>
                <c:pt idx="37">
                  <c:v>-3.3132056741290512</c:v>
                </c:pt>
                <c:pt idx="38">
                  <c:v>1.4437529455837259</c:v>
                </c:pt>
                <c:pt idx="39">
                  <c:v>0.91680910396945148</c:v>
                </c:pt>
                <c:pt idx="40">
                  <c:v>1.1921115987288464</c:v>
                </c:pt>
                <c:pt idx="41">
                  <c:v>1.5630162623857675</c:v>
                </c:pt>
                <c:pt idx="42">
                  <c:v>3.6024143765610273</c:v>
                </c:pt>
                <c:pt idx="43">
                  <c:v>1.0001949736032734</c:v>
                </c:pt>
                <c:pt idx="44">
                  <c:v>6.4631004947426973</c:v>
                </c:pt>
                <c:pt idx="45">
                  <c:v>-4.8525291095076266</c:v>
                </c:pt>
                <c:pt idx="46">
                  <c:v>5.134926648529655</c:v>
                </c:pt>
                <c:pt idx="47">
                  <c:v>-1.3694607668492162</c:v>
                </c:pt>
                <c:pt idx="48">
                  <c:v>0.18977432279463191</c:v>
                </c:pt>
                <c:pt idx="49">
                  <c:v>1.24476473284448</c:v>
                </c:pt>
                <c:pt idx="50">
                  <c:v>-0.35804290624673635</c:v>
                </c:pt>
                <c:pt idx="51">
                  <c:v>-2.3298818679222375</c:v>
                </c:pt>
                <c:pt idx="52">
                  <c:v>-2.3541850752461277</c:v>
                </c:pt>
                <c:pt idx="53">
                  <c:v>2.329997344687492</c:v>
                </c:pt>
                <c:pt idx="54">
                  <c:v>-1.2243138455443836</c:v>
                </c:pt>
                <c:pt idx="55">
                  <c:v>2.9559131794447708</c:v>
                </c:pt>
                <c:pt idx="56">
                  <c:v>-1.139519860339</c:v>
                </c:pt>
                <c:pt idx="57">
                  <c:v>0.2179849538617567</c:v>
                </c:pt>
                <c:pt idx="58">
                  <c:v>1.9334991526823049</c:v>
                </c:pt>
                <c:pt idx="59">
                  <c:v>1.5888075067674852</c:v>
                </c:pt>
                <c:pt idx="60">
                  <c:v>1.8075712999159741</c:v>
                </c:pt>
                <c:pt idx="61">
                  <c:v>1.4773874123515467</c:v>
                </c:pt>
                <c:pt idx="62">
                  <c:v>0.42859761652954215</c:v>
                </c:pt>
                <c:pt idx="63">
                  <c:v>-4.4174657443881449</c:v>
                </c:pt>
                <c:pt idx="64">
                  <c:v>2.5426566505734214</c:v>
                </c:pt>
                <c:pt idx="65">
                  <c:v>-0.21746356852340956</c:v>
                </c:pt>
                <c:pt idx="66">
                  <c:v>-1.0410765165608238E-2</c:v>
                </c:pt>
                <c:pt idx="67">
                  <c:v>5.4818882435579379</c:v>
                </c:pt>
                <c:pt idx="68">
                  <c:v>-8.1018911245500647E-2</c:v>
                </c:pt>
                <c:pt idx="69">
                  <c:v>2.4756665021148603</c:v>
                </c:pt>
                <c:pt idx="70">
                  <c:v>2.7155209306376085</c:v>
                </c:pt>
                <c:pt idx="71">
                  <c:v>4.5157884465046871E-3</c:v>
                </c:pt>
                <c:pt idx="72">
                  <c:v>-1.0998317234579023</c:v>
                </c:pt>
                <c:pt idx="73">
                  <c:v>-2.5434238309367729</c:v>
                </c:pt>
                <c:pt idx="74">
                  <c:v>-0.89080571676256459</c:v>
                </c:pt>
                <c:pt idx="75">
                  <c:v>-7.415626540685949E-3</c:v>
                </c:pt>
                <c:pt idx="76">
                  <c:v>-0.4739601665660621</c:v>
                </c:pt>
                <c:pt idx="77">
                  <c:v>-2.7479756480798194</c:v>
                </c:pt>
                <c:pt idx="78">
                  <c:v>-0.93138697266832027</c:v>
                </c:pt>
                <c:pt idx="79">
                  <c:v>0.55461193574318968</c:v>
                </c:pt>
                <c:pt idx="80">
                  <c:v>-3.4282451885698491</c:v>
                </c:pt>
                <c:pt idx="81">
                  <c:v>6.3257843841413601</c:v>
                </c:pt>
                <c:pt idx="82">
                  <c:v>-1.6165196635656482</c:v>
                </c:pt>
                <c:pt idx="83">
                  <c:v>0.30578769581847443</c:v>
                </c:pt>
                <c:pt idx="84">
                  <c:v>1.8594316989252375</c:v>
                </c:pt>
                <c:pt idx="85">
                  <c:v>-1.621293450829834</c:v>
                </c:pt>
                <c:pt idx="86">
                  <c:v>4.8723690522531475</c:v>
                </c:pt>
                <c:pt idx="87">
                  <c:v>0.98804394745015234</c:v>
                </c:pt>
                <c:pt idx="88">
                  <c:v>-0.43664103826753381</c:v>
                </c:pt>
                <c:pt idx="89">
                  <c:v>-2.0416405809854812</c:v>
                </c:pt>
                <c:pt idx="90">
                  <c:v>-1.8344055870071405</c:v>
                </c:pt>
                <c:pt idx="91">
                  <c:v>0.35695538783706371</c:v>
                </c:pt>
                <c:pt idx="92">
                  <c:v>0.55450660671136065</c:v>
                </c:pt>
                <c:pt idx="93">
                  <c:v>7.2883288599056488</c:v>
                </c:pt>
                <c:pt idx="94">
                  <c:v>-2.0476070424282371</c:v>
                </c:pt>
                <c:pt idx="95">
                  <c:v>6.375811021275231</c:v>
                </c:pt>
                <c:pt idx="96">
                  <c:v>2.6271709075638356</c:v>
                </c:pt>
                <c:pt idx="97">
                  <c:v>-3.1811920692877704</c:v>
                </c:pt>
                <c:pt idx="98">
                  <c:v>4.8359243384226626E-2</c:v>
                </c:pt>
                <c:pt idx="99">
                  <c:v>-1.0729344320227439</c:v>
                </c:pt>
                <c:pt idx="100">
                  <c:v>4.0164787559843695</c:v>
                </c:pt>
                <c:pt idx="101">
                  <c:v>-1.8592318082988539</c:v>
                </c:pt>
                <c:pt idx="102">
                  <c:v>-5.9235808548202353</c:v>
                </c:pt>
                <c:pt idx="103">
                  <c:v>2.5081564295551244</c:v>
                </c:pt>
                <c:pt idx="104">
                  <c:v>-3.3090394252784856</c:v>
                </c:pt>
                <c:pt idx="105">
                  <c:v>-1.409598956093381</c:v>
                </c:pt>
                <c:pt idx="106">
                  <c:v>0.26132111946658176</c:v>
                </c:pt>
                <c:pt idx="107">
                  <c:v>-2.0141789065337434</c:v>
                </c:pt>
                <c:pt idx="108">
                  <c:v>-0.3116074674680841</c:v>
                </c:pt>
                <c:pt idx="109">
                  <c:v>2.92698314094471</c:v>
                </c:pt>
                <c:pt idx="110">
                  <c:v>-2.3184731768121738</c:v>
                </c:pt>
                <c:pt idx="111">
                  <c:v>-3.1371109628155889</c:v>
                </c:pt>
                <c:pt idx="112">
                  <c:v>-0.97430942918269348</c:v>
                </c:pt>
                <c:pt idx="113">
                  <c:v>0.53547446699236112</c:v>
                </c:pt>
                <c:pt idx="114">
                  <c:v>-1.1010052491762503</c:v>
                </c:pt>
                <c:pt idx="115">
                  <c:v>1.869969899608777</c:v>
                </c:pt>
                <c:pt idx="116">
                  <c:v>1.3231286535465934</c:v>
                </c:pt>
                <c:pt idx="117">
                  <c:v>1.5187700298900744</c:v>
                </c:pt>
                <c:pt idx="118">
                  <c:v>4.0399632377187078E-2</c:v>
                </c:pt>
                <c:pt idx="119">
                  <c:v>0.86263455494893326</c:v>
                </c:pt>
                <c:pt idx="120">
                  <c:v>0.95372364046049651</c:v>
                </c:pt>
                <c:pt idx="121">
                  <c:v>-7.98312982788193</c:v>
                </c:pt>
                <c:pt idx="122">
                  <c:v>-1.2497718047190967</c:v>
                </c:pt>
                <c:pt idx="123">
                  <c:v>-0.502671773039431</c:v>
                </c:pt>
                <c:pt idx="124">
                  <c:v>0.33663710911397415</c:v>
                </c:pt>
                <c:pt idx="125">
                  <c:v>-2.1750293835634231</c:v>
                </c:pt>
                <c:pt idx="126">
                  <c:v>4.0324296985173476</c:v>
                </c:pt>
                <c:pt idx="127">
                  <c:v>-1.2053041967581435</c:v>
                </c:pt>
                <c:pt idx="128">
                  <c:v>-1.5882144628473087</c:v>
                </c:pt>
                <c:pt idx="129">
                  <c:v>-0.12961358169186488</c:v>
                </c:pt>
                <c:pt idx="130">
                  <c:v>-0.78395359880816384</c:v>
                </c:pt>
                <c:pt idx="131">
                  <c:v>0.58861610339655335</c:v>
                </c:pt>
                <c:pt idx="132">
                  <c:v>2.047136244099578</c:v>
                </c:pt>
                <c:pt idx="133">
                  <c:v>4.8471513891751066</c:v>
                </c:pt>
                <c:pt idx="134">
                  <c:v>-5.1437380713965464</c:v>
                </c:pt>
                <c:pt idx="135">
                  <c:v>-0.56937978296676506</c:v>
                </c:pt>
                <c:pt idx="136">
                  <c:v>-1.0325849502423661</c:v>
                </c:pt>
                <c:pt idx="137">
                  <c:v>-2.5871948311727442</c:v>
                </c:pt>
                <c:pt idx="138">
                  <c:v>-1.1314666179521138</c:v>
                </c:pt>
                <c:pt idx="139">
                  <c:v>-0.35332961715697309</c:v>
                </c:pt>
                <c:pt idx="140">
                  <c:v>2.3298135811493714</c:v>
                </c:pt>
                <c:pt idx="141">
                  <c:v>5.264804537854606</c:v>
                </c:pt>
                <c:pt idx="142">
                  <c:v>8.5184969158147439E-2</c:v>
                </c:pt>
                <c:pt idx="143">
                  <c:v>2.9021716115054481</c:v>
                </c:pt>
                <c:pt idx="144">
                  <c:v>-1.1290065715445041</c:v>
                </c:pt>
                <c:pt idx="145">
                  <c:v>-0.12409262046531844</c:v>
                </c:pt>
                <c:pt idx="146">
                  <c:v>-1.4650292406089609</c:v>
                </c:pt>
                <c:pt idx="147">
                  <c:v>0.48125533558172667</c:v>
                </c:pt>
                <c:pt idx="148">
                  <c:v>-0.83071127619679319</c:v>
                </c:pt>
                <c:pt idx="149">
                  <c:v>1.227625531669964</c:v>
                </c:pt>
                <c:pt idx="150">
                  <c:v>-2.9405901796759379</c:v>
                </c:pt>
                <c:pt idx="151">
                  <c:v>2.323460983060341</c:v>
                </c:pt>
                <c:pt idx="152">
                  <c:v>2.6110194743003814</c:v>
                </c:pt>
                <c:pt idx="153">
                  <c:v>4.4672782734324112</c:v>
                </c:pt>
                <c:pt idx="154">
                  <c:v>-6.7036211050389705E-2</c:v>
                </c:pt>
                <c:pt idx="155">
                  <c:v>-1.808403704365819</c:v>
                </c:pt>
                <c:pt idx="156">
                  <c:v>-2.6490218317308676</c:v>
                </c:pt>
                <c:pt idx="157">
                  <c:v>-0.36607345703547245</c:v>
                </c:pt>
                <c:pt idx="158">
                  <c:v>-0.71383298228600511</c:v>
                </c:pt>
                <c:pt idx="159">
                  <c:v>-1.4676397659724842</c:v>
                </c:pt>
                <c:pt idx="160">
                  <c:v>1.5584481157707075</c:v>
                </c:pt>
                <c:pt idx="161">
                  <c:v>2.2856432117228733</c:v>
                </c:pt>
                <c:pt idx="162">
                  <c:v>0.58771832654134282</c:v>
                </c:pt>
                <c:pt idx="163">
                  <c:v>3.2608211282499395</c:v>
                </c:pt>
                <c:pt idx="164">
                  <c:v>-4.6359597167002145</c:v>
                </c:pt>
                <c:pt idx="165">
                  <c:v>1.5564862472511136</c:v>
                </c:pt>
                <c:pt idx="166">
                  <c:v>-0.70747428368016818</c:v>
                </c:pt>
                <c:pt idx="167">
                  <c:v>-2.3880130837642688</c:v>
                </c:pt>
                <c:pt idx="168">
                  <c:v>12.185117710980165</c:v>
                </c:pt>
                <c:pt idx="169">
                  <c:v>-0.97895284784338132</c:v>
                </c:pt>
                <c:pt idx="170">
                  <c:v>3.5839896912137528</c:v>
                </c:pt>
                <c:pt idx="171">
                  <c:v>1.8356175846747758E-2</c:v>
                </c:pt>
                <c:pt idx="172">
                  <c:v>-0.1352837627005698</c:v>
                </c:pt>
                <c:pt idx="173">
                  <c:v>2.0243647490702088</c:v>
                </c:pt>
                <c:pt idx="174">
                  <c:v>1.6104272182049926</c:v>
                </c:pt>
                <c:pt idx="175">
                  <c:v>2.4940592663190002</c:v>
                </c:pt>
                <c:pt idx="176">
                  <c:v>2.375104056202018</c:v>
                </c:pt>
                <c:pt idx="177">
                  <c:v>-3.5747660068615632</c:v>
                </c:pt>
                <c:pt idx="178">
                  <c:v>0.30558381248344929</c:v>
                </c:pt>
                <c:pt idx="179">
                  <c:v>1.2963332396272405</c:v>
                </c:pt>
                <c:pt idx="180">
                  <c:v>0.18474954820281991</c:v>
                </c:pt>
                <c:pt idx="181">
                  <c:v>-3.3765243339547615</c:v>
                </c:pt>
                <c:pt idx="182">
                  <c:v>6.4445715022373111</c:v>
                </c:pt>
                <c:pt idx="183">
                  <c:v>0.80670286222272358</c:v>
                </c:pt>
                <c:pt idx="184">
                  <c:v>1.0492807567338871</c:v>
                </c:pt>
                <c:pt idx="185">
                  <c:v>0.96166700711671438</c:v>
                </c:pt>
                <c:pt idx="186">
                  <c:v>-1.0647554233165495</c:v>
                </c:pt>
                <c:pt idx="187">
                  <c:v>-3.8703904575901995</c:v>
                </c:pt>
                <c:pt idx="188">
                  <c:v>1.793523969289148</c:v>
                </c:pt>
                <c:pt idx="189">
                  <c:v>-0.60079313497189635</c:v>
                </c:pt>
                <c:pt idx="190">
                  <c:v>2.2919338504812772</c:v>
                </c:pt>
                <c:pt idx="191">
                  <c:v>-0.12204179072835916</c:v>
                </c:pt>
                <c:pt idx="192">
                  <c:v>-1.6726714111980974</c:v>
                </c:pt>
                <c:pt idx="193">
                  <c:v>1.3866255417189763</c:v>
                </c:pt>
                <c:pt idx="194">
                  <c:v>-0.1969350368170284</c:v>
                </c:pt>
                <c:pt idx="195">
                  <c:v>6.8986613360870122</c:v>
                </c:pt>
                <c:pt idx="196">
                  <c:v>-1.5961909612080458</c:v>
                </c:pt>
                <c:pt idx="197">
                  <c:v>0.14494210882320435</c:v>
                </c:pt>
                <c:pt idx="198">
                  <c:v>-0.63670462486572843</c:v>
                </c:pt>
                <c:pt idx="199">
                  <c:v>4.1603774126803605</c:v>
                </c:pt>
                <c:pt idx="200">
                  <c:v>6.578038599718945</c:v>
                </c:pt>
                <c:pt idx="201">
                  <c:v>-1.1879359354230421</c:v>
                </c:pt>
                <c:pt idx="202">
                  <c:v>0.69340614569340797</c:v>
                </c:pt>
                <c:pt idx="203">
                  <c:v>2.2870777737293064</c:v>
                </c:pt>
                <c:pt idx="204">
                  <c:v>0.45166456528037724</c:v>
                </c:pt>
                <c:pt idx="205">
                  <c:v>4.5462256335323774</c:v>
                </c:pt>
                <c:pt idx="206">
                  <c:v>-0.4815623204928634</c:v>
                </c:pt>
                <c:pt idx="207">
                  <c:v>-8.3011858705030916E-2</c:v>
                </c:pt>
                <c:pt idx="208">
                  <c:v>-0.32930451268147354</c:v>
                </c:pt>
                <c:pt idx="209">
                  <c:v>-0.70465539848881709</c:v>
                </c:pt>
                <c:pt idx="210">
                  <c:v>-4.1247358733089374</c:v>
                </c:pt>
                <c:pt idx="211">
                  <c:v>-1.6576018113907098</c:v>
                </c:pt>
                <c:pt idx="212">
                  <c:v>9.9895978435208477</c:v>
                </c:pt>
                <c:pt idx="213">
                  <c:v>-1.503533389578003</c:v>
                </c:pt>
                <c:pt idx="214">
                  <c:v>0.12706932697273729</c:v>
                </c:pt>
                <c:pt idx="215">
                  <c:v>0.30000667856505903</c:v>
                </c:pt>
                <c:pt idx="216">
                  <c:v>1.2813378977326169</c:v>
                </c:pt>
                <c:pt idx="217">
                  <c:v>5.6799936955412011</c:v>
                </c:pt>
                <c:pt idx="218">
                  <c:v>2.9658834502172753</c:v>
                </c:pt>
                <c:pt idx="219">
                  <c:v>-1.9110902242682257</c:v>
                </c:pt>
                <c:pt idx="220">
                  <c:v>-0.28980881667094011</c:v>
                </c:pt>
                <c:pt idx="221">
                  <c:v>-0.98516682300744529</c:v>
                </c:pt>
                <c:pt idx="222">
                  <c:v>0.8525719116253756</c:v>
                </c:pt>
                <c:pt idx="223">
                  <c:v>-2.0579876308499667E-2</c:v>
                </c:pt>
                <c:pt idx="224">
                  <c:v>3.3715882121503871</c:v>
                </c:pt>
                <c:pt idx="225">
                  <c:v>-1.8352930660596174</c:v>
                </c:pt>
                <c:pt idx="226">
                  <c:v>2.0974245320205176</c:v>
                </c:pt>
                <c:pt idx="227">
                  <c:v>-8.497510273600517E-3</c:v>
                </c:pt>
                <c:pt idx="228">
                  <c:v>2.1730589045236144</c:v>
                </c:pt>
                <c:pt idx="229">
                  <c:v>-2.7514456611523492</c:v>
                </c:pt>
                <c:pt idx="230">
                  <c:v>-3.6509985081270235E-2</c:v>
                </c:pt>
                <c:pt idx="231">
                  <c:v>8.2147781726232232</c:v>
                </c:pt>
                <c:pt idx="232">
                  <c:v>1.587307877093155</c:v>
                </c:pt>
                <c:pt idx="233">
                  <c:v>-5.9139765291298607</c:v>
                </c:pt>
                <c:pt idx="234">
                  <c:v>-0.12168762824823701</c:v>
                </c:pt>
                <c:pt idx="235">
                  <c:v>-2.115780537791824</c:v>
                </c:pt>
                <c:pt idx="236">
                  <c:v>-2.0027184091958423</c:v>
                </c:pt>
                <c:pt idx="237">
                  <c:v>-2.1246156546782036</c:v>
                </c:pt>
                <c:pt idx="238">
                  <c:v>6.3332211365527264</c:v>
                </c:pt>
                <c:pt idx="239">
                  <c:v>-1.8126580429611305</c:v>
                </c:pt>
                <c:pt idx="240">
                  <c:v>1.0965676459125848</c:v>
                </c:pt>
                <c:pt idx="241">
                  <c:v>-6.1738261555731775</c:v>
                </c:pt>
                <c:pt idx="242">
                  <c:v>2.8368371912996695</c:v>
                </c:pt>
                <c:pt idx="243">
                  <c:v>-1.390718105958733</c:v>
                </c:pt>
                <c:pt idx="244">
                  <c:v>0.84487922606855304</c:v>
                </c:pt>
                <c:pt idx="245">
                  <c:v>5.6731164569406412E-2</c:v>
                </c:pt>
                <c:pt idx="246">
                  <c:v>-0.34661430084669942</c:v>
                </c:pt>
                <c:pt idx="247">
                  <c:v>8.2922836877470552</c:v>
                </c:pt>
                <c:pt idx="248">
                  <c:v>0.71593297943244583</c:v>
                </c:pt>
                <c:pt idx="249">
                  <c:v>-9.5878476910366928</c:v>
                </c:pt>
                <c:pt idx="250">
                  <c:v>4.0445421789700955</c:v>
                </c:pt>
                <c:pt idx="251">
                  <c:v>-5.9120536635759704</c:v>
                </c:pt>
                <c:pt idx="252">
                  <c:v>2.1023228578999689</c:v>
                </c:pt>
                <c:pt idx="253">
                  <c:v>-11.939947569095006</c:v>
                </c:pt>
                <c:pt idx="254">
                  <c:v>8.3413722789088975</c:v>
                </c:pt>
                <c:pt idx="255">
                  <c:v>1.5022628685970592</c:v>
                </c:pt>
                <c:pt idx="256">
                  <c:v>-1.6287771115891947</c:v>
                </c:pt>
                <c:pt idx="257">
                  <c:v>5.6725409950553427</c:v>
                </c:pt>
                <c:pt idx="258">
                  <c:v>-5.697382045715492</c:v>
                </c:pt>
                <c:pt idx="259">
                  <c:v>2.5937512373692382</c:v>
                </c:pt>
                <c:pt idx="260">
                  <c:v>-3.2014195047385963</c:v>
                </c:pt>
                <c:pt idx="261">
                  <c:v>4.0151209477065057</c:v>
                </c:pt>
                <c:pt idx="262">
                  <c:v>3.3616768592472415</c:v>
                </c:pt>
                <c:pt idx="263">
                  <c:v>-5.1971390337429373</c:v>
                </c:pt>
                <c:pt idx="264">
                  <c:v>2.1320958639454575</c:v>
                </c:pt>
                <c:pt idx="265">
                  <c:v>-3.3807851257772139</c:v>
                </c:pt>
                <c:pt idx="266">
                  <c:v>16.266209178287099</c:v>
                </c:pt>
                <c:pt idx="267">
                  <c:v>-2.1927505757116679</c:v>
                </c:pt>
                <c:pt idx="268">
                  <c:v>-2.8057893559275726</c:v>
                </c:pt>
                <c:pt idx="269">
                  <c:v>1.3459386093767796</c:v>
                </c:pt>
                <c:pt idx="270">
                  <c:v>3.3925487785918684</c:v>
                </c:pt>
                <c:pt idx="271">
                  <c:v>-2.6050265606897582</c:v>
                </c:pt>
                <c:pt idx="272">
                  <c:v>-4.5636425481694207</c:v>
                </c:pt>
                <c:pt idx="273">
                  <c:v>7.8715563080776194</c:v>
                </c:pt>
                <c:pt idx="274">
                  <c:v>-1.693097319472427</c:v>
                </c:pt>
                <c:pt idx="275">
                  <c:v>3.1435133015928409</c:v>
                </c:pt>
                <c:pt idx="276">
                  <c:v>-2.1857639944802303</c:v>
                </c:pt>
                <c:pt idx="277">
                  <c:v>4.1151829097284924</c:v>
                </c:pt>
                <c:pt idx="278">
                  <c:v>3.4006977075830891E-2</c:v>
                </c:pt>
                <c:pt idx="279">
                  <c:v>-7.6396090073963077</c:v>
                </c:pt>
                <c:pt idx="280">
                  <c:v>3.4855423876092053</c:v>
                </c:pt>
                <c:pt idx="281">
                  <c:v>-0.4947275645056104</c:v>
                </c:pt>
                <c:pt idx="282">
                  <c:v>6.2396645271683049</c:v>
                </c:pt>
                <c:pt idx="283">
                  <c:v>-1.8317119883534683</c:v>
                </c:pt>
                <c:pt idx="284">
                  <c:v>-0.21524144700925546</c:v>
                </c:pt>
                <c:pt idx="285">
                  <c:v>-0.79289947153097351</c:v>
                </c:pt>
                <c:pt idx="286">
                  <c:v>-0.71930477142336269</c:v>
                </c:pt>
                <c:pt idx="287">
                  <c:v>1.6310156088382803</c:v>
                </c:pt>
                <c:pt idx="288">
                  <c:v>-1.6577608428734738</c:v>
                </c:pt>
                <c:pt idx="289">
                  <c:v>13.532908185379032</c:v>
                </c:pt>
                <c:pt idx="290">
                  <c:v>-6.8670820747013801</c:v>
                </c:pt>
                <c:pt idx="291">
                  <c:v>5.4967892144444832</c:v>
                </c:pt>
                <c:pt idx="292">
                  <c:v>-2.5710524493792404</c:v>
                </c:pt>
                <c:pt idx="293">
                  <c:v>-1.1275223168097233</c:v>
                </c:pt>
                <c:pt idx="294">
                  <c:v>12.120086405952655</c:v>
                </c:pt>
                <c:pt idx="295">
                  <c:v>-1.9654688180547444</c:v>
                </c:pt>
                <c:pt idx="296">
                  <c:v>0.88573032642954319</c:v>
                </c:pt>
                <c:pt idx="297">
                  <c:v>-2.6588714291348863</c:v>
                </c:pt>
                <c:pt idx="298">
                  <c:v>-1.432671019938754</c:v>
                </c:pt>
                <c:pt idx="299">
                  <c:v>2.2757392020919993</c:v>
                </c:pt>
                <c:pt idx="300">
                  <c:v>-3.7294927575033574</c:v>
                </c:pt>
                <c:pt idx="301">
                  <c:v>9.4101291136969749</c:v>
                </c:pt>
                <c:pt idx="302">
                  <c:v>-3.997060352217825</c:v>
                </c:pt>
                <c:pt idx="303">
                  <c:v>4.1356251945614657</c:v>
                </c:pt>
                <c:pt idx="304">
                  <c:v>3.5509827884371155</c:v>
                </c:pt>
                <c:pt idx="305">
                  <c:v>2.1171411927862387</c:v>
                </c:pt>
                <c:pt idx="306">
                  <c:v>4.3638910204122983</c:v>
                </c:pt>
                <c:pt idx="307">
                  <c:v>2.1615888968881287</c:v>
                </c:pt>
                <c:pt idx="308">
                  <c:v>-1.1076404338609023</c:v>
                </c:pt>
                <c:pt idx="309">
                  <c:v>2.1446347171246658</c:v>
                </c:pt>
                <c:pt idx="310">
                  <c:v>-1.7329857082848041</c:v>
                </c:pt>
                <c:pt idx="311">
                  <c:v>6.967102942434801</c:v>
                </c:pt>
                <c:pt idx="312">
                  <c:v>-0.24495264446697718</c:v>
                </c:pt>
                <c:pt idx="313">
                  <c:v>2.3769498331978438</c:v>
                </c:pt>
                <c:pt idx="314">
                  <c:v>-8.405154267512895</c:v>
                </c:pt>
                <c:pt idx="315">
                  <c:v>1.8569523838693833</c:v>
                </c:pt>
                <c:pt idx="316">
                  <c:v>-2.2989583675446132</c:v>
                </c:pt>
                <c:pt idx="317">
                  <c:v>-0.85543828286031609</c:v>
                </c:pt>
                <c:pt idx="318">
                  <c:v>-3.1874814096338211</c:v>
                </c:pt>
                <c:pt idx="319">
                  <c:v>-2.0698061100050271</c:v>
                </c:pt>
                <c:pt idx="320">
                  <c:v>9.1217268522576802</c:v>
                </c:pt>
                <c:pt idx="321">
                  <c:v>-4.0089993474737984</c:v>
                </c:pt>
                <c:pt idx="322">
                  <c:v>8.483511459640253</c:v>
                </c:pt>
                <c:pt idx="323">
                  <c:v>-1.8957980294859136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12224"/>
        <c:axId val="620811440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cc_best!$I$13:$I$336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cc_best!$K$13:$K$336</c:f>
              <c:numCache>
                <c:formatCode>General</c:formatCode>
                <c:ptCount val="324"/>
                <c:pt idx="0">
                  <c:v>1.2219732766285019</c:v>
                </c:pt>
                <c:pt idx="1">
                  <c:v>-1.2165451328466683</c:v>
                </c:pt>
                <c:pt idx="2">
                  <c:v>2.5529583157133575</c:v>
                </c:pt>
                <c:pt idx="3">
                  <c:v>-2.9207057684221236</c:v>
                </c:pt>
                <c:pt idx="4">
                  <c:v>2.4424927110316768</c:v>
                </c:pt>
                <c:pt idx="5">
                  <c:v>-3.148312151865313</c:v>
                </c:pt>
                <c:pt idx="6">
                  <c:v>1.8452290108740108</c:v>
                </c:pt>
                <c:pt idx="7">
                  <c:v>-1.4411282689336231</c:v>
                </c:pt>
                <c:pt idx="8">
                  <c:v>0.88904311187110163</c:v>
                </c:pt>
                <c:pt idx="9">
                  <c:v>0.89329777445677072</c:v>
                </c:pt>
                <c:pt idx="10">
                  <c:v>-0.91786768090955539</c:v>
                </c:pt>
                <c:pt idx="11">
                  <c:v>2.2809422527511933</c:v>
                </c:pt>
                <c:pt idx="12">
                  <c:v>-2.8852144884393565</c:v>
                </c:pt>
                <c:pt idx="13">
                  <c:v>2.4222045800016523</c:v>
                </c:pt>
                <c:pt idx="14">
                  <c:v>-3.1126681676305523</c:v>
                </c:pt>
                <c:pt idx="15">
                  <c:v>1.6726517448451059</c:v>
                </c:pt>
                <c:pt idx="16">
                  <c:v>-0.83909944259510749</c:v>
                </c:pt>
                <c:pt idx="17">
                  <c:v>-4.8201657762052263E-3</c:v>
                </c:pt>
                <c:pt idx="18">
                  <c:v>2.106073832714876</c:v>
                </c:pt>
                <c:pt idx="19">
                  <c:v>-2.140377914062936</c:v>
                </c:pt>
                <c:pt idx="20">
                  <c:v>2.9640383694761683</c:v>
                </c:pt>
                <c:pt idx="21">
                  <c:v>-2.7401511931413185</c:v>
                </c:pt>
                <c:pt idx="22">
                  <c:v>0.95318674152773308</c:v>
                </c:pt>
                <c:pt idx="23">
                  <c:v>-0.38830753416345187</c:v>
                </c:pt>
                <c:pt idx="24">
                  <c:v>-1.8135299639305456</c:v>
                </c:pt>
                <c:pt idx="25">
                  <c:v>2.7313593239229093</c:v>
                </c:pt>
                <c:pt idx="26">
                  <c:v>-2.4385906536512043</c:v>
                </c:pt>
                <c:pt idx="27">
                  <c:v>2.6310796439220865</c:v>
                </c:pt>
                <c:pt idx="28">
                  <c:v>-0.36977421620663692</c:v>
                </c:pt>
                <c:pt idx="29">
                  <c:v>-0.89146756878581968</c:v>
                </c:pt>
                <c:pt idx="30">
                  <c:v>1.977437490588845</c:v>
                </c:pt>
                <c:pt idx="31">
                  <c:v>-3.3481410515320662</c:v>
                </c:pt>
                <c:pt idx="32">
                  <c:v>2.0906922464395956</c:v>
                </c:pt>
                <c:pt idx="33">
                  <c:v>-1.6009535721872541</c:v>
                </c:pt>
                <c:pt idx="34">
                  <c:v>5.6222062518528959E-2</c:v>
                </c:pt>
                <c:pt idx="35">
                  <c:v>1.9958906088288662</c:v>
                </c:pt>
                <c:pt idx="36">
                  <c:v>-2.0731866896484781</c:v>
                </c:pt>
                <c:pt idx="37">
                  <c:v>3.1831237373008601</c:v>
                </c:pt>
                <c:pt idx="38">
                  <c:v>-2.4851214252720522</c:v>
                </c:pt>
                <c:pt idx="39">
                  <c:v>1.1879340004475638</c:v>
                </c:pt>
                <c:pt idx="40">
                  <c:v>-0.78270650558912547</c:v>
                </c:pt>
                <c:pt idx="41">
                  <c:v>-1.3723321081085178</c:v>
                </c:pt>
                <c:pt idx="42">
                  <c:v>1.8521931546610004</c:v>
                </c:pt>
                <c:pt idx="43">
                  <c:v>-2.4329852475580829</c:v>
                </c:pt>
                <c:pt idx="44">
                  <c:v>3.3263843903963037</c:v>
                </c:pt>
                <c:pt idx="45">
                  <c:v>-2.2059163350842637</c:v>
                </c:pt>
                <c:pt idx="46">
                  <c:v>2.4158756895699782</c:v>
                </c:pt>
                <c:pt idx="47">
                  <c:v>-1.4268432242784082</c:v>
                </c:pt>
                <c:pt idx="48">
                  <c:v>5.9815315673141328E-2</c:v>
                </c:pt>
                <c:pt idx="49">
                  <c:v>2.4391554785348008E-2</c:v>
                </c:pt>
                <c:pt idx="50">
                  <c:v>-1.7892766265257782</c:v>
                </c:pt>
                <c:pt idx="51">
                  <c:v>2.0548414066835372</c:v>
                </c:pt>
                <c:pt idx="52">
                  <c:v>-2.3807277540600924</c:v>
                </c:pt>
                <c:pt idx="53">
                  <c:v>3.3373368121924876</c:v>
                </c:pt>
                <c:pt idx="54">
                  <c:v>-2.3186979251681596</c:v>
                </c:pt>
                <c:pt idx="55">
                  <c:v>2.5985816499052117</c:v>
                </c:pt>
                <c:pt idx="56">
                  <c:v>-1.7979707661692417</c:v>
                </c:pt>
                <c:pt idx="57">
                  <c:v>0.33903285620274587</c:v>
                </c:pt>
                <c:pt idx="58">
                  <c:v>-0.17565000865856703</c:v>
                </c:pt>
                <c:pt idx="59">
                  <c:v>-1.7237418542095664</c:v>
                </c:pt>
                <c:pt idx="60">
                  <c:v>2.2308052653171009</c:v>
                </c:pt>
                <c:pt idx="61">
                  <c:v>-2.4844928770772143</c:v>
                </c:pt>
                <c:pt idx="62">
                  <c:v>3.305339765149891</c:v>
                </c:pt>
                <c:pt idx="63">
                  <c:v>-1.8477297190203599</c:v>
                </c:pt>
                <c:pt idx="64">
                  <c:v>1.4105473236871606</c:v>
                </c:pt>
                <c:pt idx="65">
                  <c:v>-3.6586509040628941E-2</c:v>
                </c:pt>
                <c:pt idx="66">
                  <c:v>-1.9499239536631097</c:v>
                </c:pt>
                <c:pt idx="67">
                  <c:v>2.0452027186113257</c:v>
                </c:pt>
                <c:pt idx="68">
                  <c:v>-3.1741815620545526</c:v>
                </c:pt>
                <c:pt idx="69">
                  <c:v>2.3975197401038604</c:v>
                </c:pt>
                <c:pt idx="70">
                  <c:v>-0.80044280975190918</c:v>
                </c:pt>
                <c:pt idx="71">
                  <c:v>3.3233557696020946E-2</c:v>
                </c:pt>
                <c:pt idx="72">
                  <c:v>2.3437691502857554</c:v>
                </c:pt>
                <c:pt idx="73">
                  <c:v>-2.6601359424308995</c:v>
                </c:pt>
                <c:pt idx="74">
                  <c:v>2.4919950280548586</c:v>
                </c:pt>
                <c:pt idx="75">
                  <c:v>-2.2020847222991078</c:v>
                </c:pt>
                <c:pt idx="76">
                  <c:v>-0.26826417655151175</c:v>
                </c:pt>
                <c:pt idx="77">
                  <c:v>1.1243386197597167</c:v>
                </c:pt>
                <c:pt idx="78">
                  <c:v>-2.4423534959541042</c:v>
                </c:pt>
                <c:pt idx="79">
                  <c:v>3.24758614063719</c:v>
                </c:pt>
                <c:pt idx="80">
                  <c:v>-1.8669783319130215</c:v>
                </c:pt>
                <c:pt idx="81">
                  <c:v>1.5852822814093082</c:v>
                </c:pt>
                <c:pt idx="82">
                  <c:v>0.30790408881326081</c:v>
                </c:pt>
                <c:pt idx="83">
                  <c:v>-1.8506008985790308</c:v>
                </c:pt>
                <c:pt idx="84">
                  <c:v>2.0402946463253286</c:v>
                </c:pt>
                <c:pt idx="85">
                  <c:v>-3.3259247953786537</c:v>
                </c:pt>
                <c:pt idx="86">
                  <c:v>2.4171336281534304</c:v>
                </c:pt>
                <c:pt idx="87">
                  <c:v>-1.7784794792060132</c:v>
                </c:pt>
                <c:pt idx="88">
                  <c:v>1.2971439243198075</c:v>
                </c:pt>
                <c:pt idx="89">
                  <c:v>0.73653776579948615</c:v>
                </c:pt>
                <c:pt idx="90">
                  <c:v>-0.95377435204824357</c:v>
                </c:pt>
                <c:pt idx="91">
                  <c:v>2.1463064090316739</c:v>
                </c:pt>
                <c:pt idx="92">
                  <c:v>-2.9779975963437244</c:v>
                </c:pt>
                <c:pt idx="93">
                  <c:v>2.3813138904662696</c:v>
                </c:pt>
                <c:pt idx="94">
                  <c:v>-3.1732835977247169</c:v>
                </c:pt>
                <c:pt idx="95">
                  <c:v>2.1502776279415041</c:v>
                </c:pt>
                <c:pt idx="96">
                  <c:v>-1.463590587241103</c:v>
                </c:pt>
                <c:pt idx="97">
                  <c:v>1.2435275580019254</c:v>
                </c:pt>
                <c:pt idx="98">
                  <c:v>0.6116659500825079</c:v>
                </c:pt>
                <c:pt idx="99">
                  <c:v>-0.75526130444843342</c:v>
                </c:pt>
                <c:pt idx="100">
                  <c:v>1.8412331494184877</c:v>
                </c:pt>
                <c:pt idx="101">
                  <c:v>-2.853000371262338</c:v>
                </c:pt>
                <c:pt idx="102">
                  <c:v>2.3404136125368864</c:v>
                </c:pt>
                <c:pt idx="103">
                  <c:v>-3.2109987464775163</c:v>
                </c:pt>
                <c:pt idx="104">
                  <c:v>2.2694438488381823</c:v>
                </c:pt>
                <c:pt idx="105">
                  <c:v>-1.3464904891844585</c:v>
                </c:pt>
                <c:pt idx="106">
                  <c:v>0.94069209429817291</c:v>
                </c:pt>
                <c:pt idx="107">
                  <c:v>1.2196327564142135</c:v>
                </c:pt>
                <c:pt idx="108">
                  <c:v>-1.6250859004516343</c:v>
                </c:pt>
                <c:pt idx="109">
                  <c:v>2.5656947360492213</c:v>
                </c:pt>
                <c:pt idx="110">
                  <c:v>-3.246900645663457</c:v>
                </c:pt>
                <c:pt idx="111">
                  <c:v>1.8841716431602309</c:v>
                </c:pt>
                <c:pt idx="112">
                  <c:v>-1.6447179799870748</c:v>
                </c:pt>
                <c:pt idx="113">
                  <c:v>-0.26656958786196372</c:v>
                </c:pt>
                <c:pt idx="114">
                  <c:v>1.9392030718821225</c:v>
                </c:pt>
                <c:pt idx="115">
                  <c:v>-2.1708266640621767</c:v>
                </c:pt>
                <c:pt idx="116">
                  <c:v>3.2812766057862928</c:v>
                </c:pt>
                <c:pt idx="117">
                  <c:v>-1.9034627380190732</c:v>
                </c:pt>
                <c:pt idx="118">
                  <c:v>0.55207709010761774</c:v>
                </c:pt>
                <c:pt idx="119">
                  <c:v>0.53958370686142487</c:v>
                </c:pt>
                <c:pt idx="120">
                  <c:v>-2.7855523890219338</c:v>
                </c:pt>
                <c:pt idx="121">
                  <c:v>2.5362228941312868</c:v>
                </c:pt>
                <c:pt idx="122">
                  <c:v>-2.5095797011240109</c:v>
                </c:pt>
                <c:pt idx="123">
                  <c:v>1.661313895525151</c:v>
                </c:pt>
                <c:pt idx="124">
                  <c:v>0.70954835714615316</c:v>
                </c:pt>
                <c:pt idx="125">
                  <c:v>-1.2607151356289854</c:v>
                </c:pt>
                <c:pt idx="126">
                  <c:v>2.7953678586827557</c:v>
                </c:pt>
                <c:pt idx="127">
                  <c:v>-3.0428789415005952</c:v>
                </c:pt>
                <c:pt idx="128">
                  <c:v>1.8786037151368526</c:v>
                </c:pt>
                <c:pt idx="129">
                  <c:v>-1.7329731892302838</c:v>
                </c:pt>
                <c:pt idx="130">
                  <c:v>-0.35877348819129828</c:v>
                </c:pt>
                <c:pt idx="131">
                  <c:v>1.376185769363178</c:v>
                </c:pt>
                <c:pt idx="132">
                  <c:v>-1.9281461617941036</c:v>
                </c:pt>
                <c:pt idx="133">
                  <c:v>3.2947724323417971</c:v>
                </c:pt>
                <c:pt idx="134">
                  <c:v>-2.4320818171619645</c:v>
                </c:pt>
                <c:pt idx="135">
                  <c:v>2.5288261150857689</c:v>
                </c:pt>
                <c:pt idx="136">
                  <c:v>-1.9345567069134155</c:v>
                </c:pt>
                <c:pt idx="137">
                  <c:v>0.30010942241121402</c:v>
                </c:pt>
                <c:pt idx="138">
                  <c:v>-0.23826466255025944</c:v>
                </c:pt>
                <c:pt idx="139">
                  <c:v>-1.4159816672116481</c:v>
                </c:pt>
                <c:pt idx="140">
                  <c:v>2.0657963837271733</c:v>
                </c:pt>
                <c:pt idx="141">
                  <c:v>-2.1443120661573363</c:v>
                </c:pt>
                <c:pt idx="142">
                  <c:v>3.3324543340082129</c:v>
                </c:pt>
                <c:pt idx="143">
                  <c:v>-2.4720772989654813</c:v>
                </c:pt>
                <c:pt idx="144">
                  <c:v>2.5785667806356698</c:v>
                </c:pt>
                <c:pt idx="145">
                  <c:v>-2.2261962078303714</c:v>
                </c:pt>
                <c:pt idx="146">
                  <c:v>0.6384721523276885</c:v>
                </c:pt>
                <c:pt idx="147">
                  <c:v>-0.59016058923795633</c:v>
                </c:pt>
                <c:pt idx="148">
                  <c:v>-1.0774074974086314</c:v>
                </c:pt>
                <c:pt idx="149">
                  <c:v>1.9739237309172093</c:v>
                </c:pt>
                <c:pt idx="150">
                  <c:v>-2.1066955575516633</c:v>
                </c:pt>
                <c:pt idx="151">
                  <c:v>3.3533707515598183</c:v>
                </c:pt>
                <c:pt idx="152">
                  <c:v>-2.3893034665612771</c:v>
                </c:pt>
                <c:pt idx="153">
                  <c:v>2.0454574594400254</c:v>
                </c:pt>
                <c:pt idx="154">
                  <c:v>-1.2731721121431006</c:v>
                </c:pt>
                <c:pt idx="155">
                  <c:v>-0.89467138274284175</c:v>
                </c:pt>
                <c:pt idx="156">
                  <c:v>1.2806695187743644</c:v>
                </c:pt>
                <c:pt idx="157">
                  <c:v>-2.7593266903909619</c:v>
                </c:pt>
                <c:pt idx="158">
                  <c:v>3.0591555038162221</c:v>
                </c:pt>
                <c:pt idx="159">
                  <c:v>-1.857310195348771</c:v>
                </c:pt>
                <c:pt idx="160">
                  <c:v>1.545924081522325</c:v>
                </c:pt>
                <c:pt idx="161">
                  <c:v>0.80301973916358804</c:v>
                </c:pt>
                <c:pt idx="162">
                  <c:v>-2.0250295506613663</c:v>
                </c:pt>
                <c:pt idx="163">
                  <c:v>2.4264777704678311</c:v>
                </c:pt>
                <c:pt idx="164">
                  <c:v>-3.2006699509591185</c:v>
                </c:pt>
                <c:pt idx="165">
                  <c:v>1.3297522715847518</c:v>
                </c:pt>
                <c:pt idx="166">
                  <c:v>-0.26015545640856585</c:v>
                </c:pt>
                <c:pt idx="167">
                  <c:v>-1.1834568604549172</c:v>
                </c:pt>
                <c:pt idx="168">
                  <c:v>3.024919499578544</c:v>
                </c:pt>
                <c:pt idx="169">
                  <c:v>-2.3962091688234257</c:v>
                </c:pt>
                <c:pt idx="170">
                  <c:v>2.5223161734355974</c:v>
                </c:pt>
                <c:pt idx="171">
                  <c:v>-1.1668359987675097</c:v>
                </c:pt>
                <c:pt idx="172">
                  <c:v>-0.8401096399886383</c:v>
                </c:pt>
                <c:pt idx="173">
                  <c:v>1.2869890256939933</c:v>
                </c:pt>
                <c:pt idx="174">
                  <c:v>-2.9982590560699665</c:v>
                </c:pt>
                <c:pt idx="175">
                  <c:v>2.8229070696361407</c:v>
                </c:pt>
                <c:pt idx="176">
                  <c:v>-2.1605555404618118</c:v>
                </c:pt>
                <c:pt idx="177">
                  <c:v>2.0516242168740333</c:v>
                </c:pt>
                <c:pt idx="178">
                  <c:v>1.9851415784062732E-2</c:v>
                </c:pt>
                <c:pt idx="179">
                  <c:v>-0.56666193410624277</c:v>
                </c:pt>
                <c:pt idx="180">
                  <c:v>1.6025524770999384</c:v>
                </c:pt>
                <c:pt idx="181">
                  <c:v>-2.9087182710533979</c:v>
                </c:pt>
                <c:pt idx="182">
                  <c:v>2.3446335572317487</c:v>
                </c:pt>
                <c:pt idx="183">
                  <c:v>-3.1333615663415388</c:v>
                </c:pt>
                <c:pt idx="184">
                  <c:v>2.4809815174185137</c:v>
                </c:pt>
                <c:pt idx="185">
                  <c:v>-1.5086425076377625</c:v>
                </c:pt>
                <c:pt idx="186">
                  <c:v>1.5223474658545579</c:v>
                </c:pt>
                <c:pt idx="187">
                  <c:v>0.3032006616535205</c:v>
                </c:pt>
                <c:pt idx="188">
                  <c:v>-0.67945612284455581</c:v>
                </c:pt>
                <c:pt idx="189">
                  <c:v>1.4471766207051608</c:v>
                </c:pt>
                <c:pt idx="190">
                  <c:v>-2.7844971308090702</c:v>
                </c:pt>
                <c:pt idx="191">
                  <c:v>2.277577981739872</c:v>
                </c:pt>
                <c:pt idx="192">
                  <c:v>-3.1381877151684887</c:v>
                </c:pt>
                <c:pt idx="193">
                  <c:v>2.6934426308865471</c:v>
                </c:pt>
                <c:pt idx="194">
                  <c:v>-1.6576680915511706</c:v>
                </c:pt>
                <c:pt idx="195">
                  <c:v>1.6206243777620069</c:v>
                </c:pt>
                <c:pt idx="196">
                  <c:v>0.37455185553935055</c:v>
                </c:pt>
                <c:pt idx="197">
                  <c:v>-1.0686662293763456</c:v>
                </c:pt>
                <c:pt idx="198">
                  <c:v>1.8908452876317843</c:v>
                </c:pt>
                <c:pt idx="199">
                  <c:v>-3.2370272165572356</c:v>
                </c:pt>
                <c:pt idx="200">
                  <c:v>2.3593298780753464</c:v>
                </c:pt>
                <c:pt idx="201">
                  <c:v>-2.4616559381238363</c:v>
                </c:pt>
                <c:pt idx="202">
                  <c:v>1.2119253456039163</c:v>
                </c:pt>
                <c:pt idx="203">
                  <c:v>0.77365348394563582</c:v>
                </c:pt>
                <c:pt idx="204">
                  <c:v>-1.2697588409023968</c:v>
                </c:pt>
                <c:pt idx="205">
                  <c:v>3.0326863948640108</c:v>
                </c:pt>
                <c:pt idx="206">
                  <c:v>-2.7875538880371478</c:v>
                </c:pt>
                <c:pt idx="207">
                  <c:v>1.7708134976377603</c:v>
                </c:pt>
                <c:pt idx="208">
                  <c:v>-1.1428060697707145</c:v>
                </c:pt>
                <c:pt idx="209">
                  <c:v>-1.4232754577418041</c:v>
                </c:pt>
                <c:pt idx="210">
                  <c:v>2.1340563273263111</c:v>
                </c:pt>
                <c:pt idx="211">
                  <c:v>-2.6978685492689922</c:v>
                </c:pt>
                <c:pt idx="212">
                  <c:v>2.9135767214539592</c:v>
                </c:pt>
                <c:pt idx="213">
                  <c:v>-0.79759321334588484</c:v>
                </c:pt>
                <c:pt idx="214">
                  <c:v>8.950508872247534E-4</c:v>
                </c:pt>
                <c:pt idx="215">
                  <c:v>1.7549687432811423</c:v>
                </c:pt>
                <c:pt idx="216">
                  <c:v>-3.038170072518406</c:v>
                </c:pt>
                <c:pt idx="217">
                  <c:v>2.3280297721583736</c:v>
                </c:pt>
                <c:pt idx="218">
                  <c:v>-2.5908295107929327</c:v>
                </c:pt>
                <c:pt idx="219">
                  <c:v>0.87514824007909131</c:v>
                </c:pt>
                <c:pt idx="220">
                  <c:v>0.60622916356424783</c:v>
                </c:pt>
                <c:pt idx="221">
                  <c:v>-1.1829866740507387</c:v>
                </c:pt>
                <c:pt idx="222">
                  <c:v>2.9851820205714108</c:v>
                </c:pt>
                <c:pt idx="223">
                  <c:v>-2.6032133976204777</c:v>
                </c:pt>
                <c:pt idx="224">
                  <c:v>2.6208375771551995</c:v>
                </c:pt>
                <c:pt idx="225">
                  <c:v>-2.4739830950087822</c:v>
                </c:pt>
                <c:pt idx="226">
                  <c:v>0.69872936780306005</c:v>
                </c:pt>
                <c:pt idx="227">
                  <c:v>-0.53858265819901885</c:v>
                </c:pt>
                <c:pt idx="228">
                  <c:v>-0.9307384464173144</c:v>
                </c:pt>
                <c:pt idx="229">
                  <c:v>2.0105193387677582</c:v>
                </c:pt>
                <c:pt idx="230">
                  <c:v>-1.9291051881116179</c:v>
                </c:pt>
                <c:pt idx="231">
                  <c:v>3.2423830455446705</c:v>
                </c:pt>
                <c:pt idx="232">
                  <c:v>-2.6471672110135542</c:v>
                </c:pt>
                <c:pt idx="233">
                  <c:v>2.5050933660540977</c:v>
                </c:pt>
                <c:pt idx="234">
                  <c:v>-2.5396171285438283</c:v>
                </c:pt>
                <c:pt idx="235">
                  <c:v>0.8944707521080395</c:v>
                </c:pt>
                <c:pt idx="236">
                  <c:v>-0.82524455367508753</c:v>
                </c:pt>
                <c:pt idx="237">
                  <c:v>-0.51050970021083142</c:v>
                </c:pt>
                <c:pt idx="238">
                  <c:v>1.7464055641111085</c:v>
                </c:pt>
                <c:pt idx="239">
                  <c:v>-1.7376462361858804</c:v>
                </c:pt>
                <c:pt idx="240">
                  <c:v>3.169881360338533</c:v>
                </c:pt>
                <c:pt idx="241">
                  <c:v>-2.6962697002044034</c:v>
                </c:pt>
                <c:pt idx="242">
                  <c:v>2.3511237812706556</c:v>
                </c:pt>
                <c:pt idx="243">
                  <c:v>-2.1868140354568095</c:v>
                </c:pt>
                <c:pt idx="244">
                  <c:v>0.11808537879136249</c:v>
                </c:pt>
                <c:pt idx="245">
                  <c:v>0.40759045480235939</c:v>
                </c:pt>
                <c:pt idx="246">
                  <c:v>-1.8719393122623498</c:v>
                </c:pt>
                <c:pt idx="247">
                  <c:v>3.048074552798421</c:v>
                </c:pt>
                <c:pt idx="248">
                  <c:v>-2.3387481455445269</c:v>
                </c:pt>
                <c:pt idx="249">
                  <c:v>2.6211101482927113</c:v>
                </c:pt>
                <c:pt idx="250">
                  <c:v>-0.84730124461588707</c:v>
                </c:pt>
                <c:pt idx="251">
                  <c:v>-0.83346959391059172</c:v>
                </c:pt>
                <c:pt idx="252">
                  <c:v>1.5500831944774396</c:v>
                </c:pt>
                <c:pt idx="253">
                  <c:v>-3.2732441711816822</c:v>
                </c:pt>
                <c:pt idx="254">
                  <c:v>2.4384949470075572</c:v>
                </c:pt>
                <c:pt idx="255">
                  <c:v>-1.6082562034501449</c:v>
                </c:pt>
                <c:pt idx="256">
                  <c:v>0.52189483308616147</c:v>
                </c:pt>
                <c:pt idx="257">
                  <c:v>1.9642219273042985</c:v>
                </c:pt>
                <c:pt idx="258">
                  <c:v>-2.2107906096180421</c:v>
                </c:pt>
                <c:pt idx="259">
                  <c:v>2.9140686937628146</c:v>
                </c:pt>
                <c:pt idx="260">
                  <c:v>-2.5004043978390897</c:v>
                </c:pt>
                <c:pt idx="261">
                  <c:v>0.45320238562222448</c:v>
                </c:pt>
                <c:pt idx="262">
                  <c:v>0.15549895353971127</c:v>
                </c:pt>
                <c:pt idx="263">
                  <c:v>-2.1483776006204551</c:v>
                </c:pt>
                <c:pt idx="264">
                  <c:v>2.871961497704846</c:v>
                </c:pt>
                <c:pt idx="265">
                  <c:v>-2.4060540403801318</c:v>
                </c:pt>
                <c:pt idx="266">
                  <c:v>2.7523751772504217</c:v>
                </c:pt>
                <c:pt idx="267">
                  <c:v>-0.89648238931884161</c:v>
                </c:pt>
                <c:pt idx="268">
                  <c:v>-2.9925524629553155E-3</c:v>
                </c:pt>
                <c:pt idx="269">
                  <c:v>0.88454321395478552</c:v>
                </c:pt>
                <c:pt idx="270">
                  <c:v>-2.6352733550768934</c:v>
                </c:pt>
                <c:pt idx="271">
                  <c:v>2.2877125348118792</c:v>
                </c:pt>
                <c:pt idx="272">
                  <c:v>-3.0252484423778778</c:v>
                </c:pt>
                <c:pt idx="273">
                  <c:v>2.8221042619622128</c:v>
                </c:pt>
                <c:pt idx="274">
                  <c:v>-1.6263507370638945</c:v>
                </c:pt>
                <c:pt idx="275">
                  <c:v>1.7617348300600775</c:v>
                </c:pt>
                <c:pt idx="276">
                  <c:v>-6.9505826684526054E-2</c:v>
                </c:pt>
                <c:pt idx="277">
                  <c:v>-0.62981574020162723</c:v>
                </c:pt>
                <c:pt idx="278">
                  <c:v>1.1000886692386613</c:v>
                </c:pt>
                <c:pt idx="279">
                  <c:v>-2.6708584879685491</c:v>
                </c:pt>
                <c:pt idx="280">
                  <c:v>2.266183751125685</c:v>
                </c:pt>
                <c:pt idx="281">
                  <c:v>-2.9727458552040673</c:v>
                </c:pt>
                <c:pt idx="282">
                  <c:v>2.9939545630896234</c:v>
                </c:pt>
                <c:pt idx="283">
                  <c:v>-1.8499009585169579</c:v>
                </c:pt>
                <c:pt idx="284">
                  <c:v>2.0416791723365901</c:v>
                </c:pt>
                <c:pt idx="285">
                  <c:v>-0.3528575120590175</c:v>
                </c:pt>
                <c:pt idx="286">
                  <c:v>-0.59867309040138228</c:v>
                </c:pt>
                <c:pt idx="287">
                  <c:v>1.1707755373181223</c:v>
                </c:pt>
                <c:pt idx="288">
                  <c:v>-2.9023009909082931</c:v>
                </c:pt>
                <c:pt idx="289">
                  <c:v>2.4805341313990654</c:v>
                </c:pt>
                <c:pt idx="290">
                  <c:v>-2.7892197100663805</c:v>
                </c:pt>
                <c:pt idx="291">
                  <c:v>2.3317207446469839</c:v>
                </c:pt>
                <c:pt idx="292">
                  <c:v>-0.3849143692102584</c:v>
                </c:pt>
                <c:pt idx="293">
                  <c:v>-0.11653542971470515</c:v>
                </c:pt>
                <c:pt idx="294">
                  <c:v>2.0849208867967168</c:v>
                </c:pt>
                <c:pt idx="295">
                  <c:v>-2.8775512077775574</c:v>
                </c:pt>
                <c:pt idx="296">
                  <c:v>2.3739510102927079</c:v>
                </c:pt>
                <c:pt idx="297">
                  <c:v>-2.5156047570066624</c:v>
                </c:pt>
                <c:pt idx="298">
                  <c:v>0.28342806585476948</c:v>
                </c:pt>
                <c:pt idx="299">
                  <c:v>1.0230149761412954</c:v>
                </c:pt>
                <c:pt idx="300">
                  <c:v>-2.001448979919227</c:v>
                </c:pt>
                <c:pt idx="301">
                  <c:v>3.3623726719959475</c:v>
                </c:pt>
                <c:pt idx="302">
                  <c:v>-2.0402652016052873</c:v>
                </c:pt>
                <c:pt idx="303">
                  <c:v>1.3891538663580081</c:v>
                </c:pt>
                <c:pt idx="304">
                  <c:v>0.17057893384975123</c:v>
                </c:pt>
                <c:pt idx="305">
                  <c:v>-2.2971048648076353</c:v>
                </c:pt>
                <c:pt idx="306">
                  <c:v>2.253439950725554</c:v>
                </c:pt>
                <c:pt idx="307">
                  <c:v>-3.0720080315304412</c:v>
                </c:pt>
                <c:pt idx="308">
                  <c:v>2.1086705356956319</c:v>
                </c:pt>
                <c:pt idx="309">
                  <c:v>-0.41493216504365682</c:v>
                </c:pt>
                <c:pt idx="310">
                  <c:v>-0.16001348367608512</c:v>
                </c:pt>
                <c:pt idx="311">
                  <c:v>2.2839372265944133</c:v>
                </c:pt>
                <c:pt idx="312">
                  <c:v>-2.5740371964255573</c:v>
                </c:pt>
                <c:pt idx="313">
                  <c:v>2.6170262127200408</c:v>
                </c:pt>
                <c:pt idx="314">
                  <c:v>-2.975810175779861</c:v>
                </c:pt>
                <c:pt idx="315">
                  <c:v>1.255602858224601</c:v>
                </c:pt>
                <c:pt idx="316">
                  <c:v>-0.91810511816535068</c:v>
                </c:pt>
                <c:pt idx="317">
                  <c:v>-0.31001063121412692</c:v>
                </c:pt>
                <c:pt idx="318">
                  <c:v>1.820748267734752</c:v>
                </c:pt>
                <c:pt idx="319">
                  <c:v>-1.7114882469788963</c:v>
                </c:pt>
                <c:pt idx="320">
                  <c:v>3.0571025209177902</c:v>
                </c:pt>
                <c:pt idx="321">
                  <c:v>-2.8312042362125958</c:v>
                </c:pt>
                <c:pt idx="322">
                  <c:v>2.4286265809253145</c:v>
                </c:pt>
                <c:pt idx="323">
                  <c:v>-2.7634571475418666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05560"/>
        <c:axId val="620810264"/>
      </c:scatterChart>
      <c:valAx>
        <c:axId val="620812224"/>
        <c:scaling>
          <c:orientation val="minMax"/>
          <c:max val="2000"/>
          <c:min val="180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620811440"/>
        <c:crosses val="autoZero"/>
        <c:crossBetween val="midCat"/>
      </c:valAx>
      <c:valAx>
        <c:axId val="620811440"/>
        <c:scaling>
          <c:orientation val="minMax"/>
          <c:max val="40"/>
          <c:min val="-40"/>
        </c:scaling>
        <c:delete val="0"/>
        <c:axPos val="l"/>
        <c:numFmt formatCode="General" sourceLinked="1"/>
        <c:majorTickMark val="out"/>
        <c:minorTickMark val="none"/>
        <c:tickLblPos val="nextTo"/>
        <c:crossAx val="620812224"/>
        <c:crosses val="autoZero"/>
        <c:crossBetween val="midCat"/>
      </c:valAx>
      <c:valAx>
        <c:axId val="620810264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620805560"/>
        <c:crosses val="max"/>
        <c:crossBetween val="midCat"/>
      </c:valAx>
      <c:valAx>
        <c:axId val="620805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20810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'cc (4)'!$E$11:$E$338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'cc (4)'!$F$11:$F$338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206480"/>
        <c:axId val="481209616"/>
      </c:scatterChart>
      <c:valAx>
        <c:axId val="481206480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81209616"/>
        <c:crosses val="autoZero"/>
        <c:crossBetween val="midCat"/>
      </c:valAx>
      <c:valAx>
        <c:axId val="481209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812064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'cc (4)'!$E$13:$E$336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'cc (4)'!$J$13:$J$336</c:f>
              <c:numCache>
                <c:formatCode>General</c:formatCode>
                <c:ptCount val="324"/>
                <c:pt idx="0">
                  <c:v>15.936272538077862</c:v>
                </c:pt>
                <c:pt idx="1">
                  <c:v>4.689066207394502</c:v>
                </c:pt>
                <c:pt idx="2">
                  <c:v>-13.024496870099547</c:v>
                </c:pt>
                <c:pt idx="3">
                  <c:v>2.1015853946493772</c:v>
                </c:pt>
                <c:pt idx="4">
                  <c:v>16.103662660626298</c:v>
                </c:pt>
                <c:pt idx="5">
                  <c:v>2.2637277960192002</c:v>
                </c:pt>
                <c:pt idx="6">
                  <c:v>13.397088030696288</c:v>
                </c:pt>
                <c:pt idx="7">
                  <c:v>0.46074967848143389</c:v>
                </c:pt>
                <c:pt idx="8">
                  <c:v>2.5521333635950127</c:v>
                </c:pt>
                <c:pt idx="9">
                  <c:v>4.0855451686707118</c:v>
                </c:pt>
                <c:pt idx="10">
                  <c:v>3.1958873995006121</c:v>
                </c:pt>
                <c:pt idx="11">
                  <c:v>0.23007242442425557</c:v>
                </c:pt>
                <c:pt idx="12">
                  <c:v>-15.151773092820179</c:v>
                </c:pt>
                <c:pt idx="13">
                  <c:v>-8.270533719136111</c:v>
                </c:pt>
                <c:pt idx="14">
                  <c:v>-5.2061840423482559</c:v>
                </c:pt>
                <c:pt idx="15">
                  <c:v>-2.1045303429318727</c:v>
                </c:pt>
                <c:pt idx="16">
                  <c:v>-10.264793185937581</c:v>
                </c:pt>
                <c:pt idx="17">
                  <c:v>-5.427749525733752</c:v>
                </c:pt>
                <c:pt idx="18">
                  <c:v>-0.14677455157501518</c:v>
                </c:pt>
                <c:pt idx="19">
                  <c:v>3.9031039205400648</c:v>
                </c:pt>
                <c:pt idx="20">
                  <c:v>-5.1318892145328991</c:v>
                </c:pt>
                <c:pt idx="21">
                  <c:v>-2.3985536562905181</c:v>
                </c:pt>
                <c:pt idx="22">
                  <c:v>2.8468168554777575</c:v>
                </c:pt>
                <c:pt idx="23">
                  <c:v>-3.5484525952411725</c:v>
                </c:pt>
                <c:pt idx="24">
                  <c:v>-3.2030298671282882</c:v>
                </c:pt>
                <c:pt idx="25">
                  <c:v>5.1011186793750252</c:v>
                </c:pt>
                <c:pt idx="26">
                  <c:v>-3.4590428038108256</c:v>
                </c:pt>
                <c:pt idx="27">
                  <c:v>-7.8791211878329408</c:v>
                </c:pt>
                <c:pt idx="28">
                  <c:v>-0.19674762813494695</c:v>
                </c:pt>
                <c:pt idx="29">
                  <c:v>5.8880565512908909</c:v>
                </c:pt>
                <c:pt idx="30">
                  <c:v>10.012725210503804</c:v>
                </c:pt>
                <c:pt idx="31">
                  <c:v>1.3961785668306002</c:v>
                </c:pt>
                <c:pt idx="32">
                  <c:v>-3.918859811902645</c:v>
                </c:pt>
                <c:pt idx="33">
                  <c:v>-5.3017880129641473</c:v>
                </c:pt>
                <c:pt idx="34">
                  <c:v>3.4716546704423124</c:v>
                </c:pt>
                <c:pt idx="35">
                  <c:v>14.926827742082688</c:v>
                </c:pt>
                <c:pt idx="36">
                  <c:v>3.0073248805696355</c:v>
                </c:pt>
                <c:pt idx="37">
                  <c:v>4.1614828205176826</c:v>
                </c:pt>
                <c:pt idx="38">
                  <c:v>6.0533175359031359</c:v>
                </c:pt>
                <c:pt idx="39">
                  <c:v>0.25112753911023755</c:v>
                </c:pt>
                <c:pt idx="40">
                  <c:v>2.6670064710974639</c:v>
                </c:pt>
                <c:pt idx="41">
                  <c:v>15.40788108697009</c:v>
                </c:pt>
                <c:pt idx="42">
                  <c:v>4.8727473111993902</c:v>
                </c:pt>
                <c:pt idx="43">
                  <c:v>12.054345335696182</c:v>
                </c:pt>
                <c:pt idx="44">
                  <c:v>-14.67942639803473</c:v>
                </c:pt>
                <c:pt idx="45">
                  <c:v>-8.1184338788347166</c:v>
                </c:pt>
                <c:pt idx="46">
                  <c:v>-1.78432732060765</c:v>
                </c:pt>
                <c:pt idx="47">
                  <c:v>-4.9295623526453909</c:v>
                </c:pt>
                <c:pt idx="48">
                  <c:v>7.6479897133051311E-3</c:v>
                </c:pt>
                <c:pt idx="49">
                  <c:v>1.9065049831921383</c:v>
                </c:pt>
                <c:pt idx="50">
                  <c:v>5.1545547185302896</c:v>
                </c:pt>
                <c:pt idx="51">
                  <c:v>-11.032966636877196</c:v>
                </c:pt>
                <c:pt idx="52">
                  <c:v>-10.431182770954875</c:v>
                </c:pt>
                <c:pt idx="53">
                  <c:v>0.2567053167034512</c:v>
                </c:pt>
                <c:pt idx="54">
                  <c:v>-1.8878651755383515</c:v>
                </c:pt>
                <c:pt idx="55">
                  <c:v>-0.94977155458703955</c:v>
                </c:pt>
                <c:pt idx="56">
                  <c:v>-1.5601211388360696</c:v>
                </c:pt>
                <c:pt idx="57">
                  <c:v>-4.1095619401193986</c:v>
                </c:pt>
                <c:pt idx="58">
                  <c:v>30.414485377236833</c:v>
                </c:pt>
                <c:pt idx="59">
                  <c:v>1.9951056820814674</c:v>
                </c:pt>
                <c:pt idx="60">
                  <c:v>9.6930442178233172</c:v>
                </c:pt>
                <c:pt idx="61">
                  <c:v>6.2763049831892257</c:v>
                </c:pt>
                <c:pt idx="62">
                  <c:v>-2.1401159224232136</c:v>
                </c:pt>
                <c:pt idx="63">
                  <c:v>4.5324813853711889</c:v>
                </c:pt>
                <c:pt idx="64">
                  <c:v>-28.511451936371444</c:v>
                </c:pt>
                <c:pt idx="65">
                  <c:v>-5.0346604136719684</c:v>
                </c:pt>
                <c:pt idx="66">
                  <c:v>11.976263324069359</c:v>
                </c:pt>
                <c:pt idx="67">
                  <c:v>8.6073940592428766</c:v>
                </c:pt>
                <c:pt idx="68">
                  <c:v>16.919887288994936</c:v>
                </c:pt>
                <c:pt idx="69">
                  <c:v>7.866848962218004</c:v>
                </c:pt>
                <c:pt idx="70">
                  <c:v>5.4908406568524608</c:v>
                </c:pt>
                <c:pt idx="71">
                  <c:v>30.752179282218268</c:v>
                </c:pt>
                <c:pt idx="72">
                  <c:v>0.33239433000715679</c:v>
                </c:pt>
                <c:pt idx="73">
                  <c:v>-12.218398760802121</c:v>
                </c:pt>
                <c:pt idx="74">
                  <c:v>16.100200378223523</c:v>
                </c:pt>
                <c:pt idx="75">
                  <c:v>21.227797930638218</c:v>
                </c:pt>
                <c:pt idx="76">
                  <c:v>-0.77646825864323699</c:v>
                </c:pt>
                <c:pt idx="77">
                  <c:v>-15.984103095593355</c:v>
                </c:pt>
                <c:pt idx="78">
                  <c:v>-6.3838510237225936</c:v>
                </c:pt>
                <c:pt idx="79">
                  <c:v>-2.4260519234583953</c:v>
                </c:pt>
                <c:pt idx="80">
                  <c:v>-10.836350692757893</c:v>
                </c:pt>
                <c:pt idx="81">
                  <c:v>0.32246759773982703</c:v>
                </c:pt>
                <c:pt idx="82">
                  <c:v>-0.65124963511072542</c:v>
                </c:pt>
                <c:pt idx="83">
                  <c:v>-0.2072077425167467</c:v>
                </c:pt>
                <c:pt idx="84">
                  <c:v>5.0549265982365661</c:v>
                </c:pt>
                <c:pt idx="85">
                  <c:v>6.855567078354099</c:v>
                </c:pt>
                <c:pt idx="86">
                  <c:v>26.257532842335181</c:v>
                </c:pt>
                <c:pt idx="87">
                  <c:v>-5.7910193929905738</c:v>
                </c:pt>
                <c:pt idx="88">
                  <c:v>-0.43532712760814513</c:v>
                </c:pt>
                <c:pt idx="89">
                  <c:v>3.748494372645323</c:v>
                </c:pt>
                <c:pt idx="90">
                  <c:v>2.8631019796577313</c:v>
                </c:pt>
                <c:pt idx="91">
                  <c:v>-8.1444539894763182</c:v>
                </c:pt>
                <c:pt idx="92">
                  <c:v>3.788457866934543</c:v>
                </c:pt>
                <c:pt idx="93">
                  <c:v>24.331525125213624</c:v>
                </c:pt>
                <c:pt idx="94">
                  <c:v>6.1780762488879866</c:v>
                </c:pt>
                <c:pt idx="95">
                  <c:v>43.612351311591205</c:v>
                </c:pt>
                <c:pt idx="96">
                  <c:v>-8.8677677254454768</c:v>
                </c:pt>
                <c:pt idx="97">
                  <c:v>4.3823024692580379</c:v>
                </c:pt>
                <c:pt idx="98">
                  <c:v>7.9929487506969528</c:v>
                </c:pt>
                <c:pt idx="99">
                  <c:v>3.8165748648607085</c:v>
                </c:pt>
                <c:pt idx="100">
                  <c:v>-7.7526773491572634</c:v>
                </c:pt>
                <c:pt idx="101">
                  <c:v>-12.98656494695933</c:v>
                </c:pt>
                <c:pt idx="102">
                  <c:v>-18.970385252830518</c:v>
                </c:pt>
                <c:pt idx="103">
                  <c:v>-13.706554731393338</c:v>
                </c:pt>
                <c:pt idx="104">
                  <c:v>-4.7356161214621846</c:v>
                </c:pt>
                <c:pt idx="105">
                  <c:v>-17.873466115565453</c:v>
                </c:pt>
                <c:pt idx="106">
                  <c:v>-14.77677487655146</c:v>
                </c:pt>
                <c:pt idx="107">
                  <c:v>-1.9473733127409831</c:v>
                </c:pt>
                <c:pt idx="108">
                  <c:v>0.19554136621147189</c:v>
                </c:pt>
                <c:pt idx="109">
                  <c:v>-10.575225662279649</c:v>
                </c:pt>
                <c:pt idx="110">
                  <c:v>7.7708739061991352</c:v>
                </c:pt>
                <c:pt idx="111">
                  <c:v>-0.34832226754387641</c:v>
                </c:pt>
                <c:pt idx="112">
                  <c:v>-2.619603070260399</c:v>
                </c:pt>
                <c:pt idx="113">
                  <c:v>-2.2869622192017331</c:v>
                </c:pt>
                <c:pt idx="114">
                  <c:v>8.2008569211465652</c:v>
                </c:pt>
                <c:pt idx="115">
                  <c:v>0.67662651335049384</c:v>
                </c:pt>
                <c:pt idx="116">
                  <c:v>-1.0411339918406681</c:v>
                </c:pt>
                <c:pt idx="117">
                  <c:v>-0.58999971274767393</c:v>
                </c:pt>
                <c:pt idx="118">
                  <c:v>13.082745092518563</c:v>
                </c:pt>
                <c:pt idx="119">
                  <c:v>11.233604592955572</c:v>
                </c:pt>
                <c:pt idx="120">
                  <c:v>-9.6675609086001124</c:v>
                </c:pt>
                <c:pt idx="121">
                  <c:v>-14.552410354657217</c:v>
                </c:pt>
                <c:pt idx="122">
                  <c:v>-4.9215882355674685</c:v>
                </c:pt>
                <c:pt idx="123">
                  <c:v>-1.7117326569482587</c:v>
                </c:pt>
                <c:pt idx="124">
                  <c:v>1.7228228676390929</c:v>
                </c:pt>
                <c:pt idx="125">
                  <c:v>-15.368640677613341</c:v>
                </c:pt>
                <c:pt idx="126">
                  <c:v>9.7966812032879602E-2</c:v>
                </c:pt>
                <c:pt idx="127">
                  <c:v>-8.9167151079697948</c:v>
                </c:pt>
                <c:pt idx="128">
                  <c:v>-2.4443183236579835</c:v>
                </c:pt>
                <c:pt idx="129">
                  <c:v>-10.933941010289013</c:v>
                </c:pt>
                <c:pt idx="130">
                  <c:v>-12.809417295145234</c:v>
                </c:pt>
                <c:pt idx="131">
                  <c:v>12.127999716388643</c:v>
                </c:pt>
                <c:pt idx="132">
                  <c:v>23.41707379571691</c:v>
                </c:pt>
                <c:pt idx="133">
                  <c:v>3.0721755720485762</c:v>
                </c:pt>
                <c:pt idx="134">
                  <c:v>-27.898089142326832</c:v>
                </c:pt>
                <c:pt idx="135">
                  <c:v>-0.86480273394974383</c:v>
                </c:pt>
                <c:pt idx="136">
                  <c:v>0.33018171090128989</c:v>
                </c:pt>
                <c:pt idx="137">
                  <c:v>-19.359811461668578</c:v>
                </c:pt>
                <c:pt idx="138">
                  <c:v>-14.132933475704951</c:v>
                </c:pt>
                <c:pt idx="139">
                  <c:v>16.817526781384245</c:v>
                </c:pt>
                <c:pt idx="140">
                  <c:v>31.82832437073289</c:v>
                </c:pt>
                <c:pt idx="141">
                  <c:v>31.422680027671284</c:v>
                </c:pt>
                <c:pt idx="142">
                  <c:v>0.33867161769001664</c:v>
                </c:pt>
                <c:pt idx="143">
                  <c:v>15.208516482641922</c:v>
                </c:pt>
                <c:pt idx="144">
                  <c:v>0.54039660077557139</c:v>
                </c:pt>
                <c:pt idx="145">
                  <c:v>-9.9848008566725657</c:v>
                </c:pt>
                <c:pt idx="146">
                  <c:v>-7.2510044834989698</c:v>
                </c:pt>
                <c:pt idx="147">
                  <c:v>23.090376251427671</c:v>
                </c:pt>
                <c:pt idx="148">
                  <c:v>2.6777161564267136</c:v>
                </c:pt>
                <c:pt idx="149">
                  <c:v>-13.463909956643988</c:v>
                </c:pt>
                <c:pt idx="150">
                  <c:v>-12.533947412517225</c:v>
                </c:pt>
                <c:pt idx="151">
                  <c:v>-2.7208547964885583</c:v>
                </c:pt>
                <c:pt idx="152">
                  <c:v>-5.6128313674014709</c:v>
                </c:pt>
                <c:pt idx="153">
                  <c:v>-19.681498455640451</c:v>
                </c:pt>
                <c:pt idx="154">
                  <c:v>-14.410073420200918</c:v>
                </c:pt>
                <c:pt idx="155">
                  <c:v>1.6801888685661686</c:v>
                </c:pt>
                <c:pt idx="156">
                  <c:v>-8.5247210375340359</c:v>
                </c:pt>
                <c:pt idx="157">
                  <c:v>-5.2348784201148497</c:v>
                </c:pt>
                <c:pt idx="158">
                  <c:v>-0.72350841033420876</c:v>
                </c:pt>
                <c:pt idx="159">
                  <c:v>-0.19709216912044081</c:v>
                </c:pt>
                <c:pt idx="160">
                  <c:v>-9.6779455234410179</c:v>
                </c:pt>
                <c:pt idx="161">
                  <c:v>-7.6553440808292095</c:v>
                </c:pt>
                <c:pt idx="162">
                  <c:v>3.8352414910834578</c:v>
                </c:pt>
                <c:pt idx="163">
                  <c:v>11.338963645782938</c:v>
                </c:pt>
                <c:pt idx="164">
                  <c:v>46.785078364944681</c:v>
                </c:pt>
                <c:pt idx="165">
                  <c:v>1.2990650383137234</c:v>
                </c:pt>
                <c:pt idx="166">
                  <c:v>-19.567658547732805</c:v>
                </c:pt>
                <c:pt idx="167">
                  <c:v>-18.890419153778513</c:v>
                </c:pt>
                <c:pt idx="168">
                  <c:v>-28.372808432188986</c:v>
                </c:pt>
                <c:pt idx="169">
                  <c:v>-4.0779780181506302</c:v>
                </c:pt>
                <c:pt idx="170">
                  <c:v>-12.550381128577042</c:v>
                </c:pt>
                <c:pt idx="171">
                  <c:v>-4.1953162709894958</c:v>
                </c:pt>
                <c:pt idx="172">
                  <c:v>1.285621767000205</c:v>
                </c:pt>
                <c:pt idx="173">
                  <c:v>15.526226481092902</c:v>
                </c:pt>
                <c:pt idx="174">
                  <c:v>1.6607190890047303</c:v>
                </c:pt>
                <c:pt idx="175">
                  <c:v>15.639425587111477</c:v>
                </c:pt>
                <c:pt idx="176">
                  <c:v>14.557343574156791</c:v>
                </c:pt>
                <c:pt idx="177">
                  <c:v>12.451438895704889</c:v>
                </c:pt>
                <c:pt idx="178">
                  <c:v>0.30288193635835475</c:v>
                </c:pt>
                <c:pt idx="179">
                  <c:v>-8.3764846955415564</c:v>
                </c:pt>
                <c:pt idx="180">
                  <c:v>7.2710026625780264</c:v>
                </c:pt>
                <c:pt idx="181">
                  <c:v>11.651097308922324</c:v>
                </c:pt>
                <c:pt idx="182">
                  <c:v>26.86883741609201</c:v>
                </c:pt>
                <c:pt idx="183">
                  <c:v>0.99258466172347282</c:v>
                </c:pt>
                <c:pt idx="184">
                  <c:v>1.1726360298438032</c:v>
                </c:pt>
                <c:pt idx="185">
                  <c:v>12.730527771883724</c:v>
                </c:pt>
                <c:pt idx="186">
                  <c:v>12.485289962309785</c:v>
                </c:pt>
                <c:pt idx="187">
                  <c:v>-0.55071960864223257</c:v>
                </c:pt>
                <c:pt idx="188">
                  <c:v>9.2847321258304625</c:v>
                </c:pt>
                <c:pt idx="189">
                  <c:v>0.1730346345380851</c:v>
                </c:pt>
                <c:pt idx="190">
                  <c:v>-3.316904781501135</c:v>
                </c:pt>
                <c:pt idx="191">
                  <c:v>0.6334268006709296</c:v>
                </c:pt>
                <c:pt idx="192">
                  <c:v>6.3130047011818693</c:v>
                </c:pt>
                <c:pt idx="193">
                  <c:v>6.0975035997824705</c:v>
                </c:pt>
                <c:pt idx="194">
                  <c:v>2.9000012322754065</c:v>
                </c:pt>
                <c:pt idx="195">
                  <c:v>-23.71697028631143</c:v>
                </c:pt>
                <c:pt idx="196">
                  <c:v>-2.8256418809423383</c:v>
                </c:pt>
                <c:pt idx="197">
                  <c:v>3.1432351331699593</c:v>
                </c:pt>
                <c:pt idx="198">
                  <c:v>-0.47143350941111406</c:v>
                </c:pt>
                <c:pt idx="199">
                  <c:v>-14.807086599150022</c:v>
                </c:pt>
                <c:pt idx="200">
                  <c:v>-0.65375445056829307</c:v>
                </c:pt>
                <c:pt idx="201">
                  <c:v>19.351761248688419</c:v>
                </c:pt>
                <c:pt idx="202">
                  <c:v>-1.9612393591935551</c:v>
                </c:pt>
                <c:pt idx="203">
                  <c:v>-2.4896748541984719</c:v>
                </c:pt>
                <c:pt idx="204">
                  <c:v>-4.9061424756912988</c:v>
                </c:pt>
                <c:pt idx="205">
                  <c:v>-5.2330443109689062</c:v>
                </c:pt>
                <c:pt idx="206">
                  <c:v>-0.26054926349747776</c:v>
                </c:pt>
                <c:pt idx="207">
                  <c:v>-7.7819010522668171</c:v>
                </c:pt>
                <c:pt idx="208">
                  <c:v>-16.583324454053358</c:v>
                </c:pt>
                <c:pt idx="209">
                  <c:v>-23.407870424205882</c:v>
                </c:pt>
                <c:pt idx="210">
                  <c:v>-6.6286276640944184</c:v>
                </c:pt>
                <c:pt idx="211">
                  <c:v>-14.985289750617277</c:v>
                </c:pt>
                <c:pt idx="212">
                  <c:v>-31.581442163355749</c:v>
                </c:pt>
                <c:pt idx="213">
                  <c:v>-1.7225672009895208</c:v>
                </c:pt>
                <c:pt idx="214">
                  <c:v>2.0382900314015138</c:v>
                </c:pt>
                <c:pt idx="215">
                  <c:v>0.61813428991195052</c:v>
                </c:pt>
                <c:pt idx="216">
                  <c:v>4.8943072820220852</c:v>
                </c:pt>
                <c:pt idx="217">
                  <c:v>1.7374415519330491</c:v>
                </c:pt>
                <c:pt idx="218">
                  <c:v>-18.201595595180564</c:v>
                </c:pt>
                <c:pt idx="219">
                  <c:v>-7.6822780180224246</c:v>
                </c:pt>
                <c:pt idx="220">
                  <c:v>-10.110777144266399</c:v>
                </c:pt>
                <c:pt idx="221">
                  <c:v>-13.332178397790749</c:v>
                </c:pt>
                <c:pt idx="222">
                  <c:v>-1.3978055342850788</c:v>
                </c:pt>
                <c:pt idx="223">
                  <c:v>0.85994326714586367</c:v>
                </c:pt>
                <c:pt idx="224">
                  <c:v>-4.105157228819321</c:v>
                </c:pt>
                <c:pt idx="225">
                  <c:v>19.452967596096336</c:v>
                </c:pt>
                <c:pt idx="226">
                  <c:v>2.1590432029288031</c:v>
                </c:pt>
                <c:pt idx="227">
                  <c:v>-25.455540697747598</c:v>
                </c:pt>
                <c:pt idx="228">
                  <c:v>-10.628460751165379</c:v>
                </c:pt>
                <c:pt idx="229">
                  <c:v>0.78680658067612974</c:v>
                </c:pt>
                <c:pt idx="230">
                  <c:v>4.7183757968390569</c:v>
                </c:pt>
                <c:pt idx="231">
                  <c:v>1.1505508897093968</c:v>
                </c:pt>
                <c:pt idx="232">
                  <c:v>4.2285043411084127</c:v>
                </c:pt>
                <c:pt idx="233">
                  <c:v>18.623165169144126</c:v>
                </c:pt>
                <c:pt idx="234">
                  <c:v>0.19098671719852101</c:v>
                </c:pt>
                <c:pt idx="235">
                  <c:v>-1.501363977583047</c:v>
                </c:pt>
                <c:pt idx="236">
                  <c:v>31.654808753396384</c:v>
                </c:pt>
                <c:pt idx="237">
                  <c:v>9.2535167303399142</c:v>
                </c:pt>
                <c:pt idx="238">
                  <c:v>-6.3247303907758461</c:v>
                </c:pt>
                <c:pt idx="239">
                  <c:v>-2.0323520864788529</c:v>
                </c:pt>
                <c:pt idx="240">
                  <c:v>-6.0928202798798541</c:v>
                </c:pt>
                <c:pt idx="241">
                  <c:v>-4.0507571607646184</c:v>
                </c:pt>
                <c:pt idx="242">
                  <c:v>-23.206112886916326</c:v>
                </c:pt>
                <c:pt idx="243">
                  <c:v>-8.1070924934297981</c:v>
                </c:pt>
                <c:pt idx="244">
                  <c:v>-0.42577556304791297</c:v>
                </c:pt>
                <c:pt idx="245">
                  <c:v>19.62147836063588</c:v>
                </c:pt>
                <c:pt idx="246">
                  <c:v>1.9175023229141415</c:v>
                </c:pt>
                <c:pt idx="247">
                  <c:v>-23.055392458779863</c:v>
                </c:pt>
                <c:pt idx="248">
                  <c:v>-3.7433301656589788</c:v>
                </c:pt>
                <c:pt idx="249">
                  <c:v>19.471264457203382</c:v>
                </c:pt>
                <c:pt idx="250">
                  <c:v>-4.808506122875027</c:v>
                </c:pt>
                <c:pt idx="251">
                  <c:v>15.648048425958569</c:v>
                </c:pt>
                <c:pt idx="252">
                  <c:v>-1.7322159282859211</c:v>
                </c:pt>
                <c:pt idx="253">
                  <c:v>66.9698179301636</c:v>
                </c:pt>
                <c:pt idx="254">
                  <c:v>13.373313144252332</c:v>
                </c:pt>
                <c:pt idx="255">
                  <c:v>7.5626547109189914</c:v>
                </c:pt>
                <c:pt idx="256">
                  <c:v>0.89757075131678377</c:v>
                </c:pt>
                <c:pt idx="257">
                  <c:v>-26.344008617844743</c:v>
                </c:pt>
                <c:pt idx="258">
                  <c:v>16.183889048366591</c:v>
                </c:pt>
                <c:pt idx="259">
                  <c:v>-6.9735971439267335</c:v>
                </c:pt>
                <c:pt idx="260">
                  <c:v>24.415893551269715</c:v>
                </c:pt>
                <c:pt idx="261">
                  <c:v>14.411478528197657</c:v>
                </c:pt>
                <c:pt idx="262">
                  <c:v>17.018581283426357</c:v>
                </c:pt>
                <c:pt idx="263">
                  <c:v>41.980020093326395</c:v>
                </c:pt>
                <c:pt idx="264">
                  <c:v>-5.0300660028464215</c:v>
                </c:pt>
                <c:pt idx="265">
                  <c:v>0.4162200419478097</c:v>
                </c:pt>
                <c:pt idx="266">
                  <c:v>-37.323387145924364</c:v>
                </c:pt>
                <c:pt idx="267">
                  <c:v>-6.0606466565569868</c:v>
                </c:pt>
                <c:pt idx="268">
                  <c:v>19.485490679132152</c:v>
                </c:pt>
                <c:pt idx="269">
                  <c:v>-7.899992676432352</c:v>
                </c:pt>
                <c:pt idx="270">
                  <c:v>-21.539841081015197</c:v>
                </c:pt>
                <c:pt idx="271">
                  <c:v>-3.4661971883876257</c:v>
                </c:pt>
                <c:pt idx="272">
                  <c:v>8.215132260865122</c:v>
                </c:pt>
                <c:pt idx="273">
                  <c:v>-18.93154117283953</c:v>
                </c:pt>
                <c:pt idx="274">
                  <c:v>-9.411385835842454</c:v>
                </c:pt>
                <c:pt idx="275">
                  <c:v>-1.2915795317997329</c:v>
                </c:pt>
                <c:pt idx="276">
                  <c:v>-2.6716729854427932</c:v>
                </c:pt>
                <c:pt idx="277">
                  <c:v>-16.300191361610473</c:v>
                </c:pt>
                <c:pt idx="278">
                  <c:v>10.921810343893833</c:v>
                </c:pt>
                <c:pt idx="279">
                  <c:v>27.722281226464261</c:v>
                </c:pt>
                <c:pt idx="280">
                  <c:v>6.1115076162049933</c:v>
                </c:pt>
                <c:pt idx="281">
                  <c:v>-4.3744184492216363</c:v>
                </c:pt>
                <c:pt idx="282">
                  <c:v>-22.801550675720215</c:v>
                </c:pt>
                <c:pt idx="283">
                  <c:v>-8.2913651891018958E-3</c:v>
                </c:pt>
                <c:pt idx="284">
                  <c:v>1.228885530920844</c:v>
                </c:pt>
                <c:pt idx="285">
                  <c:v>-0.57640119160498315</c:v>
                </c:pt>
                <c:pt idx="286">
                  <c:v>2.0074899579248968</c:v>
                </c:pt>
                <c:pt idx="287">
                  <c:v>-6.1321720694634632</c:v>
                </c:pt>
                <c:pt idx="288">
                  <c:v>21.039845712254085</c:v>
                </c:pt>
                <c:pt idx="289">
                  <c:v>5.7672473733160174</c:v>
                </c:pt>
                <c:pt idx="290">
                  <c:v>48.635281592295968</c:v>
                </c:pt>
                <c:pt idx="291">
                  <c:v>-0.58267265561405113</c:v>
                </c:pt>
                <c:pt idx="292">
                  <c:v>4.8146700644820966</c:v>
                </c:pt>
                <c:pt idx="293">
                  <c:v>9.9201605584074537E-2</c:v>
                </c:pt>
                <c:pt idx="294">
                  <c:v>-29.169443096179041</c:v>
                </c:pt>
                <c:pt idx="295">
                  <c:v>2.3598187576686875</c:v>
                </c:pt>
                <c:pt idx="296">
                  <c:v>2.0062211304088144</c:v>
                </c:pt>
                <c:pt idx="297">
                  <c:v>3.7381162794800691</c:v>
                </c:pt>
                <c:pt idx="298">
                  <c:v>-28.570385502280242</c:v>
                </c:pt>
                <c:pt idx="299">
                  <c:v>-17.180398211209386</c:v>
                </c:pt>
                <c:pt idx="300">
                  <c:v>-1.8719788102381281</c:v>
                </c:pt>
                <c:pt idx="301">
                  <c:v>-20.866565811880694</c:v>
                </c:pt>
                <c:pt idx="302">
                  <c:v>-4.2230935184986906</c:v>
                </c:pt>
                <c:pt idx="303">
                  <c:v>-10.181197024752942</c:v>
                </c:pt>
                <c:pt idx="304">
                  <c:v>-22.879075176801472</c:v>
                </c:pt>
                <c:pt idx="305">
                  <c:v>-17.031458562569266</c:v>
                </c:pt>
                <c:pt idx="306">
                  <c:v>-1.6659314161174557</c:v>
                </c:pt>
                <c:pt idx="307">
                  <c:v>0.10905548398233311</c:v>
                </c:pt>
                <c:pt idx="308">
                  <c:v>0.23808575465607279</c:v>
                </c:pt>
                <c:pt idx="309">
                  <c:v>-9.6862379164228134</c:v>
                </c:pt>
                <c:pt idx="310">
                  <c:v>-1.8605997257848177</c:v>
                </c:pt>
                <c:pt idx="311">
                  <c:v>-14.39828526851209</c:v>
                </c:pt>
                <c:pt idx="312">
                  <c:v>-1.0339687942074924</c:v>
                </c:pt>
                <c:pt idx="313">
                  <c:v>5.0481990026493682</c:v>
                </c:pt>
                <c:pt idx="314">
                  <c:v>34.21787579956915</c:v>
                </c:pt>
                <c:pt idx="315">
                  <c:v>-2.0318793079113728</c:v>
                </c:pt>
                <c:pt idx="316">
                  <c:v>11.748003039122228</c:v>
                </c:pt>
                <c:pt idx="317">
                  <c:v>9.4244404332535652</c:v>
                </c:pt>
                <c:pt idx="318">
                  <c:v>0.24540335991508433</c:v>
                </c:pt>
                <c:pt idx="319">
                  <c:v>21.73291848924196</c:v>
                </c:pt>
                <c:pt idx="320">
                  <c:v>-24.44461109883601</c:v>
                </c:pt>
                <c:pt idx="321">
                  <c:v>-1.5896493342989295</c:v>
                </c:pt>
                <c:pt idx="322">
                  <c:v>-21.608066516043337</c:v>
                </c:pt>
                <c:pt idx="323">
                  <c:v>-13.100670944884985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210008"/>
        <c:axId val="481208048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'cc (4)'!$E$13:$E$336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'cc (4)'!$K$13:$K$336</c:f>
              <c:numCache>
                <c:formatCode>General</c:formatCode>
                <c:ptCount val="324"/>
                <c:pt idx="0">
                  <c:v>-1.0974721738788442</c:v>
                </c:pt>
                <c:pt idx="1">
                  <c:v>0.15843924280171773</c:v>
                </c:pt>
                <c:pt idx="2">
                  <c:v>-1.081131389854868</c:v>
                </c:pt>
                <c:pt idx="3">
                  <c:v>-4.7754606669978605E-2</c:v>
                </c:pt>
                <c:pt idx="4">
                  <c:v>0.48698635347375152</c:v>
                </c:pt>
                <c:pt idx="5">
                  <c:v>-0.10859744310163671</c:v>
                </c:pt>
                <c:pt idx="6">
                  <c:v>1.3641154516243623</c:v>
                </c:pt>
                <c:pt idx="7">
                  <c:v>-0.24382200889914285</c:v>
                </c:pt>
                <c:pt idx="8">
                  <c:v>0.19453817627030073</c:v>
                </c:pt>
                <c:pt idx="9">
                  <c:v>-0.16386078207820362</c:v>
                </c:pt>
                <c:pt idx="10">
                  <c:v>-1.2388955581242438</c:v>
                </c:pt>
                <c:pt idx="11">
                  <c:v>0.27320854686971113</c:v>
                </c:pt>
                <c:pt idx="12">
                  <c:v>-0.75791902570610625</c:v>
                </c:pt>
                <c:pt idx="13">
                  <c:v>0.49358622217625164</c:v>
                </c:pt>
                <c:pt idx="14">
                  <c:v>0.79736973043892378</c:v>
                </c:pt>
                <c:pt idx="15">
                  <c:v>-3.1038055861658503E-2</c:v>
                </c:pt>
                <c:pt idx="16">
                  <c:v>1.0826401405166195</c:v>
                </c:pt>
                <c:pt idx="17">
                  <c:v>-0.78092321425161093</c:v>
                </c:pt>
                <c:pt idx="18">
                  <c:v>-6.7689202650210001E-2</c:v>
                </c:pt>
                <c:pt idx="19">
                  <c:v>-0.62009747841808049</c:v>
                </c:pt>
                <c:pt idx="20">
                  <c:v>-0.81331500749038232</c:v>
                </c:pt>
                <c:pt idx="21">
                  <c:v>0.55326506355410188</c:v>
                </c:pt>
                <c:pt idx="22">
                  <c:v>-0.43174333786404123</c:v>
                </c:pt>
                <c:pt idx="23">
                  <c:v>1.3182930393713461</c:v>
                </c:pt>
                <c:pt idx="24">
                  <c:v>-2.9376837136353737E-2</c:v>
                </c:pt>
                <c:pt idx="25">
                  <c:v>0.59494148544405556</c:v>
                </c:pt>
                <c:pt idx="26">
                  <c:v>-0.22784895553920009</c:v>
                </c:pt>
                <c:pt idx="27">
                  <c:v>-0.71974168496899438</c:v>
                </c:pt>
                <c:pt idx="28">
                  <c:v>-0.15065127454899024</c:v>
                </c:pt>
                <c:pt idx="29">
                  <c:v>-1.0341475480727467</c:v>
                </c:pt>
                <c:pt idx="30">
                  <c:v>0.72421072152330623</c:v>
                </c:pt>
                <c:pt idx="31">
                  <c:v>-0.38379235365719022</c:v>
                </c:pt>
                <c:pt idx="32">
                  <c:v>1.3283990445406437</c:v>
                </c:pt>
                <c:pt idx="33">
                  <c:v>-0.10612984364943634</c:v>
                </c:pt>
                <c:pt idx="34">
                  <c:v>0.65550829338934635</c:v>
                </c:pt>
                <c:pt idx="35">
                  <c:v>-0.4926448735037664</c:v>
                </c:pt>
                <c:pt idx="36">
                  <c:v>-0.51153314076526546</c:v>
                </c:pt>
                <c:pt idx="37">
                  <c:v>-0.37798225694855697</c:v>
                </c:pt>
                <c:pt idx="38">
                  <c:v>-0.78788636770388831</c:v>
                </c:pt>
                <c:pt idx="39">
                  <c:v>0.67892937052489877</c:v>
                </c:pt>
                <c:pt idx="40">
                  <c:v>-0.30431699628652242</c:v>
                </c:pt>
                <c:pt idx="41">
                  <c:v>1.3718771620074779</c:v>
                </c:pt>
                <c:pt idx="42">
                  <c:v>-0.20032173714793775</c:v>
                </c:pt>
                <c:pt idx="43">
                  <c:v>0.60626951641978499</c:v>
                </c:pt>
                <c:pt idx="44">
                  <c:v>-0.48211667453157658</c:v>
                </c:pt>
                <c:pt idx="45">
                  <c:v>-0.7246380269799545</c:v>
                </c:pt>
                <c:pt idx="46">
                  <c:v>-8.5839721722207066E-2</c:v>
                </c:pt>
                <c:pt idx="47">
                  <c:v>-1.0024308806527649</c:v>
                </c:pt>
                <c:pt idx="48">
                  <c:v>0.88911452551078263</c:v>
                </c:pt>
                <c:pt idx="49">
                  <c:v>-0.12940603756752811</c:v>
                </c:pt>
                <c:pt idx="50">
                  <c:v>0.87715676828703437</c:v>
                </c:pt>
                <c:pt idx="51">
                  <c:v>0.59860361665408068</c:v>
                </c:pt>
                <c:pt idx="52">
                  <c:v>-0.49788811953026574</c:v>
                </c:pt>
                <c:pt idx="53">
                  <c:v>0.40755823701038491</c:v>
                </c:pt>
                <c:pt idx="54">
                  <c:v>-1.2824523581079985</c:v>
                </c:pt>
                <c:pt idx="55">
                  <c:v>-0.17284898759029721</c:v>
                </c:pt>
                <c:pt idx="56">
                  <c:v>-0.12952094059630698</c:v>
                </c:pt>
                <c:pt idx="57">
                  <c:v>-0.342272126669871</c:v>
                </c:pt>
                <c:pt idx="58">
                  <c:v>1.2788866606749121</c:v>
                </c:pt>
                <c:pt idx="59">
                  <c:v>-9.2257502003157826E-2</c:v>
                </c:pt>
                <c:pt idx="60">
                  <c:v>0.74334007883436415</c:v>
                </c:pt>
                <c:pt idx="61">
                  <c:v>9.0864292169341443E-2</c:v>
                </c:pt>
                <c:pt idx="62">
                  <c:v>-0.92742285649211675</c:v>
                </c:pt>
                <c:pt idx="63">
                  <c:v>0.14819414997542474</c:v>
                </c:pt>
                <c:pt idx="64">
                  <c:v>-1.2289576306891485</c:v>
                </c:pt>
                <c:pt idx="65">
                  <c:v>0.30346109418806483</c:v>
                </c:pt>
                <c:pt idx="66">
                  <c:v>0.17124999805876623</c:v>
                </c:pt>
                <c:pt idx="67">
                  <c:v>0.24047325053145252</c:v>
                </c:pt>
                <c:pt idx="68">
                  <c:v>1.1954481928068386</c:v>
                </c:pt>
                <c:pt idx="69">
                  <c:v>-0.42965263534883752</c:v>
                </c:pt>
                <c:pt idx="70">
                  <c:v>0.65426241641465777</c:v>
                </c:pt>
                <c:pt idx="71">
                  <c:v>-1.0243520204875578</c:v>
                </c:pt>
                <c:pt idx="72">
                  <c:v>-0.2958573762117146</c:v>
                </c:pt>
                <c:pt idx="73">
                  <c:v>-0.47765362129954486</c:v>
                </c:pt>
                <c:pt idx="74">
                  <c:v>-0.37143778960683166</c:v>
                </c:pt>
                <c:pt idx="75">
                  <c:v>0.82595313674500037</c:v>
                </c:pt>
                <c:pt idx="76">
                  <c:v>-9.8183190345698779E-2</c:v>
                </c:pt>
                <c:pt idx="77">
                  <c:v>1.3177475425908798</c:v>
                </c:pt>
                <c:pt idx="78">
                  <c:v>-0.4912601391601128</c:v>
                </c:pt>
                <c:pt idx="79">
                  <c:v>0.53958354161201005</c:v>
                </c:pt>
                <c:pt idx="80">
                  <c:v>-1.0513400582555945</c:v>
                </c:pt>
                <c:pt idx="81">
                  <c:v>-0.23221936070416041</c:v>
                </c:pt>
                <c:pt idx="82">
                  <c:v>-0.57258369705861212</c:v>
                </c:pt>
                <c:pt idx="83">
                  <c:v>-0.10661777560619723</c:v>
                </c:pt>
                <c:pt idx="84">
                  <c:v>0.67763364902052892</c:v>
                </c:pt>
                <c:pt idx="85">
                  <c:v>8.5393412301759952E-2</c:v>
                </c:pt>
                <c:pt idx="86">
                  <c:v>1.1955037492626077</c:v>
                </c:pt>
                <c:pt idx="87">
                  <c:v>-0.55019422954124042</c:v>
                </c:pt>
                <c:pt idx="88">
                  <c:v>0.54375326528211976</c:v>
                </c:pt>
                <c:pt idx="89">
                  <c:v>-1.1944890605138565</c:v>
                </c:pt>
                <c:pt idx="90">
                  <c:v>-0.12946330904140541</c:v>
                </c:pt>
                <c:pt idx="91">
                  <c:v>-0.54620805325663735</c:v>
                </c:pt>
                <c:pt idx="92">
                  <c:v>-0.10731494097676897</c:v>
                </c:pt>
                <c:pt idx="93">
                  <c:v>0.88529840945446159</c:v>
                </c:pt>
                <c:pt idx="94">
                  <c:v>-8.6710103513911813E-2</c:v>
                </c:pt>
                <c:pt idx="95">
                  <c:v>1.2607820486778667</c:v>
                </c:pt>
                <c:pt idx="96">
                  <c:v>-0.51507003665953233</c:v>
                </c:pt>
                <c:pt idx="97">
                  <c:v>7.9552494620967584E-2</c:v>
                </c:pt>
                <c:pt idx="98">
                  <c:v>-0.50748987267412882</c:v>
                </c:pt>
                <c:pt idx="99">
                  <c:v>-1.0363887167499959</c:v>
                </c:pt>
                <c:pt idx="100">
                  <c:v>0.41847009368930427</c:v>
                </c:pt>
                <c:pt idx="101">
                  <c:v>-0.63566922207490062</c:v>
                </c:pt>
                <c:pt idx="102">
                  <c:v>0.96243283546605429</c:v>
                </c:pt>
                <c:pt idx="103">
                  <c:v>0.55279526362273534</c:v>
                </c:pt>
                <c:pt idx="104">
                  <c:v>3.8703167345571617E-2</c:v>
                </c:pt>
                <c:pt idx="105">
                  <c:v>0.78852840002352198</c:v>
                </c:pt>
                <c:pt idx="106">
                  <c:v>-1.0823139955543513</c:v>
                </c:pt>
                <c:pt idx="107">
                  <c:v>-9.929540685237942E-2</c:v>
                </c:pt>
                <c:pt idx="108">
                  <c:v>-0.59025713586517903</c:v>
                </c:pt>
                <c:pt idx="109">
                  <c:v>-0.65891837486501637</c:v>
                </c:pt>
                <c:pt idx="110">
                  <c:v>0.88490117030110638</c:v>
                </c:pt>
                <c:pt idx="111">
                  <c:v>-0.24328830528584378</c:v>
                </c:pt>
                <c:pt idx="112">
                  <c:v>1.1459433778496861</c:v>
                </c:pt>
                <c:pt idx="113">
                  <c:v>0.22875600017947217</c:v>
                </c:pt>
                <c:pt idx="114">
                  <c:v>-0.24154173532379813</c:v>
                </c:pt>
                <c:pt idx="115">
                  <c:v>0.18664549092209531</c:v>
                </c:pt>
                <c:pt idx="116">
                  <c:v>-1.3516001919324849</c:v>
                </c:pt>
                <c:pt idx="117">
                  <c:v>0.22627894877969462</c:v>
                </c:pt>
                <c:pt idx="118">
                  <c:v>-0.75331139552674375</c:v>
                </c:pt>
                <c:pt idx="119">
                  <c:v>0.53531705583896316</c:v>
                </c:pt>
                <c:pt idx="120">
                  <c:v>0.56445828654953734</c:v>
                </c:pt>
                <c:pt idx="121">
                  <c:v>0.26910952423128376</c:v>
                </c:pt>
                <c:pt idx="122">
                  <c:v>0.89927030703149224</c:v>
                </c:pt>
                <c:pt idx="123">
                  <c:v>-0.77308267990014623</c:v>
                </c:pt>
                <c:pt idx="124">
                  <c:v>0.32617555425869649</c:v>
                </c:pt>
                <c:pt idx="125">
                  <c:v>-1.346738857976197</c:v>
                </c:pt>
                <c:pt idx="126">
                  <c:v>0.16128782117835574</c:v>
                </c:pt>
                <c:pt idx="127">
                  <c:v>-0.58917101925686477</c:v>
                </c:pt>
                <c:pt idx="128">
                  <c:v>0.57074906118160595</c:v>
                </c:pt>
                <c:pt idx="129">
                  <c:v>0.52797351931386904</c:v>
                </c:pt>
                <c:pt idx="130">
                  <c:v>0.37948656295583816</c:v>
                </c:pt>
                <c:pt idx="131">
                  <c:v>0.6851592912869926</c:v>
                </c:pt>
                <c:pt idx="132">
                  <c:v>-0.71292381618624723</c:v>
                </c:pt>
                <c:pt idx="133">
                  <c:v>0.22153837789882957</c:v>
                </c:pt>
                <c:pt idx="134">
                  <c:v>-1.3724022590167673</c:v>
                </c:pt>
                <c:pt idx="135">
                  <c:v>0.31423809061395724</c:v>
                </c:pt>
                <c:pt idx="136">
                  <c:v>-0.67773779100043774</c:v>
                </c:pt>
                <c:pt idx="137">
                  <c:v>0.78800757492762052</c:v>
                </c:pt>
                <c:pt idx="138">
                  <c:v>0.43468472579171286</c:v>
                </c:pt>
                <c:pt idx="139">
                  <c:v>0.38183065613544842</c:v>
                </c:pt>
                <c:pt idx="140">
                  <c:v>0.67651252735363754</c:v>
                </c:pt>
                <c:pt idx="141">
                  <c:v>-0.87799079798133683</c:v>
                </c:pt>
                <c:pt idx="142">
                  <c:v>0.24517478257455216</c:v>
                </c:pt>
                <c:pt idx="143">
                  <c:v>-1.2816798343455855</c:v>
                </c:pt>
                <c:pt idx="144">
                  <c:v>4.616974221422554E-2</c:v>
                </c:pt>
                <c:pt idx="145">
                  <c:v>-1.6748884449199308E-2</c:v>
                </c:pt>
                <c:pt idx="146">
                  <c:v>4.0402534166122439E-2</c:v>
                </c:pt>
                <c:pt idx="147">
                  <c:v>1.2798269007410543</c:v>
                </c:pt>
                <c:pt idx="148">
                  <c:v>-0.26537917190644117</c:v>
                </c:pt>
                <c:pt idx="149">
                  <c:v>0.74915498158673766</c:v>
                </c:pt>
                <c:pt idx="150">
                  <c:v>-0.46323541688512454</c:v>
                </c:pt>
                <c:pt idx="151">
                  <c:v>-0.8265725669432552</c:v>
                </c:pt>
                <c:pt idx="152">
                  <c:v>6.3722066037124714E-2</c:v>
                </c:pt>
                <c:pt idx="153">
                  <c:v>-1.0915152652904181</c:v>
                </c:pt>
                <c:pt idx="154">
                  <c:v>0.68660604829757066</c:v>
                </c:pt>
                <c:pt idx="155">
                  <c:v>0.26691672688846374</c:v>
                </c:pt>
                <c:pt idx="156">
                  <c:v>0.3248002766980207</c:v>
                </c:pt>
                <c:pt idx="157">
                  <c:v>1.1049539678931151</c:v>
                </c:pt>
                <c:pt idx="158">
                  <c:v>-0.67965486323193836</c:v>
                </c:pt>
                <c:pt idx="159">
                  <c:v>0.29822673011046458</c:v>
                </c:pt>
                <c:pt idx="160">
                  <c:v>-0.84814257441193597</c:v>
                </c:pt>
                <c:pt idx="161">
                  <c:v>-0.71604851316756624</c:v>
                </c:pt>
                <c:pt idx="162">
                  <c:v>0.26711308590022942</c:v>
                </c:pt>
                <c:pt idx="163">
                  <c:v>-0.58102320873121283</c:v>
                </c:pt>
                <c:pt idx="164">
                  <c:v>1.2525537893334586</c:v>
                </c:pt>
                <c:pt idx="165">
                  <c:v>1.7985555503119921E-2</c:v>
                </c:pt>
                <c:pt idx="166">
                  <c:v>0.70965915372824018</c:v>
                </c:pt>
                <c:pt idx="167">
                  <c:v>5.5634507371547848E-2</c:v>
                </c:pt>
                <c:pt idx="168">
                  <c:v>-0.72514747443566163</c:v>
                </c:pt>
                <c:pt idx="169">
                  <c:v>-9.3900946510696026E-3</c:v>
                </c:pt>
                <c:pt idx="170">
                  <c:v>-1.2543576188893251</c:v>
                </c:pt>
                <c:pt idx="171">
                  <c:v>0.5708046507139044</c:v>
                </c:pt>
                <c:pt idx="172">
                  <c:v>-0.48950636943889497</c:v>
                </c:pt>
                <c:pt idx="173">
                  <c:v>1.1156782859846393</c:v>
                </c:pt>
                <c:pt idx="174">
                  <c:v>0.20211058830739501</c:v>
                </c:pt>
                <c:pt idx="175">
                  <c:v>0.52405531701732599</c:v>
                </c:pt>
                <c:pt idx="176">
                  <c:v>2.0180622407128312E-2</c:v>
                </c:pt>
                <c:pt idx="177">
                  <c:v>-0.72303329240332759</c:v>
                </c:pt>
                <c:pt idx="178">
                  <c:v>-0.11475062311276965</c:v>
                </c:pt>
                <c:pt idx="179">
                  <c:v>-1.1309147085358942</c:v>
                </c:pt>
                <c:pt idx="180">
                  <c:v>0.60945403178750079</c:v>
                </c:pt>
                <c:pt idx="181">
                  <c:v>-0.48335001286851753</c:v>
                </c:pt>
                <c:pt idx="182">
                  <c:v>1.2843994443151447</c:v>
                </c:pt>
                <c:pt idx="183">
                  <c:v>-1.6148939676312604E-2</c:v>
                </c:pt>
                <c:pt idx="184">
                  <c:v>0.68088314179148268</c:v>
                </c:pt>
                <c:pt idx="185">
                  <c:v>-0.23036340496553359</c:v>
                </c:pt>
                <c:pt idx="186">
                  <c:v>-0.65692852256559686</c:v>
                </c:pt>
                <c:pt idx="187">
                  <c:v>-0.14435188942848204</c:v>
                </c:pt>
                <c:pt idx="188">
                  <c:v>-1.1171521205015216</c:v>
                </c:pt>
                <c:pt idx="189">
                  <c:v>0.70462315204597559</c:v>
                </c:pt>
                <c:pt idx="190">
                  <c:v>-0.35949204267312213</c:v>
                </c:pt>
                <c:pt idx="191">
                  <c:v>1.0606961118505325</c:v>
                </c:pt>
                <c:pt idx="192">
                  <c:v>0.42927519965197047</c:v>
                </c:pt>
                <c:pt idx="193">
                  <c:v>-4.9049427757098391E-2</c:v>
                </c:pt>
                <c:pt idx="194">
                  <c:v>0.43710812152024014</c:v>
                </c:pt>
                <c:pt idx="195">
                  <c:v>-1.2840762079444814</c:v>
                </c:pt>
                <c:pt idx="196">
                  <c:v>6.8184826340355748E-2</c:v>
                </c:pt>
                <c:pt idx="197">
                  <c:v>-0.72490311156847831</c:v>
                </c:pt>
                <c:pt idx="198">
                  <c:v>-0.12257049304742407</c:v>
                </c:pt>
                <c:pt idx="199">
                  <c:v>0.9451118241702352</c:v>
                </c:pt>
                <c:pt idx="200">
                  <c:v>-0.16057690933425955</c:v>
                </c:pt>
                <c:pt idx="201">
                  <c:v>1.1938770347830014</c:v>
                </c:pt>
                <c:pt idx="202">
                  <c:v>-0.16585387446841329</c:v>
                </c:pt>
                <c:pt idx="203">
                  <c:v>-0.38154907097956398</c:v>
                </c:pt>
                <c:pt idx="204">
                  <c:v>5.5140607056407553E-3</c:v>
                </c:pt>
                <c:pt idx="205">
                  <c:v>-1.3459712548291698</c:v>
                </c:pt>
                <c:pt idx="206">
                  <c:v>0.35147605059074294</c:v>
                </c:pt>
                <c:pt idx="207">
                  <c:v>-0.30142661369518015</c:v>
                </c:pt>
                <c:pt idx="208">
                  <c:v>0.39035671417150575</c:v>
                </c:pt>
                <c:pt idx="209">
                  <c:v>1.0675727343065735</c:v>
                </c:pt>
                <c:pt idx="210">
                  <c:v>-0.24482177035902764</c:v>
                </c:pt>
                <c:pt idx="211">
                  <c:v>0.86815810836053697</c:v>
                </c:pt>
                <c:pt idx="212">
                  <c:v>-0.917289104488486</c:v>
                </c:pt>
                <c:pt idx="213">
                  <c:v>-0.25690743532170784</c:v>
                </c:pt>
                <c:pt idx="214">
                  <c:v>-0.53108411600147354</c:v>
                </c:pt>
                <c:pt idx="215">
                  <c:v>-0.63595323064068077</c:v>
                </c:pt>
                <c:pt idx="216">
                  <c:v>0.74730989417480598</c:v>
                </c:pt>
                <c:pt idx="217">
                  <c:v>-0.25172111601444408</c:v>
                </c:pt>
                <c:pt idx="218">
                  <c:v>1.3686131241960848</c:v>
                </c:pt>
                <c:pt idx="219">
                  <c:v>-0.25767916480354686</c:v>
                </c:pt>
                <c:pt idx="220">
                  <c:v>0.55716695799704841</c:v>
                </c:pt>
                <c:pt idx="221">
                  <c:v>-0.66933751891916871</c:v>
                </c:pt>
                <c:pt idx="222">
                  <c:v>-0.52845151537188539</c:v>
                </c:pt>
                <c:pt idx="223">
                  <c:v>-0.35806168410845829</c:v>
                </c:pt>
                <c:pt idx="224">
                  <c:v>-0.60692721966723773</c:v>
                </c:pt>
                <c:pt idx="225">
                  <c:v>0.77850403528338052</c:v>
                </c:pt>
                <c:pt idx="226">
                  <c:v>-0.16956983764962563</c:v>
                </c:pt>
                <c:pt idx="227">
                  <c:v>1.3575505156844088</c:v>
                </c:pt>
                <c:pt idx="228">
                  <c:v>-0.3862764863086755</c:v>
                </c:pt>
                <c:pt idx="229">
                  <c:v>0.64973779323242664</c:v>
                </c:pt>
                <c:pt idx="230">
                  <c:v>-0.94844690335579096</c:v>
                </c:pt>
                <c:pt idx="231">
                  <c:v>-0.28670130067153798</c:v>
                </c:pt>
                <c:pt idx="232">
                  <c:v>-0.55307690457748648</c:v>
                </c:pt>
                <c:pt idx="233">
                  <c:v>-0.37148998378867948</c:v>
                </c:pt>
                <c:pt idx="234">
                  <c:v>0.75358891055199262</c:v>
                </c:pt>
                <c:pt idx="235">
                  <c:v>-0.12098571436878497</c:v>
                </c:pt>
                <c:pt idx="236">
                  <c:v>1.34531224626253</c:v>
                </c:pt>
                <c:pt idx="237">
                  <c:v>-0.39849601375939181</c:v>
                </c:pt>
                <c:pt idx="238">
                  <c:v>0.40752787067960489</c:v>
                </c:pt>
                <c:pt idx="239">
                  <c:v>-0.63907276793207934</c:v>
                </c:pt>
                <c:pt idx="240">
                  <c:v>-0.82209936222059699</c:v>
                </c:pt>
                <c:pt idx="241">
                  <c:v>0.10732281283924781</c:v>
                </c:pt>
                <c:pt idx="242">
                  <c:v>-0.83553164157515591</c:v>
                </c:pt>
                <c:pt idx="243">
                  <c:v>1.0490051395920923</c:v>
                </c:pt>
                <c:pt idx="244">
                  <c:v>0.13632008159089826</c:v>
                </c:pt>
                <c:pt idx="245">
                  <c:v>0.56514702032704434</c:v>
                </c:pt>
                <c:pt idx="246">
                  <c:v>0.68619871385920428</c:v>
                </c:pt>
                <c:pt idx="247">
                  <c:v>-0.88850796482954408</c:v>
                </c:pt>
                <c:pt idx="248">
                  <c:v>0.23454950916817469</c:v>
                </c:pt>
                <c:pt idx="249">
                  <c:v>-1.075157777512407</c:v>
                </c:pt>
                <c:pt idx="250">
                  <c:v>-0.38307227866894689</c:v>
                </c:pt>
                <c:pt idx="251">
                  <c:v>0.42462670682131609</c:v>
                </c:pt>
                <c:pt idx="252">
                  <c:v>-0.34028026773756764</c:v>
                </c:pt>
                <c:pt idx="253">
                  <c:v>1.3370428818581104</c:v>
                </c:pt>
                <c:pt idx="254">
                  <c:v>3.7617143359899977E-2</c:v>
                </c:pt>
                <c:pt idx="255">
                  <c:v>0.25021917320521159</c:v>
                </c:pt>
                <c:pt idx="256">
                  <c:v>0.14244790508553157</c:v>
                </c:pt>
                <c:pt idx="257">
                  <c:v>-1.2182612759361418</c:v>
                </c:pt>
                <c:pt idx="258">
                  <c:v>0.18010530893830382</c:v>
                </c:pt>
                <c:pt idx="259">
                  <c:v>-0.99334656197986526</c:v>
                </c:pt>
                <c:pt idx="260">
                  <c:v>0.40933221263988873</c:v>
                </c:pt>
                <c:pt idx="261">
                  <c:v>0.44565483720991134</c:v>
                </c:pt>
                <c:pt idx="262">
                  <c:v>0.25098556742668743</c:v>
                </c:pt>
                <c:pt idx="263">
                  <c:v>1.0951560275582397</c:v>
                </c:pt>
                <c:pt idx="264">
                  <c:v>-0.62682334713566701</c:v>
                </c:pt>
                <c:pt idx="265">
                  <c:v>0.46427239042675156</c:v>
                </c:pt>
                <c:pt idx="266">
                  <c:v>-1.220199260348366</c:v>
                </c:pt>
                <c:pt idx="267">
                  <c:v>-0.10620974183170148</c:v>
                </c:pt>
                <c:pt idx="268">
                  <c:v>-0.5168353952313014</c:v>
                </c:pt>
                <c:pt idx="269">
                  <c:v>9.4019540789766404E-2</c:v>
                </c:pt>
                <c:pt idx="270">
                  <c:v>0.75404050187584426</c:v>
                </c:pt>
                <c:pt idx="271">
                  <c:v>0.12442536188402847</c:v>
                </c:pt>
                <c:pt idx="272">
                  <c:v>1.0758387988940046</c:v>
                </c:pt>
                <c:pt idx="273">
                  <c:v>-0.68244607140340396</c:v>
                </c:pt>
                <c:pt idx="274">
                  <c:v>0.41813526765838693</c:v>
                </c:pt>
                <c:pt idx="275">
                  <c:v>-1.3211907880828009</c:v>
                </c:pt>
                <c:pt idx="276">
                  <c:v>8.5950291710102225E-2</c:v>
                </c:pt>
                <c:pt idx="277">
                  <c:v>-0.68923078704905971</c:v>
                </c:pt>
                <c:pt idx="278">
                  <c:v>0.42937374316611476</c:v>
                </c:pt>
                <c:pt idx="279">
                  <c:v>0.53569011805534328</c:v>
                </c:pt>
                <c:pt idx="280">
                  <c:v>0.31941667101635407</c:v>
                </c:pt>
                <c:pt idx="281">
                  <c:v>0.90208519798459974</c:v>
                </c:pt>
                <c:pt idx="282">
                  <c:v>-0.70603653956281787</c:v>
                </c:pt>
                <c:pt idx="283">
                  <c:v>0.363537001968604</c:v>
                </c:pt>
                <c:pt idx="284">
                  <c:v>-1.3174685922323466</c:v>
                </c:pt>
                <c:pt idx="285">
                  <c:v>1.792113897950429E-2</c:v>
                </c:pt>
                <c:pt idx="286">
                  <c:v>-0.37937486159692135</c:v>
                </c:pt>
                <c:pt idx="287">
                  <c:v>9.6035916448555136E-2</c:v>
                </c:pt>
                <c:pt idx="288">
                  <c:v>1.059003305854701</c:v>
                </c:pt>
                <c:pt idx="289">
                  <c:v>-0.14861991382787143</c:v>
                </c:pt>
                <c:pt idx="290">
                  <c:v>1.079636789318879</c:v>
                </c:pt>
                <c:pt idx="291">
                  <c:v>-0.61910303032861147</c:v>
                </c:pt>
                <c:pt idx="292">
                  <c:v>-0.31097913482211997</c:v>
                </c:pt>
                <c:pt idx="293">
                  <c:v>-0.29748086091197085</c:v>
                </c:pt>
                <c:pt idx="294">
                  <c:v>-1.1228610618127721</c:v>
                </c:pt>
                <c:pt idx="295">
                  <c:v>0.66932808650591546</c:v>
                </c:pt>
                <c:pt idx="296">
                  <c:v>-0.2712879208526372</c:v>
                </c:pt>
                <c:pt idx="297">
                  <c:v>0.75587291753855257</c:v>
                </c:pt>
                <c:pt idx="298">
                  <c:v>0.85855706999760995</c:v>
                </c:pt>
                <c:pt idx="299">
                  <c:v>-0.39101882362674961</c:v>
                </c:pt>
                <c:pt idx="300">
                  <c:v>0.61725185460778675</c:v>
                </c:pt>
                <c:pt idx="301">
                  <c:v>-1.0796882146346691</c:v>
                </c:pt>
                <c:pt idx="302">
                  <c:v>-0.41511296200196046</c:v>
                </c:pt>
                <c:pt idx="303">
                  <c:v>-0.15172952258359598</c:v>
                </c:pt>
                <c:pt idx="304">
                  <c:v>-0.65091699792682434</c:v>
                </c:pt>
                <c:pt idx="305">
                  <c:v>1.1408639141950165</c:v>
                </c:pt>
                <c:pt idx="306">
                  <c:v>-8.5713145979548655E-2</c:v>
                </c:pt>
                <c:pt idx="307">
                  <c:v>0.93209196818666973</c:v>
                </c:pt>
                <c:pt idx="308">
                  <c:v>0.17529625147210651</c:v>
                </c:pt>
                <c:pt idx="309">
                  <c:v>-0.54921853631554585</c:v>
                </c:pt>
                <c:pt idx="310">
                  <c:v>7.7864438689179416E-2</c:v>
                </c:pt>
                <c:pt idx="311">
                  <c:v>-1.3458567324958934</c:v>
                </c:pt>
                <c:pt idx="312">
                  <c:v>0.38681559014179112</c:v>
                </c:pt>
                <c:pt idx="313">
                  <c:v>-0.58768768468742594</c:v>
                </c:pt>
                <c:pt idx="314">
                  <c:v>0.83768846413806253</c:v>
                </c:pt>
                <c:pt idx="315">
                  <c:v>0.45079513308510505</c:v>
                </c:pt>
                <c:pt idx="316">
                  <c:v>0.37710451516418325</c:v>
                </c:pt>
                <c:pt idx="317">
                  <c:v>0.49913542505818032</c:v>
                </c:pt>
                <c:pt idx="318">
                  <c:v>-0.83440644910551187</c:v>
                </c:pt>
                <c:pt idx="319">
                  <c:v>0.13085614692387859</c:v>
                </c:pt>
                <c:pt idx="320">
                  <c:v>-1.3361502125787688</c:v>
                </c:pt>
                <c:pt idx="321">
                  <c:v>0.45241866278692711</c:v>
                </c:pt>
                <c:pt idx="322">
                  <c:v>-0.58309460346551722</c:v>
                </c:pt>
                <c:pt idx="323">
                  <c:v>1.0289159705805666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208440"/>
        <c:axId val="481207656"/>
      </c:scatterChart>
      <c:valAx>
        <c:axId val="481210008"/>
        <c:scaling>
          <c:orientation val="minMax"/>
          <c:max val="185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81208048"/>
        <c:crosses val="autoZero"/>
        <c:crossBetween val="midCat"/>
      </c:valAx>
      <c:valAx>
        <c:axId val="481208048"/>
        <c:scaling>
          <c:orientation val="minMax"/>
          <c:max val="40"/>
          <c:min val="-40"/>
        </c:scaling>
        <c:delete val="0"/>
        <c:axPos val="l"/>
        <c:numFmt formatCode="General" sourceLinked="1"/>
        <c:majorTickMark val="out"/>
        <c:minorTickMark val="none"/>
        <c:tickLblPos val="nextTo"/>
        <c:crossAx val="481210008"/>
        <c:crosses val="autoZero"/>
        <c:crossBetween val="midCat"/>
      </c:valAx>
      <c:valAx>
        <c:axId val="481207656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481208440"/>
        <c:crosses val="max"/>
        <c:crossBetween val="midCat"/>
      </c:valAx>
      <c:valAx>
        <c:axId val="48120844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812076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'cc (4)'!$E$13:$E$336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'cc (4)'!$J$13:$J$336</c:f>
              <c:numCache>
                <c:formatCode>General</c:formatCode>
                <c:ptCount val="324"/>
                <c:pt idx="0">
                  <c:v>15.936272538077862</c:v>
                </c:pt>
                <c:pt idx="1">
                  <c:v>4.689066207394502</c:v>
                </c:pt>
                <c:pt idx="2">
                  <c:v>-13.024496870099547</c:v>
                </c:pt>
                <c:pt idx="3">
                  <c:v>2.1015853946493772</c:v>
                </c:pt>
                <c:pt idx="4">
                  <c:v>16.103662660626298</c:v>
                </c:pt>
                <c:pt idx="5">
                  <c:v>2.2637277960192002</c:v>
                </c:pt>
                <c:pt idx="6">
                  <c:v>13.397088030696288</c:v>
                </c:pt>
                <c:pt idx="7">
                  <c:v>0.46074967848143389</c:v>
                </c:pt>
                <c:pt idx="8">
                  <c:v>2.5521333635950127</c:v>
                </c:pt>
                <c:pt idx="9">
                  <c:v>4.0855451686707118</c:v>
                </c:pt>
                <c:pt idx="10">
                  <c:v>3.1958873995006121</c:v>
                </c:pt>
                <c:pt idx="11">
                  <c:v>0.23007242442425557</c:v>
                </c:pt>
                <c:pt idx="12">
                  <c:v>-15.151773092820179</c:v>
                </c:pt>
                <c:pt idx="13">
                  <c:v>-8.270533719136111</c:v>
                </c:pt>
                <c:pt idx="14">
                  <c:v>-5.2061840423482559</c:v>
                </c:pt>
                <c:pt idx="15">
                  <c:v>-2.1045303429318727</c:v>
                </c:pt>
                <c:pt idx="16">
                  <c:v>-10.264793185937581</c:v>
                </c:pt>
                <c:pt idx="17">
                  <c:v>-5.427749525733752</c:v>
                </c:pt>
                <c:pt idx="18">
                  <c:v>-0.14677455157501518</c:v>
                </c:pt>
                <c:pt idx="19">
                  <c:v>3.9031039205400648</c:v>
                </c:pt>
                <c:pt idx="20">
                  <c:v>-5.1318892145328991</c:v>
                </c:pt>
                <c:pt idx="21">
                  <c:v>-2.3985536562905181</c:v>
                </c:pt>
                <c:pt idx="22">
                  <c:v>2.8468168554777575</c:v>
                </c:pt>
                <c:pt idx="23">
                  <c:v>-3.5484525952411725</c:v>
                </c:pt>
                <c:pt idx="24">
                  <c:v>-3.2030298671282882</c:v>
                </c:pt>
                <c:pt idx="25">
                  <c:v>5.1011186793750252</c:v>
                </c:pt>
                <c:pt idx="26">
                  <c:v>-3.4590428038108256</c:v>
                </c:pt>
                <c:pt idx="27">
                  <c:v>-7.8791211878329408</c:v>
                </c:pt>
                <c:pt idx="28">
                  <c:v>-0.19674762813494695</c:v>
                </c:pt>
                <c:pt idx="29">
                  <c:v>5.8880565512908909</c:v>
                </c:pt>
                <c:pt idx="30">
                  <c:v>10.012725210503804</c:v>
                </c:pt>
                <c:pt idx="31">
                  <c:v>1.3961785668306002</c:v>
                </c:pt>
                <c:pt idx="32">
                  <c:v>-3.918859811902645</c:v>
                </c:pt>
                <c:pt idx="33">
                  <c:v>-5.3017880129641473</c:v>
                </c:pt>
                <c:pt idx="34">
                  <c:v>3.4716546704423124</c:v>
                </c:pt>
                <c:pt idx="35">
                  <c:v>14.926827742082688</c:v>
                </c:pt>
                <c:pt idx="36">
                  <c:v>3.0073248805696355</c:v>
                </c:pt>
                <c:pt idx="37">
                  <c:v>4.1614828205176826</c:v>
                </c:pt>
                <c:pt idx="38">
                  <c:v>6.0533175359031359</c:v>
                </c:pt>
                <c:pt idx="39">
                  <c:v>0.25112753911023755</c:v>
                </c:pt>
                <c:pt idx="40">
                  <c:v>2.6670064710974639</c:v>
                </c:pt>
                <c:pt idx="41">
                  <c:v>15.40788108697009</c:v>
                </c:pt>
                <c:pt idx="42">
                  <c:v>4.8727473111993902</c:v>
                </c:pt>
                <c:pt idx="43">
                  <c:v>12.054345335696182</c:v>
                </c:pt>
                <c:pt idx="44">
                  <c:v>-14.67942639803473</c:v>
                </c:pt>
                <c:pt idx="45">
                  <c:v>-8.1184338788347166</c:v>
                </c:pt>
                <c:pt idx="46">
                  <c:v>-1.78432732060765</c:v>
                </c:pt>
                <c:pt idx="47">
                  <c:v>-4.9295623526453909</c:v>
                </c:pt>
                <c:pt idx="48">
                  <c:v>7.6479897133051311E-3</c:v>
                </c:pt>
                <c:pt idx="49">
                  <c:v>1.9065049831921383</c:v>
                </c:pt>
                <c:pt idx="50">
                  <c:v>5.1545547185302896</c:v>
                </c:pt>
                <c:pt idx="51">
                  <c:v>-11.032966636877196</c:v>
                </c:pt>
                <c:pt idx="52">
                  <c:v>-10.431182770954875</c:v>
                </c:pt>
                <c:pt idx="53">
                  <c:v>0.2567053167034512</c:v>
                </c:pt>
                <c:pt idx="54">
                  <c:v>-1.8878651755383515</c:v>
                </c:pt>
                <c:pt idx="55">
                  <c:v>-0.94977155458703955</c:v>
                </c:pt>
                <c:pt idx="56">
                  <c:v>-1.5601211388360696</c:v>
                </c:pt>
                <c:pt idx="57">
                  <c:v>-4.1095619401193986</c:v>
                </c:pt>
                <c:pt idx="58">
                  <c:v>30.414485377236833</c:v>
                </c:pt>
                <c:pt idx="59">
                  <c:v>1.9951056820814674</c:v>
                </c:pt>
                <c:pt idx="60">
                  <c:v>9.6930442178233172</c:v>
                </c:pt>
                <c:pt idx="61">
                  <c:v>6.2763049831892257</c:v>
                </c:pt>
                <c:pt idx="62">
                  <c:v>-2.1401159224232136</c:v>
                </c:pt>
                <c:pt idx="63">
                  <c:v>4.5324813853711889</c:v>
                </c:pt>
                <c:pt idx="64">
                  <c:v>-28.511451936371444</c:v>
                </c:pt>
                <c:pt idx="65">
                  <c:v>-5.0346604136719684</c:v>
                </c:pt>
                <c:pt idx="66">
                  <c:v>11.976263324069359</c:v>
                </c:pt>
                <c:pt idx="67">
                  <c:v>8.6073940592428766</c:v>
                </c:pt>
                <c:pt idx="68">
                  <c:v>16.919887288994936</c:v>
                </c:pt>
                <c:pt idx="69">
                  <c:v>7.866848962218004</c:v>
                </c:pt>
                <c:pt idx="70">
                  <c:v>5.4908406568524608</c:v>
                </c:pt>
                <c:pt idx="71">
                  <c:v>30.752179282218268</c:v>
                </c:pt>
                <c:pt idx="72">
                  <c:v>0.33239433000715679</c:v>
                </c:pt>
                <c:pt idx="73">
                  <c:v>-12.218398760802121</c:v>
                </c:pt>
                <c:pt idx="74">
                  <c:v>16.100200378223523</c:v>
                </c:pt>
                <c:pt idx="75">
                  <c:v>21.227797930638218</c:v>
                </c:pt>
                <c:pt idx="76">
                  <c:v>-0.77646825864323699</c:v>
                </c:pt>
                <c:pt idx="77">
                  <c:v>-15.984103095593355</c:v>
                </c:pt>
                <c:pt idx="78">
                  <c:v>-6.3838510237225936</c:v>
                </c:pt>
                <c:pt idx="79">
                  <c:v>-2.4260519234583953</c:v>
                </c:pt>
                <c:pt idx="80">
                  <c:v>-10.836350692757893</c:v>
                </c:pt>
                <c:pt idx="81">
                  <c:v>0.32246759773982703</c:v>
                </c:pt>
                <c:pt idx="82">
                  <c:v>-0.65124963511072542</c:v>
                </c:pt>
                <c:pt idx="83">
                  <c:v>-0.2072077425167467</c:v>
                </c:pt>
                <c:pt idx="84">
                  <c:v>5.0549265982365661</c:v>
                </c:pt>
                <c:pt idx="85">
                  <c:v>6.855567078354099</c:v>
                </c:pt>
                <c:pt idx="86">
                  <c:v>26.257532842335181</c:v>
                </c:pt>
                <c:pt idx="87">
                  <c:v>-5.7910193929905738</c:v>
                </c:pt>
                <c:pt idx="88">
                  <c:v>-0.43532712760814513</c:v>
                </c:pt>
                <c:pt idx="89">
                  <c:v>3.748494372645323</c:v>
                </c:pt>
                <c:pt idx="90">
                  <c:v>2.8631019796577313</c:v>
                </c:pt>
                <c:pt idx="91">
                  <c:v>-8.1444539894763182</c:v>
                </c:pt>
                <c:pt idx="92">
                  <c:v>3.788457866934543</c:v>
                </c:pt>
                <c:pt idx="93">
                  <c:v>24.331525125213624</c:v>
                </c:pt>
                <c:pt idx="94">
                  <c:v>6.1780762488879866</c:v>
                </c:pt>
                <c:pt idx="95">
                  <c:v>43.612351311591205</c:v>
                </c:pt>
                <c:pt idx="96">
                  <c:v>-8.8677677254454768</c:v>
                </c:pt>
                <c:pt idx="97">
                  <c:v>4.3823024692580379</c:v>
                </c:pt>
                <c:pt idx="98">
                  <c:v>7.9929487506969528</c:v>
                </c:pt>
                <c:pt idx="99">
                  <c:v>3.8165748648607085</c:v>
                </c:pt>
                <c:pt idx="100">
                  <c:v>-7.7526773491572634</c:v>
                </c:pt>
                <c:pt idx="101">
                  <c:v>-12.98656494695933</c:v>
                </c:pt>
                <c:pt idx="102">
                  <c:v>-18.970385252830518</c:v>
                </c:pt>
                <c:pt idx="103">
                  <c:v>-13.706554731393338</c:v>
                </c:pt>
                <c:pt idx="104">
                  <c:v>-4.7356161214621846</c:v>
                </c:pt>
                <c:pt idx="105">
                  <c:v>-17.873466115565453</c:v>
                </c:pt>
                <c:pt idx="106">
                  <c:v>-14.77677487655146</c:v>
                </c:pt>
                <c:pt idx="107">
                  <c:v>-1.9473733127409831</c:v>
                </c:pt>
                <c:pt idx="108">
                  <c:v>0.19554136621147189</c:v>
                </c:pt>
                <c:pt idx="109">
                  <c:v>-10.575225662279649</c:v>
                </c:pt>
                <c:pt idx="110">
                  <c:v>7.7708739061991352</c:v>
                </c:pt>
                <c:pt idx="111">
                  <c:v>-0.34832226754387641</c:v>
                </c:pt>
                <c:pt idx="112">
                  <c:v>-2.619603070260399</c:v>
                </c:pt>
                <c:pt idx="113">
                  <c:v>-2.2869622192017331</c:v>
                </c:pt>
                <c:pt idx="114">
                  <c:v>8.2008569211465652</c:v>
                </c:pt>
                <c:pt idx="115">
                  <c:v>0.67662651335049384</c:v>
                </c:pt>
                <c:pt idx="116">
                  <c:v>-1.0411339918406681</c:v>
                </c:pt>
                <c:pt idx="117">
                  <c:v>-0.58999971274767393</c:v>
                </c:pt>
                <c:pt idx="118">
                  <c:v>13.082745092518563</c:v>
                </c:pt>
                <c:pt idx="119">
                  <c:v>11.233604592955572</c:v>
                </c:pt>
                <c:pt idx="120">
                  <c:v>-9.6675609086001124</c:v>
                </c:pt>
                <c:pt idx="121">
                  <c:v>-14.552410354657217</c:v>
                </c:pt>
                <c:pt idx="122">
                  <c:v>-4.9215882355674685</c:v>
                </c:pt>
                <c:pt idx="123">
                  <c:v>-1.7117326569482587</c:v>
                </c:pt>
                <c:pt idx="124">
                  <c:v>1.7228228676390929</c:v>
                </c:pt>
                <c:pt idx="125">
                  <c:v>-15.368640677613341</c:v>
                </c:pt>
                <c:pt idx="126">
                  <c:v>9.7966812032879602E-2</c:v>
                </c:pt>
                <c:pt idx="127">
                  <c:v>-8.9167151079697948</c:v>
                </c:pt>
                <c:pt idx="128">
                  <c:v>-2.4443183236579835</c:v>
                </c:pt>
                <c:pt idx="129">
                  <c:v>-10.933941010289013</c:v>
                </c:pt>
                <c:pt idx="130">
                  <c:v>-12.809417295145234</c:v>
                </c:pt>
                <c:pt idx="131">
                  <c:v>12.127999716388643</c:v>
                </c:pt>
                <c:pt idx="132">
                  <c:v>23.41707379571691</c:v>
                </c:pt>
                <c:pt idx="133">
                  <c:v>3.0721755720485762</c:v>
                </c:pt>
                <c:pt idx="134">
                  <c:v>-27.898089142326832</c:v>
                </c:pt>
                <c:pt idx="135">
                  <c:v>-0.86480273394974383</c:v>
                </c:pt>
                <c:pt idx="136">
                  <c:v>0.33018171090128989</c:v>
                </c:pt>
                <c:pt idx="137">
                  <c:v>-19.359811461668578</c:v>
                </c:pt>
                <c:pt idx="138">
                  <c:v>-14.132933475704951</c:v>
                </c:pt>
                <c:pt idx="139">
                  <c:v>16.817526781384245</c:v>
                </c:pt>
                <c:pt idx="140">
                  <c:v>31.82832437073289</c:v>
                </c:pt>
                <c:pt idx="141">
                  <c:v>31.422680027671284</c:v>
                </c:pt>
                <c:pt idx="142">
                  <c:v>0.33867161769001664</c:v>
                </c:pt>
                <c:pt idx="143">
                  <c:v>15.208516482641922</c:v>
                </c:pt>
                <c:pt idx="144">
                  <c:v>0.54039660077557139</c:v>
                </c:pt>
                <c:pt idx="145">
                  <c:v>-9.9848008566725657</c:v>
                </c:pt>
                <c:pt idx="146">
                  <c:v>-7.2510044834989698</c:v>
                </c:pt>
                <c:pt idx="147">
                  <c:v>23.090376251427671</c:v>
                </c:pt>
                <c:pt idx="148">
                  <c:v>2.6777161564267136</c:v>
                </c:pt>
                <c:pt idx="149">
                  <c:v>-13.463909956643988</c:v>
                </c:pt>
                <c:pt idx="150">
                  <c:v>-12.533947412517225</c:v>
                </c:pt>
                <c:pt idx="151">
                  <c:v>-2.7208547964885583</c:v>
                </c:pt>
                <c:pt idx="152">
                  <c:v>-5.6128313674014709</c:v>
                </c:pt>
                <c:pt idx="153">
                  <c:v>-19.681498455640451</c:v>
                </c:pt>
                <c:pt idx="154">
                  <c:v>-14.410073420200918</c:v>
                </c:pt>
                <c:pt idx="155">
                  <c:v>1.6801888685661686</c:v>
                </c:pt>
                <c:pt idx="156">
                  <c:v>-8.5247210375340359</c:v>
                </c:pt>
                <c:pt idx="157">
                  <c:v>-5.2348784201148497</c:v>
                </c:pt>
                <c:pt idx="158">
                  <c:v>-0.72350841033420876</c:v>
                </c:pt>
                <c:pt idx="159">
                  <c:v>-0.19709216912044081</c:v>
                </c:pt>
                <c:pt idx="160">
                  <c:v>-9.6779455234410179</c:v>
                </c:pt>
                <c:pt idx="161">
                  <c:v>-7.6553440808292095</c:v>
                </c:pt>
                <c:pt idx="162">
                  <c:v>3.8352414910834578</c:v>
                </c:pt>
                <c:pt idx="163">
                  <c:v>11.338963645782938</c:v>
                </c:pt>
                <c:pt idx="164">
                  <c:v>46.785078364944681</c:v>
                </c:pt>
                <c:pt idx="165">
                  <c:v>1.2990650383137234</c:v>
                </c:pt>
                <c:pt idx="166">
                  <c:v>-19.567658547732805</c:v>
                </c:pt>
                <c:pt idx="167">
                  <c:v>-18.890419153778513</c:v>
                </c:pt>
                <c:pt idx="168">
                  <c:v>-28.372808432188986</c:v>
                </c:pt>
                <c:pt idx="169">
                  <c:v>-4.0779780181506302</c:v>
                </c:pt>
                <c:pt idx="170">
                  <c:v>-12.550381128577042</c:v>
                </c:pt>
                <c:pt idx="171">
                  <c:v>-4.1953162709894958</c:v>
                </c:pt>
                <c:pt idx="172">
                  <c:v>1.285621767000205</c:v>
                </c:pt>
                <c:pt idx="173">
                  <c:v>15.526226481092902</c:v>
                </c:pt>
                <c:pt idx="174">
                  <c:v>1.6607190890047303</c:v>
                </c:pt>
                <c:pt idx="175">
                  <c:v>15.639425587111477</c:v>
                </c:pt>
                <c:pt idx="176">
                  <c:v>14.557343574156791</c:v>
                </c:pt>
                <c:pt idx="177">
                  <c:v>12.451438895704889</c:v>
                </c:pt>
                <c:pt idx="178">
                  <c:v>0.30288193635835475</c:v>
                </c:pt>
                <c:pt idx="179">
                  <c:v>-8.3764846955415564</c:v>
                </c:pt>
                <c:pt idx="180">
                  <c:v>7.2710026625780264</c:v>
                </c:pt>
                <c:pt idx="181">
                  <c:v>11.651097308922324</c:v>
                </c:pt>
                <c:pt idx="182">
                  <c:v>26.86883741609201</c:v>
                </c:pt>
                <c:pt idx="183">
                  <c:v>0.99258466172347282</c:v>
                </c:pt>
                <c:pt idx="184">
                  <c:v>1.1726360298438032</c:v>
                </c:pt>
                <c:pt idx="185">
                  <c:v>12.730527771883724</c:v>
                </c:pt>
                <c:pt idx="186">
                  <c:v>12.485289962309785</c:v>
                </c:pt>
                <c:pt idx="187">
                  <c:v>-0.55071960864223257</c:v>
                </c:pt>
                <c:pt idx="188">
                  <c:v>9.2847321258304625</c:v>
                </c:pt>
                <c:pt idx="189">
                  <c:v>0.1730346345380851</c:v>
                </c:pt>
                <c:pt idx="190">
                  <c:v>-3.316904781501135</c:v>
                </c:pt>
                <c:pt idx="191">
                  <c:v>0.6334268006709296</c:v>
                </c:pt>
                <c:pt idx="192">
                  <c:v>6.3130047011818693</c:v>
                </c:pt>
                <c:pt idx="193">
                  <c:v>6.0975035997824705</c:v>
                </c:pt>
                <c:pt idx="194">
                  <c:v>2.9000012322754065</c:v>
                </c:pt>
                <c:pt idx="195">
                  <c:v>-23.71697028631143</c:v>
                </c:pt>
                <c:pt idx="196">
                  <c:v>-2.8256418809423383</c:v>
                </c:pt>
                <c:pt idx="197">
                  <c:v>3.1432351331699593</c:v>
                </c:pt>
                <c:pt idx="198">
                  <c:v>-0.47143350941111406</c:v>
                </c:pt>
                <c:pt idx="199">
                  <c:v>-14.807086599150022</c:v>
                </c:pt>
                <c:pt idx="200">
                  <c:v>-0.65375445056829307</c:v>
                </c:pt>
                <c:pt idx="201">
                  <c:v>19.351761248688419</c:v>
                </c:pt>
                <c:pt idx="202">
                  <c:v>-1.9612393591935551</c:v>
                </c:pt>
                <c:pt idx="203">
                  <c:v>-2.4896748541984719</c:v>
                </c:pt>
                <c:pt idx="204">
                  <c:v>-4.9061424756912988</c:v>
                </c:pt>
                <c:pt idx="205">
                  <c:v>-5.2330443109689062</c:v>
                </c:pt>
                <c:pt idx="206">
                  <c:v>-0.26054926349747776</c:v>
                </c:pt>
                <c:pt idx="207">
                  <c:v>-7.7819010522668171</c:v>
                </c:pt>
                <c:pt idx="208">
                  <c:v>-16.583324454053358</c:v>
                </c:pt>
                <c:pt idx="209">
                  <c:v>-23.407870424205882</c:v>
                </c:pt>
                <c:pt idx="210">
                  <c:v>-6.6286276640944184</c:v>
                </c:pt>
                <c:pt idx="211">
                  <c:v>-14.985289750617277</c:v>
                </c:pt>
                <c:pt idx="212">
                  <c:v>-31.581442163355749</c:v>
                </c:pt>
                <c:pt idx="213">
                  <c:v>-1.7225672009895208</c:v>
                </c:pt>
                <c:pt idx="214">
                  <c:v>2.0382900314015138</c:v>
                </c:pt>
                <c:pt idx="215">
                  <c:v>0.61813428991195052</c:v>
                </c:pt>
                <c:pt idx="216">
                  <c:v>4.8943072820220852</c:v>
                </c:pt>
                <c:pt idx="217">
                  <c:v>1.7374415519330491</c:v>
                </c:pt>
                <c:pt idx="218">
                  <c:v>-18.201595595180564</c:v>
                </c:pt>
                <c:pt idx="219">
                  <c:v>-7.6822780180224246</c:v>
                </c:pt>
                <c:pt idx="220">
                  <c:v>-10.110777144266399</c:v>
                </c:pt>
                <c:pt idx="221">
                  <c:v>-13.332178397790749</c:v>
                </c:pt>
                <c:pt idx="222">
                  <c:v>-1.3978055342850788</c:v>
                </c:pt>
                <c:pt idx="223">
                  <c:v>0.85994326714586367</c:v>
                </c:pt>
                <c:pt idx="224">
                  <c:v>-4.105157228819321</c:v>
                </c:pt>
                <c:pt idx="225">
                  <c:v>19.452967596096336</c:v>
                </c:pt>
                <c:pt idx="226">
                  <c:v>2.1590432029288031</c:v>
                </c:pt>
                <c:pt idx="227">
                  <c:v>-25.455540697747598</c:v>
                </c:pt>
                <c:pt idx="228">
                  <c:v>-10.628460751165379</c:v>
                </c:pt>
                <c:pt idx="229">
                  <c:v>0.78680658067612974</c:v>
                </c:pt>
                <c:pt idx="230">
                  <c:v>4.7183757968390569</c:v>
                </c:pt>
                <c:pt idx="231">
                  <c:v>1.1505508897093968</c:v>
                </c:pt>
                <c:pt idx="232">
                  <c:v>4.2285043411084127</c:v>
                </c:pt>
                <c:pt idx="233">
                  <c:v>18.623165169144126</c:v>
                </c:pt>
                <c:pt idx="234">
                  <c:v>0.19098671719852101</c:v>
                </c:pt>
                <c:pt idx="235">
                  <c:v>-1.501363977583047</c:v>
                </c:pt>
                <c:pt idx="236">
                  <c:v>31.654808753396384</c:v>
                </c:pt>
                <c:pt idx="237">
                  <c:v>9.2535167303399142</c:v>
                </c:pt>
                <c:pt idx="238">
                  <c:v>-6.3247303907758461</c:v>
                </c:pt>
                <c:pt idx="239">
                  <c:v>-2.0323520864788529</c:v>
                </c:pt>
                <c:pt idx="240">
                  <c:v>-6.0928202798798541</c:v>
                </c:pt>
                <c:pt idx="241">
                  <c:v>-4.0507571607646184</c:v>
                </c:pt>
                <c:pt idx="242">
                  <c:v>-23.206112886916326</c:v>
                </c:pt>
                <c:pt idx="243">
                  <c:v>-8.1070924934297981</c:v>
                </c:pt>
                <c:pt idx="244">
                  <c:v>-0.42577556304791297</c:v>
                </c:pt>
                <c:pt idx="245">
                  <c:v>19.62147836063588</c:v>
                </c:pt>
                <c:pt idx="246">
                  <c:v>1.9175023229141415</c:v>
                </c:pt>
                <c:pt idx="247">
                  <c:v>-23.055392458779863</c:v>
                </c:pt>
                <c:pt idx="248">
                  <c:v>-3.7433301656589788</c:v>
                </c:pt>
                <c:pt idx="249">
                  <c:v>19.471264457203382</c:v>
                </c:pt>
                <c:pt idx="250">
                  <c:v>-4.808506122875027</c:v>
                </c:pt>
                <c:pt idx="251">
                  <c:v>15.648048425958569</c:v>
                </c:pt>
                <c:pt idx="252">
                  <c:v>-1.7322159282859211</c:v>
                </c:pt>
                <c:pt idx="253">
                  <c:v>66.9698179301636</c:v>
                </c:pt>
                <c:pt idx="254">
                  <c:v>13.373313144252332</c:v>
                </c:pt>
                <c:pt idx="255">
                  <c:v>7.5626547109189914</c:v>
                </c:pt>
                <c:pt idx="256">
                  <c:v>0.89757075131678377</c:v>
                </c:pt>
                <c:pt idx="257">
                  <c:v>-26.344008617844743</c:v>
                </c:pt>
                <c:pt idx="258">
                  <c:v>16.183889048366591</c:v>
                </c:pt>
                <c:pt idx="259">
                  <c:v>-6.9735971439267335</c:v>
                </c:pt>
                <c:pt idx="260">
                  <c:v>24.415893551269715</c:v>
                </c:pt>
                <c:pt idx="261">
                  <c:v>14.411478528197657</c:v>
                </c:pt>
                <c:pt idx="262">
                  <c:v>17.018581283426357</c:v>
                </c:pt>
                <c:pt idx="263">
                  <c:v>41.980020093326395</c:v>
                </c:pt>
                <c:pt idx="264">
                  <c:v>-5.0300660028464215</c:v>
                </c:pt>
                <c:pt idx="265">
                  <c:v>0.4162200419478097</c:v>
                </c:pt>
                <c:pt idx="266">
                  <c:v>-37.323387145924364</c:v>
                </c:pt>
                <c:pt idx="267">
                  <c:v>-6.0606466565569868</c:v>
                </c:pt>
                <c:pt idx="268">
                  <c:v>19.485490679132152</c:v>
                </c:pt>
                <c:pt idx="269">
                  <c:v>-7.899992676432352</c:v>
                </c:pt>
                <c:pt idx="270">
                  <c:v>-21.539841081015197</c:v>
                </c:pt>
                <c:pt idx="271">
                  <c:v>-3.4661971883876257</c:v>
                </c:pt>
                <c:pt idx="272">
                  <c:v>8.215132260865122</c:v>
                </c:pt>
                <c:pt idx="273">
                  <c:v>-18.93154117283953</c:v>
                </c:pt>
                <c:pt idx="274">
                  <c:v>-9.411385835842454</c:v>
                </c:pt>
                <c:pt idx="275">
                  <c:v>-1.2915795317997329</c:v>
                </c:pt>
                <c:pt idx="276">
                  <c:v>-2.6716729854427932</c:v>
                </c:pt>
                <c:pt idx="277">
                  <c:v>-16.300191361610473</c:v>
                </c:pt>
                <c:pt idx="278">
                  <c:v>10.921810343893833</c:v>
                </c:pt>
                <c:pt idx="279">
                  <c:v>27.722281226464261</c:v>
                </c:pt>
                <c:pt idx="280">
                  <c:v>6.1115076162049933</c:v>
                </c:pt>
                <c:pt idx="281">
                  <c:v>-4.3744184492216363</c:v>
                </c:pt>
                <c:pt idx="282">
                  <c:v>-22.801550675720215</c:v>
                </c:pt>
                <c:pt idx="283">
                  <c:v>-8.2913651891018958E-3</c:v>
                </c:pt>
                <c:pt idx="284">
                  <c:v>1.228885530920844</c:v>
                </c:pt>
                <c:pt idx="285">
                  <c:v>-0.57640119160498315</c:v>
                </c:pt>
                <c:pt idx="286">
                  <c:v>2.0074899579248968</c:v>
                </c:pt>
                <c:pt idx="287">
                  <c:v>-6.1321720694634632</c:v>
                </c:pt>
                <c:pt idx="288">
                  <c:v>21.039845712254085</c:v>
                </c:pt>
                <c:pt idx="289">
                  <c:v>5.7672473733160174</c:v>
                </c:pt>
                <c:pt idx="290">
                  <c:v>48.635281592295968</c:v>
                </c:pt>
                <c:pt idx="291">
                  <c:v>-0.58267265561405113</c:v>
                </c:pt>
                <c:pt idx="292">
                  <c:v>4.8146700644820966</c:v>
                </c:pt>
                <c:pt idx="293">
                  <c:v>9.9201605584074537E-2</c:v>
                </c:pt>
                <c:pt idx="294">
                  <c:v>-29.169443096179041</c:v>
                </c:pt>
                <c:pt idx="295">
                  <c:v>2.3598187576686875</c:v>
                </c:pt>
                <c:pt idx="296">
                  <c:v>2.0062211304088144</c:v>
                </c:pt>
                <c:pt idx="297">
                  <c:v>3.7381162794800691</c:v>
                </c:pt>
                <c:pt idx="298">
                  <c:v>-28.570385502280242</c:v>
                </c:pt>
                <c:pt idx="299">
                  <c:v>-17.180398211209386</c:v>
                </c:pt>
                <c:pt idx="300">
                  <c:v>-1.8719788102381281</c:v>
                </c:pt>
                <c:pt idx="301">
                  <c:v>-20.866565811880694</c:v>
                </c:pt>
                <c:pt idx="302">
                  <c:v>-4.2230935184986906</c:v>
                </c:pt>
                <c:pt idx="303">
                  <c:v>-10.181197024752942</c:v>
                </c:pt>
                <c:pt idx="304">
                  <c:v>-22.879075176801472</c:v>
                </c:pt>
                <c:pt idx="305">
                  <c:v>-17.031458562569266</c:v>
                </c:pt>
                <c:pt idx="306">
                  <c:v>-1.6659314161174557</c:v>
                </c:pt>
                <c:pt idx="307">
                  <c:v>0.10905548398233311</c:v>
                </c:pt>
                <c:pt idx="308">
                  <c:v>0.23808575465607279</c:v>
                </c:pt>
                <c:pt idx="309">
                  <c:v>-9.6862379164228134</c:v>
                </c:pt>
                <c:pt idx="310">
                  <c:v>-1.8605997257848177</c:v>
                </c:pt>
                <c:pt idx="311">
                  <c:v>-14.39828526851209</c:v>
                </c:pt>
                <c:pt idx="312">
                  <c:v>-1.0339687942074924</c:v>
                </c:pt>
                <c:pt idx="313">
                  <c:v>5.0481990026493682</c:v>
                </c:pt>
                <c:pt idx="314">
                  <c:v>34.21787579956915</c:v>
                </c:pt>
                <c:pt idx="315">
                  <c:v>-2.0318793079113728</c:v>
                </c:pt>
                <c:pt idx="316">
                  <c:v>11.748003039122228</c:v>
                </c:pt>
                <c:pt idx="317">
                  <c:v>9.4244404332535652</c:v>
                </c:pt>
                <c:pt idx="318">
                  <c:v>0.24540335991508433</c:v>
                </c:pt>
                <c:pt idx="319">
                  <c:v>21.73291848924196</c:v>
                </c:pt>
                <c:pt idx="320">
                  <c:v>-24.44461109883601</c:v>
                </c:pt>
                <c:pt idx="321">
                  <c:v>-1.5896493342989295</c:v>
                </c:pt>
                <c:pt idx="322">
                  <c:v>-21.608066516043337</c:v>
                </c:pt>
                <c:pt idx="323">
                  <c:v>-13.100670944884985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982808"/>
        <c:axId val="481985160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'cc (4)'!$E$13:$E$336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'cc (4)'!$K$13:$K$336</c:f>
              <c:numCache>
                <c:formatCode>General</c:formatCode>
                <c:ptCount val="324"/>
                <c:pt idx="0">
                  <c:v>-1.0974721738788442</c:v>
                </c:pt>
                <c:pt idx="1">
                  <c:v>0.15843924280171773</c:v>
                </c:pt>
                <c:pt idx="2">
                  <c:v>-1.081131389854868</c:v>
                </c:pt>
                <c:pt idx="3">
                  <c:v>-4.7754606669978605E-2</c:v>
                </c:pt>
                <c:pt idx="4">
                  <c:v>0.48698635347375152</c:v>
                </c:pt>
                <c:pt idx="5">
                  <c:v>-0.10859744310163671</c:v>
                </c:pt>
                <c:pt idx="6">
                  <c:v>1.3641154516243623</c:v>
                </c:pt>
                <c:pt idx="7">
                  <c:v>-0.24382200889914285</c:v>
                </c:pt>
                <c:pt idx="8">
                  <c:v>0.19453817627030073</c:v>
                </c:pt>
                <c:pt idx="9">
                  <c:v>-0.16386078207820362</c:v>
                </c:pt>
                <c:pt idx="10">
                  <c:v>-1.2388955581242438</c:v>
                </c:pt>
                <c:pt idx="11">
                  <c:v>0.27320854686971113</c:v>
                </c:pt>
                <c:pt idx="12">
                  <c:v>-0.75791902570610625</c:v>
                </c:pt>
                <c:pt idx="13">
                  <c:v>0.49358622217625164</c:v>
                </c:pt>
                <c:pt idx="14">
                  <c:v>0.79736973043892378</c:v>
                </c:pt>
                <c:pt idx="15">
                  <c:v>-3.1038055861658503E-2</c:v>
                </c:pt>
                <c:pt idx="16">
                  <c:v>1.0826401405166195</c:v>
                </c:pt>
                <c:pt idx="17">
                  <c:v>-0.78092321425161093</c:v>
                </c:pt>
                <c:pt idx="18">
                  <c:v>-6.7689202650210001E-2</c:v>
                </c:pt>
                <c:pt idx="19">
                  <c:v>-0.62009747841808049</c:v>
                </c:pt>
                <c:pt idx="20">
                  <c:v>-0.81331500749038232</c:v>
                </c:pt>
                <c:pt idx="21">
                  <c:v>0.55326506355410188</c:v>
                </c:pt>
                <c:pt idx="22">
                  <c:v>-0.43174333786404123</c:v>
                </c:pt>
                <c:pt idx="23">
                  <c:v>1.3182930393713461</c:v>
                </c:pt>
                <c:pt idx="24">
                  <c:v>-2.9376837136353737E-2</c:v>
                </c:pt>
                <c:pt idx="25">
                  <c:v>0.59494148544405556</c:v>
                </c:pt>
                <c:pt idx="26">
                  <c:v>-0.22784895553920009</c:v>
                </c:pt>
                <c:pt idx="27">
                  <c:v>-0.71974168496899438</c:v>
                </c:pt>
                <c:pt idx="28">
                  <c:v>-0.15065127454899024</c:v>
                </c:pt>
                <c:pt idx="29">
                  <c:v>-1.0341475480727467</c:v>
                </c:pt>
                <c:pt idx="30">
                  <c:v>0.72421072152330623</c:v>
                </c:pt>
                <c:pt idx="31">
                  <c:v>-0.38379235365719022</c:v>
                </c:pt>
                <c:pt idx="32">
                  <c:v>1.3283990445406437</c:v>
                </c:pt>
                <c:pt idx="33">
                  <c:v>-0.10612984364943634</c:v>
                </c:pt>
                <c:pt idx="34">
                  <c:v>0.65550829338934635</c:v>
                </c:pt>
                <c:pt idx="35">
                  <c:v>-0.4926448735037664</c:v>
                </c:pt>
                <c:pt idx="36">
                  <c:v>-0.51153314076526546</c:v>
                </c:pt>
                <c:pt idx="37">
                  <c:v>-0.37798225694855697</c:v>
                </c:pt>
                <c:pt idx="38">
                  <c:v>-0.78788636770388831</c:v>
                </c:pt>
                <c:pt idx="39">
                  <c:v>0.67892937052489877</c:v>
                </c:pt>
                <c:pt idx="40">
                  <c:v>-0.30431699628652242</c:v>
                </c:pt>
                <c:pt idx="41">
                  <c:v>1.3718771620074779</c:v>
                </c:pt>
                <c:pt idx="42">
                  <c:v>-0.20032173714793775</c:v>
                </c:pt>
                <c:pt idx="43">
                  <c:v>0.60626951641978499</c:v>
                </c:pt>
                <c:pt idx="44">
                  <c:v>-0.48211667453157658</c:v>
                </c:pt>
                <c:pt idx="45">
                  <c:v>-0.7246380269799545</c:v>
                </c:pt>
                <c:pt idx="46">
                  <c:v>-8.5839721722207066E-2</c:v>
                </c:pt>
                <c:pt idx="47">
                  <c:v>-1.0024308806527649</c:v>
                </c:pt>
                <c:pt idx="48">
                  <c:v>0.88911452551078263</c:v>
                </c:pt>
                <c:pt idx="49">
                  <c:v>-0.12940603756752811</c:v>
                </c:pt>
                <c:pt idx="50">
                  <c:v>0.87715676828703437</c:v>
                </c:pt>
                <c:pt idx="51">
                  <c:v>0.59860361665408068</c:v>
                </c:pt>
                <c:pt idx="52">
                  <c:v>-0.49788811953026574</c:v>
                </c:pt>
                <c:pt idx="53">
                  <c:v>0.40755823701038491</c:v>
                </c:pt>
                <c:pt idx="54">
                  <c:v>-1.2824523581079985</c:v>
                </c:pt>
                <c:pt idx="55">
                  <c:v>-0.17284898759029721</c:v>
                </c:pt>
                <c:pt idx="56">
                  <c:v>-0.12952094059630698</c:v>
                </c:pt>
                <c:pt idx="57">
                  <c:v>-0.342272126669871</c:v>
                </c:pt>
                <c:pt idx="58">
                  <c:v>1.2788866606749121</c:v>
                </c:pt>
                <c:pt idx="59">
                  <c:v>-9.2257502003157826E-2</c:v>
                </c:pt>
                <c:pt idx="60">
                  <c:v>0.74334007883436415</c:v>
                </c:pt>
                <c:pt idx="61">
                  <c:v>9.0864292169341443E-2</c:v>
                </c:pt>
                <c:pt idx="62">
                  <c:v>-0.92742285649211675</c:v>
                </c:pt>
                <c:pt idx="63">
                  <c:v>0.14819414997542474</c:v>
                </c:pt>
                <c:pt idx="64">
                  <c:v>-1.2289576306891485</c:v>
                </c:pt>
                <c:pt idx="65">
                  <c:v>0.30346109418806483</c:v>
                </c:pt>
                <c:pt idx="66">
                  <c:v>0.17124999805876623</c:v>
                </c:pt>
                <c:pt idx="67">
                  <c:v>0.24047325053145252</c:v>
                </c:pt>
                <c:pt idx="68">
                  <c:v>1.1954481928068386</c:v>
                </c:pt>
                <c:pt idx="69">
                  <c:v>-0.42965263534883752</c:v>
                </c:pt>
                <c:pt idx="70">
                  <c:v>0.65426241641465777</c:v>
                </c:pt>
                <c:pt idx="71">
                  <c:v>-1.0243520204875578</c:v>
                </c:pt>
                <c:pt idx="72">
                  <c:v>-0.2958573762117146</c:v>
                </c:pt>
                <c:pt idx="73">
                  <c:v>-0.47765362129954486</c:v>
                </c:pt>
                <c:pt idx="74">
                  <c:v>-0.37143778960683166</c:v>
                </c:pt>
                <c:pt idx="75">
                  <c:v>0.82595313674500037</c:v>
                </c:pt>
                <c:pt idx="76">
                  <c:v>-9.8183190345698779E-2</c:v>
                </c:pt>
                <c:pt idx="77">
                  <c:v>1.3177475425908798</c:v>
                </c:pt>
                <c:pt idx="78">
                  <c:v>-0.4912601391601128</c:v>
                </c:pt>
                <c:pt idx="79">
                  <c:v>0.53958354161201005</c:v>
                </c:pt>
                <c:pt idx="80">
                  <c:v>-1.0513400582555945</c:v>
                </c:pt>
                <c:pt idx="81">
                  <c:v>-0.23221936070416041</c:v>
                </c:pt>
                <c:pt idx="82">
                  <c:v>-0.57258369705861212</c:v>
                </c:pt>
                <c:pt idx="83">
                  <c:v>-0.10661777560619723</c:v>
                </c:pt>
                <c:pt idx="84">
                  <c:v>0.67763364902052892</c:v>
                </c:pt>
                <c:pt idx="85">
                  <c:v>8.5393412301759952E-2</c:v>
                </c:pt>
                <c:pt idx="86">
                  <c:v>1.1955037492626077</c:v>
                </c:pt>
                <c:pt idx="87">
                  <c:v>-0.55019422954124042</c:v>
                </c:pt>
                <c:pt idx="88">
                  <c:v>0.54375326528211976</c:v>
                </c:pt>
                <c:pt idx="89">
                  <c:v>-1.1944890605138565</c:v>
                </c:pt>
                <c:pt idx="90">
                  <c:v>-0.12946330904140541</c:v>
                </c:pt>
                <c:pt idx="91">
                  <c:v>-0.54620805325663735</c:v>
                </c:pt>
                <c:pt idx="92">
                  <c:v>-0.10731494097676897</c:v>
                </c:pt>
                <c:pt idx="93">
                  <c:v>0.88529840945446159</c:v>
                </c:pt>
                <c:pt idx="94">
                  <c:v>-8.6710103513911813E-2</c:v>
                </c:pt>
                <c:pt idx="95">
                  <c:v>1.2607820486778667</c:v>
                </c:pt>
                <c:pt idx="96">
                  <c:v>-0.51507003665953233</c:v>
                </c:pt>
                <c:pt idx="97">
                  <c:v>7.9552494620967584E-2</c:v>
                </c:pt>
                <c:pt idx="98">
                  <c:v>-0.50748987267412882</c:v>
                </c:pt>
                <c:pt idx="99">
                  <c:v>-1.0363887167499959</c:v>
                </c:pt>
                <c:pt idx="100">
                  <c:v>0.41847009368930427</c:v>
                </c:pt>
                <c:pt idx="101">
                  <c:v>-0.63566922207490062</c:v>
                </c:pt>
                <c:pt idx="102">
                  <c:v>0.96243283546605429</c:v>
                </c:pt>
                <c:pt idx="103">
                  <c:v>0.55279526362273534</c:v>
                </c:pt>
                <c:pt idx="104">
                  <c:v>3.8703167345571617E-2</c:v>
                </c:pt>
                <c:pt idx="105">
                  <c:v>0.78852840002352198</c:v>
                </c:pt>
                <c:pt idx="106">
                  <c:v>-1.0823139955543513</c:v>
                </c:pt>
                <c:pt idx="107">
                  <c:v>-9.929540685237942E-2</c:v>
                </c:pt>
                <c:pt idx="108">
                  <c:v>-0.59025713586517903</c:v>
                </c:pt>
                <c:pt idx="109">
                  <c:v>-0.65891837486501637</c:v>
                </c:pt>
                <c:pt idx="110">
                  <c:v>0.88490117030110638</c:v>
                </c:pt>
                <c:pt idx="111">
                  <c:v>-0.24328830528584378</c:v>
                </c:pt>
                <c:pt idx="112">
                  <c:v>1.1459433778496861</c:v>
                </c:pt>
                <c:pt idx="113">
                  <c:v>0.22875600017947217</c:v>
                </c:pt>
                <c:pt idx="114">
                  <c:v>-0.24154173532379813</c:v>
                </c:pt>
                <c:pt idx="115">
                  <c:v>0.18664549092209531</c:v>
                </c:pt>
                <c:pt idx="116">
                  <c:v>-1.3516001919324849</c:v>
                </c:pt>
                <c:pt idx="117">
                  <c:v>0.22627894877969462</c:v>
                </c:pt>
                <c:pt idx="118">
                  <c:v>-0.75331139552674375</c:v>
                </c:pt>
                <c:pt idx="119">
                  <c:v>0.53531705583896316</c:v>
                </c:pt>
                <c:pt idx="120">
                  <c:v>0.56445828654953734</c:v>
                </c:pt>
                <c:pt idx="121">
                  <c:v>0.26910952423128376</c:v>
                </c:pt>
                <c:pt idx="122">
                  <c:v>0.89927030703149224</c:v>
                </c:pt>
                <c:pt idx="123">
                  <c:v>-0.77308267990014623</c:v>
                </c:pt>
                <c:pt idx="124">
                  <c:v>0.32617555425869649</c:v>
                </c:pt>
                <c:pt idx="125">
                  <c:v>-1.346738857976197</c:v>
                </c:pt>
                <c:pt idx="126">
                  <c:v>0.16128782117835574</c:v>
                </c:pt>
                <c:pt idx="127">
                  <c:v>-0.58917101925686477</c:v>
                </c:pt>
                <c:pt idx="128">
                  <c:v>0.57074906118160595</c:v>
                </c:pt>
                <c:pt idx="129">
                  <c:v>0.52797351931386904</c:v>
                </c:pt>
                <c:pt idx="130">
                  <c:v>0.37948656295583816</c:v>
                </c:pt>
                <c:pt idx="131">
                  <c:v>0.6851592912869926</c:v>
                </c:pt>
                <c:pt idx="132">
                  <c:v>-0.71292381618624723</c:v>
                </c:pt>
                <c:pt idx="133">
                  <c:v>0.22153837789882957</c:v>
                </c:pt>
                <c:pt idx="134">
                  <c:v>-1.3724022590167673</c:v>
                </c:pt>
                <c:pt idx="135">
                  <c:v>0.31423809061395724</c:v>
                </c:pt>
                <c:pt idx="136">
                  <c:v>-0.67773779100043774</c:v>
                </c:pt>
                <c:pt idx="137">
                  <c:v>0.78800757492762052</c:v>
                </c:pt>
                <c:pt idx="138">
                  <c:v>0.43468472579171286</c:v>
                </c:pt>
                <c:pt idx="139">
                  <c:v>0.38183065613544842</c:v>
                </c:pt>
                <c:pt idx="140">
                  <c:v>0.67651252735363754</c:v>
                </c:pt>
                <c:pt idx="141">
                  <c:v>-0.87799079798133683</c:v>
                </c:pt>
                <c:pt idx="142">
                  <c:v>0.24517478257455216</c:v>
                </c:pt>
                <c:pt idx="143">
                  <c:v>-1.2816798343455855</c:v>
                </c:pt>
                <c:pt idx="144">
                  <c:v>4.616974221422554E-2</c:v>
                </c:pt>
                <c:pt idx="145">
                  <c:v>-1.6748884449199308E-2</c:v>
                </c:pt>
                <c:pt idx="146">
                  <c:v>4.0402534166122439E-2</c:v>
                </c:pt>
                <c:pt idx="147">
                  <c:v>1.2798269007410543</c:v>
                </c:pt>
                <c:pt idx="148">
                  <c:v>-0.26537917190644117</c:v>
                </c:pt>
                <c:pt idx="149">
                  <c:v>0.74915498158673766</c:v>
                </c:pt>
                <c:pt idx="150">
                  <c:v>-0.46323541688512454</c:v>
                </c:pt>
                <c:pt idx="151">
                  <c:v>-0.8265725669432552</c:v>
                </c:pt>
                <c:pt idx="152">
                  <c:v>6.3722066037124714E-2</c:v>
                </c:pt>
                <c:pt idx="153">
                  <c:v>-1.0915152652904181</c:v>
                </c:pt>
                <c:pt idx="154">
                  <c:v>0.68660604829757066</c:v>
                </c:pt>
                <c:pt idx="155">
                  <c:v>0.26691672688846374</c:v>
                </c:pt>
                <c:pt idx="156">
                  <c:v>0.3248002766980207</c:v>
                </c:pt>
                <c:pt idx="157">
                  <c:v>1.1049539678931151</c:v>
                </c:pt>
                <c:pt idx="158">
                  <c:v>-0.67965486323193836</c:v>
                </c:pt>
                <c:pt idx="159">
                  <c:v>0.29822673011046458</c:v>
                </c:pt>
                <c:pt idx="160">
                  <c:v>-0.84814257441193597</c:v>
                </c:pt>
                <c:pt idx="161">
                  <c:v>-0.71604851316756624</c:v>
                </c:pt>
                <c:pt idx="162">
                  <c:v>0.26711308590022942</c:v>
                </c:pt>
                <c:pt idx="163">
                  <c:v>-0.58102320873121283</c:v>
                </c:pt>
                <c:pt idx="164">
                  <c:v>1.2525537893334586</c:v>
                </c:pt>
                <c:pt idx="165">
                  <c:v>1.7985555503119921E-2</c:v>
                </c:pt>
                <c:pt idx="166">
                  <c:v>0.70965915372824018</c:v>
                </c:pt>
                <c:pt idx="167">
                  <c:v>5.5634507371547848E-2</c:v>
                </c:pt>
                <c:pt idx="168">
                  <c:v>-0.72514747443566163</c:v>
                </c:pt>
                <c:pt idx="169">
                  <c:v>-9.3900946510696026E-3</c:v>
                </c:pt>
                <c:pt idx="170">
                  <c:v>-1.2543576188893251</c:v>
                </c:pt>
                <c:pt idx="171">
                  <c:v>0.5708046507139044</c:v>
                </c:pt>
                <c:pt idx="172">
                  <c:v>-0.48950636943889497</c:v>
                </c:pt>
                <c:pt idx="173">
                  <c:v>1.1156782859846393</c:v>
                </c:pt>
                <c:pt idx="174">
                  <c:v>0.20211058830739501</c:v>
                </c:pt>
                <c:pt idx="175">
                  <c:v>0.52405531701732599</c:v>
                </c:pt>
                <c:pt idx="176">
                  <c:v>2.0180622407128312E-2</c:v>
                </c:pt>
                <c:pt idx="177">
                  <c:v>-0.72303329240332759</c:v>
                </c:pt>
                <c:pt idx="178">
                  <c:v>-0.11475062311276965</c:v>
                </c:pt>
                <c:pt idx="179">
                  <c:v>-1.1309147085358942</c:v>
                </c:pt>
                <c:pt idx="180">
                  <c:v>0.60945403178750079</c:v>
                </c:pt>
                <c:pt idx="181">
                  <c:v>-0.48335001286851753</c:v>
                </c:pt>
                <c:pt idx="182">
                  <c:v>1.2843994443151447</c:v>
                </c:pt>
                <c:pt idx="183">
                  <c:v>-1.6148939676312604E-2</c:v>
                </c:pt>
                <c:pt idx="184">
                  <c:v>0.68088314179148268</c:v>
                </c:pt>
                <c:pt idx="185">
                  <c:v>-0.23036340496553359</c:v>
                </c:pt>
                <c:pt idx="186">
                  <c:v>-0.65692852256559686</c:v>
                </c:pt>
                <c:pt idx="187">
                  <c:v>-0.14435188942848204</c:v>
                </c:pt>
                <c:pt idx="188">
                  <c:v>-1.1171521205015216</c:v>
                </c:pt>
                <c:pt idx="189">
                  <c:v>0.70462315204597559</c:v>
                </c:pt>
                <c:pt idx="190">
                  <c:v>-0.35949204267312213</c:v>
                </c:pt>
                <c:pt idx="191">
                  <c:v>1.0606961118505325</c:v>
                </c:pt>
                <c:pt idx="192">
                  <c:v>0.42927519965197047</c:v>
                </c:pt>
                <c:pt idx="193">
                  <c:v>-4.9049427757098391E-2</c:v>
                </c:pt>
                <c:pt idx="194">
                  <c:v>0.43710812152024014</c:v>
                </c:pt>
                <c:pt idx="195">
                  <c:v>-1.2840762079444814</c:v>
                </c:pt>
                <c:pt idx="196">
                  <c:v>6.8184826340355748E-2</c:v>
                </c:pt>
                <c:pt idx="197">
                  <c:v>-0.72490311156847831</c:v>
                </c:pt>
                <c:pt idx="198">
                  <c:v>-0.12257049304742407</c:v>
                </c:pt>
                <c:pt idx="199">
                  <c:v>0.9451118241702352</c:v>
                </c:pt>
                <c:pt idx="200">
                  <c:v>-0.16057690933425955</c:v>
                </c:pt>
                <c:pt idx="201">
                  <c:v>1.1938770347830014</c:v>
                </c:pt>
                <c:pt idx="202">
                  <c:v>-0.16585387446841329</c:v>
                </c:pt>
                <c:pt idx="203">
                  <c:v>-0.38154907097956398</c:v>
                </c:pt>
                <c:pt idx="204">
                  <c:v>5.5140607056407553E-3</c:v>
                </c:pt>
                <c:pt idx="205">
                  <c:v>-1.3459712548291698</c:v>
                </c:pt>
                <c:pt idx="206">
                  <c:v>0.35147605059074294</c:v>
                </c:pt>
                <c:pt idx="207">
                  <c:v>-0.30142661369518015</c:v>
                </c:pt>
                <c:pt idx="208">
                  <c:v>0.39035671417150575</c:v>
                </c:pt>
                <c:pt idx="209">
                  <c:v>1.0675727343065735</c:v>
                </c:pt>
                <c:pt idx="210">
                  <c:v>-0.24482177035902764</c:v>
                </c:pt>
                <c:pt idx="211">
                  <c:v>0.86815810836053697</c:v>
                </c:pt>
                <c:pt idx="212">
                  <c:v>-0.917289104488486</c:v>
                </c:pt>
                <c:pt idx="213">
                  <c:v>-0.25690743532170784</c:v>
                </c:pt>
                <c:pt idx="214">
                  <c:v>-0.53108411600147354</c:v>
                </c:pt>
                <c:pt idx="215">
                  <c:v>-0.63595323064068077</c:v>
                </c:pt>
                <c:pt idx="216">
                  <c:v>0.74730989417480598</c:v>
                </c:pt>
                <c:pt idx="217">
                  <c:v>-0.25172111601444408</c:v>
                </c:pt>
                <c:pt idx="218">
                  <c:v>1.3686131241960848</c:v>
                </c:pt>
                <c:pt idx="219">
                  <c:v>-0.25767916480354686</c:v>
                </c:pt>
                <c:pt idx="220">
                  <c:v>0.55716695799704841</c:v>
                </c:pt>
                <c:pt idx="221">
                  <c:v>-0.66933751891916871</c:v>
                </c:pt>
                <c:pt idx="222">
                  <c:v>-0.52845151537188539</c:v>
                </c:pt>
                <c:pt idx="223">
                  <c:v>-0.35806168410845829</c:v>
                </c:pt>
                <c:pt idx="224">
                  <c:v>-0.60692721966723773</c:v>
                </c:pt>
                <c:pt idx="225">
                  <c:v>0.77850403528338052</c:v>
                </c:pt>
                <c:pt idx="226">
                  <c:v>-0.16956983764962563</c:v>
                </c:pt>
                <c:pt idx="227">
                  <c:v>1.3575505156844088</c:v>
                </c:pt>
                <c:pt idx="228">
                  <c:v>-0.3862764863086755</c:v>
                </c:pt>
                <c:pt idx="229">
                  <c:v>0.64973779323242664</c:v>
                </c:pt>
                <c:pt idx="230">
                  <c:v>-0.94844690335579096</c:v>
                </c:pt>
                <c:pt idx="231">
                  <c:v>-0.28670130067153798</c:v>
                </c:pt>
                <c:pt idx="232">
                  <c:v>-0.55307690457748648</c:v>
                </c:pt>
                <c:pt idx="233">
                  <c:v>-0.37148998378867948</c:v>
                </c:pt>
                <c:pt idx="234">
                  <c:v>0.75358891055199262</c:v>
                </c:pt>
                <c:pt idx="235">
                  <c:v>-0.12098571436878497</c:v>
                </c:pt>
                <c:pt idx="236">
                  <c:v>1.34531224626253</c:v>
                </c:pt>
                <c:pt idx="237">
                  <c:v>-0.39849601375939181</c:v>
                </c:pt>
                <c:pt idx="238">
                  <c:v>0.40752787067960489</c:v>
                </c:pt>
                <c:pt idx="239">
                  <c:v>-0.63907276793207934</c:v>
                </c:pt>
                <c:pt idx="240">
                  <c:v>-0.82209936222059699</c:v>
                </c:pt>
                <c:pt idx="241">
                  <c:v>0.10732281283924781</c:v>
                </c:pt>
                <c:pt idx="242">
                  <c:v>-0.83553164157515591</c:v>
                </c:pt>
                <c:pt idx="243">
                  <c:v>1.0490051395920923</c:v>
                </c:pt>
                <c:pt idx="244">
                  <c:v>0.13632008159089826</c:v>
                </c:pt>
                <c:pt idx="245">
                  <c:v>0.56514702032704434</c:v>
                </c:pt>
                <c:pt idx="246">
                  <c:v>0.68619871385920428</c:v>
                </c:pt>
                <c:pt idx="247">
                  <c:v>-0.88850796482954408</c:v>
                </c:pt>
                <c:pt idx="248">
                  <c:v>0.23454950916817469</c:v>
                </c:pt>
                <c:pt idx="249">
                  <c:v>-1.075157777512407</c:v>
                </c:pt>
                <c:pt idx="250">
                  <c:v>-0.38307227866894689</c:v>
                </c:pt>
                <c:pt idx="251">
                  <c:v>0.42462670682131609</c:v>
                </c:pt>
                <c:pt idx="252">
                  <c:v>-0.34028026773756764</c:v>
                </c:pt>
                <c:pt idx="253">
                  <c:v>1.3370428818581104</c:v>
                </c:pt>
                <c:pt idx="254">
                  <c:v>3.7617143359899977E-2</c:v>
                </c:pt>
                <c:pt idx="255">
                  <c:v>0.25021917320521159</c:v>
                </c:pt>
                <c:pt idx="256">
                  <c:v>0.14244790508553157</c:v>
                </c:pt>
                <c:pt idx="257">
                  <c:v>-1.2182612759361418</c:v>
                </c:pt>
                <c:pt idx="258">
                  <c:v>0.18010530893830382</c:v>
                </c:pt>
                <c:pt idx="259">
                  <c:v>-0.99334656197986526</c:v>
                </c:pt>
                <c:pt idx="260">
                  <c:v>0.40933221263988873</c:v>
                </c:pt>
                <c:pt idx="261">
                  <c:v>0.44565483720991134</c:v>
                </c:pt>
                <c:pt idx="262">
                  <c:v>0.25098556742668743</c:v>
                </c:pt>
                <c:pt idx="263">
                  <c:v>1.0951560275582397</c:v>
                </c:pt>
                <c:pt idx="264">
                  <c:v>-0.62682334713566701</c:v>
                </c:pt>
                <c:pt idx="265">
                  <c:v>0.46427239042675156</c:v>
                </c:pt>
                <c:pt idx="266">
                  <c:v>-1.220199260348366</c:v>
                </c:pt>
                <c:pt idx="267">
                  <c:v>-0.10620974183170148</c:v>
                </c:pt>
                <c:pt idx="268">
                  <c:v>-0.5168353952313014</c:v>
                </c:pt>
                <c:pt idx="269">
                  <c:v>9.4019540789766404E-2</c:v>
                </c:pt>
                <c:pt idx="270">
                  <c:v>0.75404050187584426</c:v>
                </c:pt>
                <c:pt idx="271">
                  <c:v>0.12442536188402847</c:v>
                </c:pt>
                <c:pt idx="272">
                  <c:v>1.0758387988940046</c:v>
                </c:pt>
                <c:pt idx="273">
                  <c:v>-0.68244607140340396</c:v>
                </c:pt>
                <c:pt idx="274">
                  <c:v>0.41813526765838693</c:v>
                </c:pt>
                <c:pt idx="275">
                  <c:v>-1.3211907880828009</c:v>
                </c:pt>
                <c:pt idx="276">
                  <c:v>8.5950291710102225E-2</c:v>
                </c:pt>
                <c:pt idx="277">
                  <c:v>-0.68923078704905971</c:v>
                </c:pt>
                <c:pt idx="278">
                  <c:v>0.42937374316611476</c:v>
                </c:pt>
                <c:pt idx="279">
                  <c:v>0.53569011805534328</c:v>
                </c:pt>
                <c:pt idx="280">
                  <c:v>0.31941667101635407</c:v>
                </c:pt>
                <c:pt idx="281">
                  <c:v>0.90208519798459974</c:v>
                </c:pt>
                <c:pt idx="282">
                  <c:v>-0.70603653956281787</c:v>
                </c:pt>
                <c:pt idx="283">
                  <c:v>0.363537001968604</c:v>
                </c:pt>
                <c:pt idx="284">
                  <c:v>-1.3174685922323466</c:v>
                </c:pt>
                <c:pt idx="285">
                  <c:v>1.792113897950429E-2</c:v>
                </c:pt>
                <c:pt idx="286">
                  <c:v>-0.37937486159692135</c:v>
                </c:pt>
                <c:pt idx="287">
                  <c:v>9.6035916448555136E-2</c:v>
                </c:pt>
                <c:pt idx="288">
                  <c:v>1.059003305854701</c:v>
                </c:pt>
                <c:pt idx="289">
                  <c:v>-0.14861991382787143</c:v>
                </c:pt>
                <c:pt idx="290">
                  <c:v>1.079636789318879</c:v>
                </c:pt>
                <c:pt idx="291">
                  <c:v>-0.61910303032861147</c:v>
                </c:pt>
                <c:pt idx="292">
                  <c:v>-0.31097913482211997</c:v>
                </c:pt>
                <c:pt idx="293">
                  <c:v>-0.29748086091197085</c:v>
                </c:pt>
                <c:pt idx="294">
                  <c:v>-1.1228610618127721</c:v>
                </c:pt>
                <c:pt idx="295">
                  <c:v>0.66932808650591546</c:v>
                </c:pt>
                <c:pt idx="296">
                  <c:v>-0.2712879208526372</c:v>
                </c:pt>
                <c:pt idx="297">
                  <c:v>0.75587291753855257</c:v>
                </c:pt>
                <c:pt idx="298">
                  <c:v>0.85855706999760995</c:v>
                </c:pt>
                <c:pt idx="299">
                  <c:v>-0.39101882362674961</c:v>
                </c:pt>
                <c:pt idx="300">
                  <c:v>0.61725185460778675</c:v>
                </c:pt>
                <c:pt idx="301">
                  <c:v>-1.0796882146346691</c:v>
                </c:pt>
                <c:pt idx="302">
                  <c:v>-0.41511296200196046</c:v>
                </c:pt>
                <c:pt idx="303">
                  <c:v>-0.15172952258359598</c:v>
                </c:pt>
                <c:pt idx="304">
                  <c:v>-0.65091699792682434</c:v>
                </c:pt>
                <c:pt idx="305">
                  <c:v>1.1408639141950165</c:v>
                </c:pt>
                <c:pt idx="306">
                  <c:v>-8.5713145979548655E-2</c:v>
                </c:pt>
                <c:pt idx="307">
                  <c:v>0.93209196818666973</c:v>
                </c:pt>
                <c:pt idx="308">
                  <c:v>0.17529625147210651</c:v>
                </c:pt>
                <c:pt idx="309">
                  <c:v>-0.54921853631554585</c:v>
                </c:pt>
                <c:pt idx="310">
                  <c:v>7.7864438689179416E-2</c:v>
                </c:pt>
                <c:pt idx="311">
                  <c:v>-1.3458567324958934</c:v>
                </c:pt>
                <c:pt idx="312">
                  <c:v>0.38681559014179112</c:v>
                </c:pt>
                <c:pt idx="313">
                  <c:v>-0.58768768468742594</c:v>
                </c:pt>
                <c:pt idx="314">
                  <c:v>0.83768846413806253</c:v>
                </c:pt>
                <c:pt idx="315">
                  <c:v>0.45079513308510505</c:v>
                </c:pt>
                <c:pt idx="316">
                  <c:v>0.37710451516418325</c:v>
                </c:pt>
                <c:pt idx="317">
                  <c:v>0.49913542505818032</c:v>
                </c:pt>
                <c:pt idx="318">
                  <c:v>-0.83440644910551187</c:v>
                </c:pt>
                <c:pt idx="319">
                  <c:v>0.13085614692387859</c:v>
                </c:pt>
                <c:pt idx="320">
                  <c:v>-1.3361502125787688</c:v>
                </c:pt>
                <c:pt idx="321">
                  <c:v>0.45241866278692711</c:v>
                </c:pt>
                <c:pt idx="322">
                  <c:v>-0.58309460346551722</c:v>
                </c:pt>
                <c:pt idx="323">
                  <c:v>1.0289159705805666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984376"/>
        <c:axId val="481983984"/>
      </c:scatterChart>
      <c:valAx>
        <c:axId val="481982808"/>
        <c:scaling>
          <c:orientation val="minMax"/>
          <c:max val="2000"/>
          <c:min val="180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81985160"/>
        <c:crosses val="autoZero"/>
        <c:crossBetween val="midCat"/>
      </c:valAx>
      <c:valAx>
        <c:axId val="481985160"/>
        <c:scaling>
          <c:orientation val="minMax"/>
          <c:max val="40"/>
          <c:min val="-40"/>
        </c:scaling>
        <c:delete val="0"/>
        <c:axPos val="l"/>
        <c:numFmt formatCode="General" sourceLinked="1"/>
        <c:majorTickMark val="out"/>
        <c:minorTickMark val="none"/>
        <c:tickLblPos val="nextTo"/>
        <c:crossAx val="481982808"/>
        <c:crosses val="autoZero"/>
        <c:crossBetween val="midCat"/>
      </c:valAx>
      <c:valAx>
        <c:axId val="481983984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481984376"/>
        <c:crosses val="max"/>
        <c:crossBetween val="midCat"/>
      </c:valAx>
      <c:valAx>
        <c:axId val="48198437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819839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cc_low_end!$E$11:$E$338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cc_low_end!$F$11:$F$338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06160"/>
        <c:axId val="487006552"/>
      </c:scatterChart>
      <c:valAx>
        <c:axId val="487006160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87006552"/>
        <c:crosses val="autoZero"/>
        <c:crossBetween val="midCat"/>
      </c:valAx>
      <c:valAx>
        <c:axId val="487006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87006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cc_low_end!$I$13:$I$336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cc_low_end!$J$13:$J$336</c:f>
              <c:numCache>
                <c:formatCode>General</c:formatCode>
                <c:ptCount val="324"/>
                <c:pt idx="0">
                  <c:v>-4.0706126592142713</c:v>
                </c:pt>
                <c:pt idx="1">
                  <c:v>-7.8118298738141387</c:v>
                </c:pt>
                <c:pt idx="2">
                  <c:v>-1.6634009783074508</c:v>
                </c:pt>
                <c:pt idx="3">
                  <c:v>0.97661121547763563</c:v>
                </c:pt>
                <c:pt idx="4">
                  <c:v>5.6113544907727828</c:v>
                </c:pt>
                <c:pt idx="5">
                  <c:v>2.9928787603423213</c:v>
                </c:pt>
                <c:pt idx="6">
                  <c:v>1.6436126835992853</c:v>
                </c:pt>
                <c:pt idx="7">
                  <c:v>0.57322558453684291</c:v>
                </c:pt>
                <c:pt idx="8">
                  <c:v>1.9170957781930758</c:v>
                </c:pt>
                <c:pt idx="9">
                  <c:v>3.6028629796833709</c:v>
                </c:pt>
                <c:pt idx="10">
                  <c:v>-0.24636936169210488</c:v>
                </c:pt>
                <c:pt idx="11">
                  <c:v>-5.5847737866371538</c:v>
                </c:pt>
                <c:pt idx="12">
                  <c:v>-1.2311142310788457</c:v>
                </c:pt>
                <c:pt idx="13">
                  <c:v>-3.018511518398943</c:v>
                </c:pt>
                <c:pt idx="14">
                  <c:v>-2.6440747127000304</c:v>
                </c:pt>
                <c:pt idx="15">
                  <c:v>-1.866865434876626</c:v>
                </c:pt>
                <c:pt idx="16">
                  <c:v>-2.9228770854446351</c:v>
                </c:pt>
                <c:pt idx="17">
                  <c:v>-1.2330505711567057</c:v>
                </c:pt>
                <c:pt idx="18">
                  <c:v>-3.1615553296116281</c:v>
                </c:pt>
                <c:pt idx="19">
                  <c:v>-3.5650742858124271</c:v>
                </c:pt>
                <c:pt idx="20">
                  <c:v>-4.4226780485654524</c:v>
                </c:pt>
                <c:pt idx="21">
                  <c:v>-2.6657149724998053E-2</c:v>
                </c:pt>
                <c:pt idx="22">
                  <c:v>1.89270409472691</c:v>
                </c:pt>
                <c:pt idx="23">
                  <c:v>-0.94016458421216198</c:v>
                </c:pt>
                <c:pt idx="24">
                  <c:v>-3.0779418724734917</c:v>
                </c:pt>
                <c:pt idx="25">
                  <c:v>1.132115752454808</c:v>
                </c:pt>
                <c:pt idx="26">
                  <c:v>0.21048195589240598</c:v>
                </c:pt>
                <c:pt idx="27">
                  <c:v>-8.9673570642048617</c:v>
                </c:pt>
                <c:pt idx="28">
                  <c:v>-1.9470254369268565</c:v>
                </c:pt>
                <c:pt idx="29">
                  <c:v>4.0379823657671894</c:v>
                </c:pt>
                <c:pt idx="30">
                  <c:v>2.3489955632991868</c:v>
                </c:pt>
                <c:pt idx="31">
                  <c:v>1.4424618504387674</c:v>
                </c:pt>
                <c:pt idx="32">
                  <c:v>-1.3667759617451831</c:v>
                </c:pt>
                <c:pt idx="33">
                  <c:v>-5.4870327922973434</c:v>
                </c:pt>
                <c:pt idx="34">
                  <c:v>2.0569309377873259</c:v>
                </c:pt>
                <c:pt idx="35">
                  <c:v>-5.8694660209015534</c:v>
                </c:pt>
                <c:pt idx="36">
                  <c:v>4.2017530415869171</c:v>
                </c:pt>
                <c:pt idx="37">
                  <c:v>-2.5585613925502848E-3</c:v>
                </c:pt>
                <c:pt idx="38">
                  <c:v>1.3731932153658895</c:v>
                </c:pt>
                <c:pt idx="39">
                  <c:v>0.71994019146667965</c:v>
                </c:pt>
                <c:pt idx="40">
                  <c:v>4.7063652727592693</c:v>
                </c:pt>
                <c:pt idx="41">
                  <c:v>1.9763130557678177</c:v>
                </c:pt>
                <c:pt idx="42">
                  <c:v>4.360958545344908</c:v>
                </c:pt>
                <c:pt idx="43">
                  <c:v>4.9116570302810993</c:v>
                </c:pt>
                <c:pt idx="44">
                  <c:v>-5.8483993246079358</c:v>
                </c:pt>
                <c:pt idx="45">
                  <c:v>1.0835867729836186</c:v>
                </c:pt>
                <c:pt idx="46">
                  <c:v>-16.106849313440001</c:v>
                </c:pt>
                <c:pt idx="47">
                  <c:v>-0.44782808427048576</c:v>
                </c:pt>
                <c:pt idx="48">
                  <c:v>0.15021575755125549</c:v>
                </c:pt>
                <c:pt idx="49">
                  <c:v>2.5406389987613283</c:v>
                </c:pt>
                <c:pt idx="50">
                  <c:v>0.84665711993889692</c:v>
                </c:pt>
                <c:pt idx="51">
                  <c:v>-3.4537365129558233</c:v>
                </c:pt>
                <c:pt idx="52">
                  <c:v>4.5478899349804536E-6</c:v>
                </c:pt>
                <c:pt idx="53">
                  <c:v>-7.6347081488703648</c:v>
                </c:pt>
                <c:pt idx="54">
                  <c:v>-0.72080606535982317</c:v>
                </c:pt>
                <c:pt idx="55">
                  <c:v>-6.657586487122825</c:v>
                </c:pt>
                <c:pt idx="56">
                  <c:v>-1.0915374177782891</c:v>
                </c:pt>
                <c:pt idx="57">
                  <c:v>-0.9548277986243624</c:v>
                </c:pt>
                <c:pt idx="58">
                  <c:v>3.6353399322618101</c:v>
                </c:pt>
                <c:pt idx="59">
                  <c:v>2.7037597594175908</c:v>
                </c:pt>
                <c:pt idx="60">
                  <c:v>3.1759755241626366</c:v>
                </c:pt>
                <c:pt idx="61">
                  <c:v>-1.6090495775391416</c:v>
                </c:pt>
                <c:pt idx="62">
                  <c:v>-1.7418848659268749</c:v>
                </c:pt>
                <c:pt idx="63">
                  <c:v>5.9218782756878223</c:v>
                </c:pt>
                <c:pt idx="64">
                  <c:v>-12.537940145432957</c:v>
                </c:pt>
                <c:pt idx="65">
                  <c:v>-1.0068616861364641</c:v>
                </c:pt>
                <c:pt idx="66">
                  <c:v>3.6894977224459118</c:v>
                </c:pt>
                <c:pt idx="67">
                  <c:v>3.1493383170967104</c:v>
                </c:pt>
                <c:pt idx="68">
                  <c:v>4.9622981469005376</c:v>
                </c:pt>
                <c:pt idx="69">
                  <c:v>5.8254539710768913</c:v>
                </c:pt>
                <c:pt idx="70">
                  <c:v>-0.79036789302000909</c:v>
                </c:pt>
                <c:pt idx="71">
                  <c:v>16.891855406517777</c:v>
                </c:pt>
                <c:pt idx="72">
                  <c:v>-0.38718047473667005</c:v>
                </c:pt>
                <c:pt idx="73">
                  <c:v>-1.2535618939779614E-4</c:v>
                </c:pt>
                <c:pt idx="74">
                  <c:v>6.7915256137996636</c:v>
                </c:pt>
                <c:pt idx="75">
                  <c:v>5.5958522966526436</c:v>
                </c:pt>
                <c:pt idx="76">
                  <c:v>0.45530321449973199</c:v>
                </c:pt>
                <c:pt idx="77">
                  <c:v>-3.7652659789973204</c:v>
                </c:pt>
                <c:pt idx="78">
                  <c:v>-3.4083965450837863</c:v>
                </c:pt>
                <c:pt idx="79">
                  <c:v>-2.3207713478611747</c:v>
                </c:pt>
                <c:pt idx="80">
                  <c:v>0.61279521440370477</c:v>
                </c:pt>
                <c:pt idx="81">
                  <c:v>-20.817070348243579</c:v>
                </c:pt>
                <c:pt idx="82">
                  <c:v>-1.97688068510421</c:v>
                </c:pt>
                <c:pt idx="83">
                  <c:v>9.5256463411182365E-2</c:v>
                </c:pt>
                <c:pt idx="84">
                  <c:v>1.7817832135225418</c:v>
                </c:pt>
                <c:pt idx="85">
                  <c:v>5.0034719802761982</c:v>
                </c:pt>
                <c:pt idx="86">
                  <c:v>2.8005935322393567</c:v>
                </c:pt>
                <c:pt idx="87">
                  <c:v>1.9526881910688161</c:v>
                </c:pt>
                <c:pt idx="88">
                  <c:v>-0.43167966401017316</c:v>
                </c:pt>
                <c:pt idx="89">
                  <c:v>-3.5913120363237909</c:v>
                </c:pt>
                <c:pt idx="90">
                  <c:v>-12.313258546331461</c:v>
                </c:pt>
                <c:pt idx="91">
                  <c:v>-2.1471316316065083</c:v>
                </c:pt>
                <c:pt idx="92">
                  <c:v>1.0586345413062261</c:v>
                </c:pt>
                <c:pt idx="93">
                  <c:v>3.330790139932045</c:v>
                </c:pt>
                <c:pt idx="94">
                  <c:v>12.534186959113315</c:v>
                </c:pt>
                <c:pt idx="95">
                  <c:v>4.5425439342544696</c:v>
                </c:pt>
                <c:pt idx="96">
                  <c:v>5.1727934275719187</c:v>
                </c:pt>
                <c:pt idx="97">
                  <c:v>9.1707441092634845</c:v>
                </c:pt>
                <c:pt idx="98">
                  <c:v>-1.0578393024658639</c:v>
                </c:pt>
                <c:pt idx="99">
                  <c:v>-0.75304042998084808</c:v>
                </c:pt>
                <c:pt idx="100">
                  <c:v>-9.2010579608830216</c:v>
                </c:pt>
                <c:pt idx="101">
                  <c:v>-4.1575387824311374</c:v>
                </c:pt>
                <c:pt idx="102">
                  <c:v>-2.4384614836338097</c:v>
                </c:pt>
                <c:pt idx="103">
                  <c:v>-7.0626867176334311</c:v>
                </c:pt>
                <c:pt idx="104">
                  <c:v>-3.289781722701274</c:v>
                </c:pt>
                <c:pt idx="105">
                  <c:v>3.5607971718772342</c:v>
                </c:pt>
                <c:pt idx="106">
                  <c:v>-5.1340271959099004</c:v>
                </c:pt>
                <c:pt idx="107">
                  <c:v>-0.40128230216515454</c:v>
                </c:pt>
                <c:pt idx="108">
                  <c:v>-0.56401357675310804</c:v>
                </c:pt>
                <c:pt idx="109">
                  <c:v>-4.5761989281644802</c:v>
                </c:pt>
                <c:pt idx="110">
                  <c:v>-0.8077416162172244</c:v>
                </c:pt>
                <c:pt idx="111">
                  <c:v>0.84641964340272313</c:v>
                </c:pt>
                <c:pt idx="112">
                  <c:v>-1.3369334941150095</c:v>
                </c:pt>
                <c:pt idx="113">
                  <c:v>-3.8890734741361066E-2</c:v>
                </c:pt>
                <c:pt idx="114">
                  <c:v>1.3673608065793035</c:v>
                </c:pt>
                <c:pt idx="115">
                  <c:v>-1.4391734308355679</c:v>
                </c:pt>
                <c:pt idx="116">
                  <c:v>-0.13919520040410038</c:v>
                </c:pt>
                <c:pt idx="117">
                  <c:v>-2.3769229943540795</c:v>
                </c:pt>
                <c:pt idx="118">
                  <c:v>6.0777831826437474</c:v>
                </c:pt>
                <c:pt idx="119">
                  <c:v>1.5096900468863779</c:v>
                </c:pt>
                <c:pt idx="120">
                  <c:v>-2.4233873417665182</c:v>
                </c:pt>
                <c:pt idx="121">
                  <c:v>-1.7383518341200661</c:v>
                </c:pt>
                <c:pt idx="122">
                  <c:v>-1.4929228198816704</c:v>
                </c:pt>
                <c:pt idx="123">
                  <c:v>-1.2382036296611612</c:v>
                </c:pt>
                <c:pt idx="124">
                  <c:v>3.240328605200459</c:v>
                </c:pt>
                <c:pt idx="125">
                  <c:v>-4.1589684508397866</c:v>
                </c:pt>
                <c:pt idx="126">
                  <c:v>-3.1577513582232197</c:v>
                </c:pt>
                <c:pt idx="127">
                  <c:v>-1.4014042255539039E-6</c:v>
                </c:pt>
                <c:pt idx="128">
                  <c:v>-1.4965477053140461</c:v>
                </c:pt>
                <c:pt idx="129">
                  <c:v>-5.4211530017618426</c:v>
                </c:pt>
                <c:pt idx="130">
                  <c:v>1.8554912401214096E-5</c:v>
                </c:pt>
                <c:pt idx="131">
                  <c:v>0.3377379332267838</c:v>
                </c:pt>
                <c:pt idx="132">
                  <c:v>3.5039050611251876</c:v>
                </c:pt>
                <c:pt idx="133">
                  <c:v>-1.5309734073767898</c:v>
                </c:pt>
                <c:pt idx="134">
                  <c:v>7.5578206366148155</c:v>
                </c:pt>
                <c:pt idx="135">
                  <c:v>-1.6114550250827164</c:v>
                </c:pt>
                <c:pt idx="136">
                  <c:v>-1.2926925968015368</c:v>
                </c:pt>
                <c:pt idx="137">
                  <c:v>-1.5686914228590316</c:v>
                </c:pt>
                <c:pt idx="138">
                  <c:v>-5.9921102343499513</c:v>
                </c:pt>
                <c:pt idx="139">
                  <c:v>1.6517041029320776</c:v>
                </c:pt>
                <c:pt idx="140">
                  <c:v>3.962645307749062</c:v>
                </c:pt>
                <c:pt idx="141">
                  <c:v>-3.7404826211521636E-2</c:v>
                </c:pt>
                <c:pt idx="142">
                  <c:v>4.1432213293517606</c:v>
                </c:pt>
                <c:pt idx="143">
                  <c:v>-5.7803831964091525</c:v>
                </c:pt>
                <c:pt idx="144">
                  <c:v>1.4636801389283933</c:v>
                </c:pt>
                <c:pt idx="145">
                  <c:v>0.93516458767321109</c:v>
                </c:pt>
                <c:pt idx="146">
                  <c:v>0.28996791989351678</c:v>
                </c:pt>
                <c:pt idx="147">
                  <c:v>3.083418849742829</c:v>
                </c:pt>
                <c:pt idx="148">
                  <c:v>0.74998972440331957</c:v>
                </c:pt>
                <c:pt idx="149">
                  <c:v>-1.8218954218894441</c:v>
                </c:pt>
                <c:pt idx="150">
                  <c:v>3.935798618232258</c:v>
                </c:pt>
                <c:pt idx="151">
                  <c:v>-2.4001418824201721</c:v>
                </c:pt>
                <c:pt idx="152">
                  <c:v>-15.093421617313499</c:v>
                </c:pt>
                <c:pt idx="153">
                  <c:v>-7.2436527928331955</c:v>
                </c:pt>
                <c:pt idx="154">
                  <c:v>-0.47423227860047701</c:v>
                </c:pt>
                <c:pt idx="155">
                  <c:v>-1.4125259077799392</c:v>
                </c:pt>
                <c:pt idx="156">
                  <c:v>0.57023546490058497</c:v>
                </c:pt>
                <c:pt idx="157">
                  <c:v>-1.1027557026954491</c:v>
                </c:pt>
                <c:pt idx="158">
                  <c:v>-0.71882060158144845</c:v>
                </c:pt>
                <c:pt idx="159">
                  <c:v>4.019942449639335</c:v>
                </c:pt>
                <c:pt idx="160">
                  <c:v>-4.1488441923305563</c:v>
                </c:pt>
                <c:pt idx="161">
                  <c:v>-0.2793638116180347</c:v>
                </c:pt>
                <c:pt idx="162">
                  <c:v>-1.6268908120442043</c:v>
                </c:pt>
                <c:pt idx="163">
                  <c:v>4.141519392149255</c:v>
                </c:pt>
                <c:pt idx="164">
                  <c:v>7.5877056127561495</c:v>
                </c:pt>
                <c:pt idx="165">
                  <c:v>0.10917679493370591</c:v>
                </c:pt>
                <c:pt idx="166">
                  <c:v>-1.5021227200169318</c:v>
                </c:pt>
                <c:pt idx="167">
                  <c:v>-2.2835778899261654</c:v>
                </c:pt>
                <c:pt idx="168">
                  <c:v>-11.897975460337939</c:v>
                </c:pt>
                <c:pt idx="169">
                  <c:v>-7.3093296224028386</c:v>
                </c:pt>
                <c:pt idx="170">
                  <c:v>-6.1579544762515344</c:v>
                </c:pt>
                <c:pt idx="171">
                  <c:v>3.2709668141118518</c:v>
                </c:pt>
                <c:pt idx="172">
                  <c:v>0.10913374409712706</c:v>
                </c:pt>
                <c:pt idx="173">
                  <c:v>1.1175634930732194</c:v>
                </c:pt>
                <c:pt idx="174">
                  <c:v>1.6344700854651038</c:v>
                </c:pt>
                <c:pt idx="175">
                  <c:v>2.009791728401594</c:v>
                </c:pt>
                <c:pt idx="176">
                  <c:v>-5.3567456280763839</c:v>
                </c:pt>
                <c:pt idx="177">
                  <c:v>10.189815511108019</c:v>
                </c:pt>
                <c:pt idx="178">
                  <c:v>-0.31583608009618025</c:v>
                </c:pt>
                <c:pt idx="179">
                  <c:v>-3.229550660074664</c:v>
                </c:pt>
                <c:pt idx="180">
                  <c:v>-0.80590086803024708</c:v>
                </c:pt>
                <c:pt idx="181">
                  <c:v>1.6633904219557549</c:v>
                </c:pt>
                <c:pt idx="182">
                  <c:v>2.3365149859711014</c:v>
                </c:pt>
                <c:pt idx="183">
                  <c:v>0.94390672035664036</c:v>
                </c:pt>
                <c:pt idx="184">
                  <c:v>1.0576371615992568</c:v>
                </c:pt>
                <c:pt idx="185">
                  <c:v>-7.2382545536048779</c:v>
                </c:pt>
                <c:pt idx="186">
                  <c:v>12.551523654054829</c:v>
                </c:pt>
                <c:pt idx="187">
                  <c:v>-26.790820491374514</c:v>
                </c:pt>
                <c:pt idx="188">
                  <c:v>4.2682913468384758</c:v>
                </c:pt>
                <c:pt idx="189">
                  <c:v>-0.6020504200293284</c:v>
                </c:pt>
                <c:pt idx="190">
                  <c:v>5.1380726039603752E-2</c:v>
                </c:pt>
                <c:pt idx="191">
                  <c:v>-0.37844879264108944</c:v>
                </c:pt>
                <c:pt idx="192">
                  <c:v>1.3605170168790848</c:v>
                </c:pt>
                <c:pt idx="193">
                  <c:v>2.5340693235096232</c:v>
                </c:pt>
                <c:pt idx="194">
                  <c:v>-9.2522817161705504</c:v>
                </c:pt>
                <c:pt idx="195">
                  <c:v>-4.1074091659945884</c:v>
                </c:pt>
                <c:pt idx="196">
                  <c:v>-1.4593276383114471</c:v>
                </c:pt>
                <c:pt idx="197">
                  <c:v>-0.75296688364821984</c:v>
                </c:pt>
                <c:pt idx="198">
                  <c:v>-0.59010521921452608</c:v>
                </c:pt>
                <c:pt idx="199">
                  <c:v>0.40673951038601608</c:v>
                </c:pt>
                <c:pt idx="200">
                  <c:v>-4.3576335036428748</c:v>
                </c:pt>
                <c:pt idx="201">
                  <c:v>1.3950966584843183</c:v>
                </c:pt>
                <c:pt idx="202">
                  <c:v>0.63843025417577726</c:v>
                </c:pt>
                <c:pt idx="203">
                  <c:v>-3.3869633013640987E-2</c:v>
                </c:pt>
                <c:pt idx="204">
                  <c:v>-20.606849555515097</c:v>
                </c:pt>
                <c:pt idx="205">
                  <c:v>-1.219324118390869</c:v>
                </c:pt>
                <c:pt idx="206">
                  <c:v>-4.4907854876798208</c:v>
                </c:pt>
                <c:pt idx="207">
                  <c:v>-0.89938575781204755</c:v>
                </c:pt>
                <c:pt idx="208">
                  <c:v>-1.0953035784200844</c:v>
                </c:pt>
                <c:pt idx="209">
                  <c:v>-3.3527044306907436</c:v>
                </c:pt>
                <c:pt idx="210">
                  <c:v>-0.87232977475617268</c:v>
                </c:pt>
                <c:pt idx="211">
                  <c:v>4.2849476137869029</c:v>
                </c:pt>
                <c:pt idx="212">
                  <c:v>-13.575840980456075</c:v>
                </c:pt>
                <c:pt idx="213">
                  <c:v>-7.6131600116989508</c:v>
                </c:pt>
                <c:pt idx="214">
                  <c:v>0.99421849074273361</c:v>
                </c:pt>
                <c:pt idx="215">
                  <c:v>0.34599526459072855</c:v>
                </c:pt>
                <c:pt idx="216">
                  <c:v>1.3262032250185927</c:v>
                </c:pt>
                <c:pt idx="217">
                  <c:v>-4.690104129067274</c:v>
                </c:pt>
                <c:pt idx="218">
                  <c:v>-1.0620206309458258</c:v>
                </c:pt>
                <c:pt idx="219">
                  <c:v>-0.2925097546789619</c:v>
                </c:pt>
                <c:pt idx="220">
                  <c:v>4.1950444384603953</c:v>
                </c:pt>
                <c:pt idx="221">
                  <c:v>-5.9699672041233187</c:v>
                </c:pt>
                <c:pt idx="222">
                  <c:v>0.74052107616837892</c:v>
                </c:pt>
                <c:pt idx="223">
                  <c:v>-0.86495669824428112</c:v>
                </c:pt>
                <c:pt idx="224">
                  <c:v>1.3637151409431709</c:v>
                </c:pt>
                <c:pt idx="225">
                  <c:v>-1.46930931293261</c:v>
                </c:pt>
                <c:pt idx="226">
                  <c:v>-3.8379755134514522</c:v>
                </c:pt>
                <c:pt idx="227">
                  <c:v>-2.4642541613611035</c:v>
                </c:pt>
                <c:pt idx="228">
                  <c:v>0.74862277995266968</c:v>
                </c:pt>
                <c:pt idx="229">
                  <c:v>-4.0914810053465569</c:v>
                </c:pt>
                <c:pt idx="230">
                  <c:v>0.11672797649560329</c:v>
                </c:pt>
                <c:pt idx="231">
                  <c:v>1.9914658389287681</c:v>
                </c:pt>
                <c:pt idx="232">
                  <c:v>-1.5769160764135806</c:v>
                </c:pt>
                <c:pt idx="233">
                  <c:v>5.1695382427980432</c:v>
                </c:pt>
                <c:pt idx="234">
                  <c:v>-0.10716825372369682</c:v>
                </c:pt>
                <c:pt idx="235">
                  <c:v>8.3228292860523396</c:v>
                </c:pt>
                <c:pt idx="236">
                  <c:v>-8.5122746726814746E-2</c:v>
                </c:pt>
                <c:pt idx="237">
                  <c:v>-2.3131661487873454</c:v>
                </c:pt>
                <c:pt idx="238">
                  <c:v>0.26614931681605292</c:v>
                </c:pt>
                <c:pt idx="239">
                  <c:v>-1.5625998862664436</c:v>
                </c:pt>
                <c:pt idx="240">
                  <c:v>-5.7333119736836231</c:v>
                </c:pt>
                <c:pt idx="241">
                  <c:v>24.07216793546926</c:v>
                </c:pt>
                <c:pt idx="242">
                  <c:v>-3.1870868188629076</c:v>
                </c:pt>
                <c:pt idx="243">
                  <c:v>-1.651161894016574</c:v>
                </c:pt>
                <c:pt idx="244">
                  <c:v>1.0316530517345397</c:v>
                </c:pt>
                <c:pt idx="245">
                  <c:v>-5.1544208901290443</c:v>
                </c:pt>
                <c:pt idx="246">
                  <c:v>-0.68810990071603717</c:v>
                </c:pt>
                <c:pt idx="247">
                  <c:v>-5.6065550709277563</c:v>
                </c:pt>
                <c:pt idx="248">
                  <c:v>-4.4970718184652769</c:v>
                </c:pt>
                <c:pt idx="249">
                  <c:v>-2.9961140264380131</c:v>
                </c:pt>
                <c:pt idx="250">
                  <c:v>1.6792339206884317</c:v>
                </c:pt>
                <c:pt idx="251">
                  <c:v>-11.966425402290012</c:v>
                </c:pt>
                <c:pt idx="252">
                  <c:v>9.642314735165872</c:v>
                </c:pt>
                <c:pt idx="253">
                  <c:v>4.1543702904627828</c:v>
                </c:pt>
                <c:pt idx="254">
                  <c:v>-4.0217997464747244</c:v>
                </c:pt>
                <c:pt idx="255">
                  <c:v>0.5672668376075749</c:v>
                </c:pt>
                <c:pt idx="256">
                  <c:v>-1.2172059378104085</c:v>
                </c:pt>
                <c:pt idx="257">
                  <c:v>-1.6701994361846066</c:v>
                </c:pt>
                <c:pt idx="258">
                  <c:v>21.250609836255187</c:v>
                </c:pt>
                <c:pt idx="259">
                  <c:v>-1.9650928969314938</c:v>
                </c:pt>
                <c:pt idx="260">
                  <c:v>-10.507945322881731</c:v>
                </c:pt>
                <c:pt idx="261">
                  <c:v>0.37189803863465354</c:v>
                </c:pt>
                <c:pt idx="262">
                  <c:v>4.5876684519344515</c:v>
                </c:pt>
                <c:pt idx="263">
                  <c:v>-4.7207489162663654</c:v>
                </c:pt>
                <c:pt idx="264">
                  <c:v>2.9230799452712852</c:v>
                </c:pt>
                <c:pt idx="265">
                  <c:v>3.0761263170930913</c:v>
                </c:pt>
                <c:pt idx="266">
                  <c:v>-3.572968695340045</c:v>
                </c:pt>
                <c:pt idx="267">
                  <c:v>-31.525077270931494</c:v>
                </c:pt>
                <c:pt idx="268">
                  <c:v>8.4520587924463335</c:v>
                </c:pt>
                <c:pt idx="269">
                  <c:v>3.7547259448121633</c:v>
                </c:pt>
                <c:pt idx="270">
                  <c:v>3.9121502368881007</c:v>
                </c:pt>
                <c:pt idx="271">
                  <c:v>-0.32757367995043429</c:v>
                </c:pt>
                <c:pt idx="272">
                  <c:v>-3.7254752305238426</c:v>
                </c:pt>
                <c:pt idx="273">
                  <c:v>4.17042817292982</c:v>
                </c:pt>
                <c:pt idx="274">
                  <c:v>-24.186620013787973</c:v>
                </c:pt>
                <c:pt idx="275">
                  <c:v>0.891392950500979</c:v>
                </c:pt>
                <c:pt idx="276">
                  <c:v>-5.3864537893221032</c:v>
                </c:pt>
                <c:pt idx="277">
                  <c:v>-0.42368389638542925</c:v>
                </c:pt>
                <c:pt idx="278">
                  <c:v>-1.3667887823326001</c:v>
                </c:pt>
                <c:pt idx="279">
                  <c:v>-2.2898179175109217</c:v>
                </c:pt>
                <c:pt idx="280">
                  <c:v>-0.23903034821786884</c:v>
                </c:pt>
                <c:pt idx="281">
                  <c:v>-0.6417695415042437</c:v>
                </c:pt>
                <c:pt idx="282">
                  <c:v>-3.4430800371088748</c:v>
                </c:pt>
                <c:pt idx="283">
                  <c:v>1.3361690199188696</c:v>
                </c:pt>
                <c:pt idx="284">
                  <c:v>-2.2577283686285084E-2</c:v>
                </c:pt>
                <c:pt idx="285">
                  <c:v>0.7859089550004501</c:v>
                </c:pt>
                <c:pt idx="286">
                  <c:v>-2.0188549417338741</c:v>
                </c:pt>
                <c:pt idx="287">
                  <c:v>2.6643850028402576</c:v>
                </c:pt>
                <c:pt idx="288">
                  <c:v>2.2335397712634522</c:v>
                </c:pt>
                <c:pt idx="289">
                  <c:v>-9.9775463970767877</c:v>
                </c:pt>
                <c:pt idx="290">
                  <c:v>-6.48732320275563</c:v>
                </c:pt>
                <c:pt idx="291">
                  <c:v>6.0115727462319644</c:v>
                </c:pt>
                <c:pt idx="292">
                  <c:v>4.7875771336521726</c:v>
                </c:pt>
                <c:pt idx="293">
                  <c:v>-4.5335224678025421</c:v>
                </c:pt>
                <c:pt idx="294">
                  <c:v>-9.8823058306257607</c:v>
                </c:pt>
                <c:pt idx="295">
                  <c:v>-5.3006324136172012</c:v>
                </c:pt>
                <c:pt idx="296">
                  <c:v>-0.11865714690708307</c:v>
                </c:pt>
                <c:pt idx="297">
                  <c:v>-2.0164780423258839</c:v>
                </c:pt>
                <c:pt idx="298">
                  <c:v>2.9578910133088283</c:v>
                </c:pt>
                <c:pt idx="299">
                  <c:v>4.6073368806824071</c:v>
                </c:pt>
                <c:pt idx="300">
                  <c:v>-10.054747399253039</c:v>
                </c:pt>
                <c:pt idx="301">
                  <c:v>-7.1210744586701216</c:v>
                </c:pt>
                <c:pt idx="302">
                  <c:v>17.363772107256231</c:v>
                </c:pt>
                <c:pt idx="303">
                  <c:v>-9.0348820401077123</c:v>
                </c:pt>
                <c:pt idx="304">
                  <c:v>12.572718191004791</c:v>
                </c:pt>
                <c:pt idx="305">
                  <c:v>2.444353557759424</c:v>
                </c:pt>
                <c:pt idx="306">
                  <c:v>-6.1043121358169579</c:v>
                </c:pt>
                <c:pt idx="307">
                  <c:v>1.9522773335159882</c:v>
                </c:pt>
                <c:pt idx="308">
                  <c:v>-1.1441967974680629</c:v>
                </c:pt>
                <c:pt idx="309">
                  <c:v>10.300595855300093</c:v>
                </c:pt>
                <c:pt idx="310">
                  <c:v>-0.95292327146772482</c:v>
                </c:pt>
                <c:pt idx="311">
                  <c:v>12.124686726657059</c:v>
                </c:pt>
                <c:pt idx="312">
                  <c:v>0.1720366281222554</c:v>
                </c:pt>
                <c:pt idx="313">
                  <c:v>2.0116645638225776</c:v>
                </c:pt>
                <c:pt idx="314">
                  <c:v>-6.1872728270551756</c:v>
                </c:pt>
                <c:pt idx="315">
                  <c:v>6.2500323988346835</c:v>
                </c:pt>
                <c:pt idx="316">
                  <c:v>-2.0056171927442836</c:v>
                </c:pt>
                <c:pt idx="317">
                  <c:v>0.35274037332387231</c:v>
                </c:pt>
                <c:pt idx="318">
                  <c:v>-4.0760853925700529</c:v>
                </c:pt>
                <c:pt idx="319">
                  <c:v>7.9530547088779224</c:v>
                </c:pt>
                <c:pt idx="320">
                  <c:v>-0.34642826815675454</c:v>
                </c:pt>
                <c:pt idx="321">
                  <c:v>-25.738059004269022</c:v>
                </c:pt>
                <c:pt idx="322">
                  <c:v>5.9854770513016646</c:v>
                </c:pt>
                <c:pt idx="323">
                  <c:v>-2.8755186645997659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00672"/>
        <c:axId val="487001064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cc_low_end!$I$13:$I$336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cc_low_end!$K$13:$K$336</c:f>
              <c:numCache>
                <c:formatCode>General</c:formatCode>
                <c:ptCount val="324"/>
                <c:pt idx="0">
                  <c:v>-2.7477378078773658</c:v>
                </c:pt>
                <c:pt idx="1">
                  <c:v>-3.4670618310964292</c:v>
                </c:pt>
                <c:pt idx="2">
                  <c:v>-3.3972386576282729</c:v>
                </c:pt>
                <c:pt idx="3">
                  <c:v>-0.62611340915415359</c:v>
                </c:pt>
                <c:pt idx="4">
                  <c:v>1.508981103123225</c:v>
                </c:pt>
                <c:pt idx="5">
                  <c:v>3.4795650151754116</c:v>
                </c:pt>
                <c:pt idx="6">
                  <c:v>3.7221695502297161</c:v>
                </c:pt>
                <c:pt idx="7">
                  <c:v>1.6895528283025163</c:v>
                </c:pt>
                <c:pt idx="8">
                  <c:v>-0.2820726029157461</c:v>
                </c:pt>
                <c:pt idx="9">
                  <c:v>-3.1871942980974355</c:v>
                </c:pt>
                <c:pt idx="10">
                  <c:v>-3.5269456016944662</c:v>
                </c:pt>
                <c:pt idx="11">
                  <c:v>-2.9325420799843847</c:v>
                </c:pt>
                <c:pt idx="12">
                  <c:v>-0.55123572499929718</c:v>
                </c:pt>
                <c:pt idx="13">
                  <c:v>2.1864282870314193</c:v>
                </c:pt>
                <c:pt idx="14">
                  <c:v>3.3428756402965698</c:v>
                </c:pt>
                <c:pt idx="15">
                  <c:v>3.7484033405291011</c:v>
                </c:pt>
                <c:pt idx="16">
                  <c:v>1.2805147011259539</c:v>
                </c:pt>
                <c:pt idx="17">
                  <c:v>-0.70877767820764515</c:v>
                </c:pt>
                <c:pt idx="18">
                  <c:v>-3.3286750178659781</c:v>
                </c:pt>
                <c:pt idx="19">
                  <c:v>-3.627296814778036</c:v>
                </c:pt>
                <c:pt idx="20">
                  <c:v>-2.5285471176228738</c:v>
                </c:pt>
                <c:pt idx="21">
                  <c:v>-0.25860104750833579</c:v>
                </c:pt>
                <c:pt idx="22">
                  <c:v>2.5870540652235667</c:v>
                </c:pt>
                <c:pt idx="23">
                  <c:v>3.3920681558706591</c:v>
                </c:pt>
                <c:pt idx="24">
                  <c:v>3.5785428581435097</c:v>
                </c:pt>
                <c:pt idx="25">
                  <c:v>0.93388041872763794</c:v>
                </c:pt>
                <c:pt idx="26">
                  <c:v>-1.1480425888642722</c:v>
                </c:pt>
                <c:pt idx="27">
                  <c:v>-3.4345698418970114</c:v>
                </c:pt>
                <c:pt idx="28">
                  <c:v>-3.6922825470128595</c:v>
                </c:pt>
                <c:pt idx="29">
                  <c:v>-2.0697958082147125</c:v>
                </c:pt>
                <c:pt idx="30">
                  <c:v>5.5800820556450859E-6</c:v>
                </c:pt>
                <c:pt idx="31">
                  <c:v>2.9763795876127612</c:v>
                </c:pt>
                <c:pt idx="32">
                  <c:v>3.4421026213221562</c:v>
                </c:pt>
                <c:pt idx="33">
                  <c:v>3.2430334194029604</c:v>
                </c:pt>
                <c:pt idx="34">
                  <c:v>0.79125041519713157</c:v>
                </c:pt>
                <c:pt idx="35">
                  <c:v>-1.8448869233037708</c:v>
                </c:pt>
                <c:pt idx="36">
                  <c:v>-3.2428697370963988</c:v>
                </c:pt>
                <c:pt idx="37">
                  <c:v>-3.8776971849032336</c:v>
                </c:pt>
                <c:pt idx="38">
                  <c:v>-1.5956440433793451</c:v>
                </c:pt>
                <c:pt idx="39">
                  <c:v>0.46646374442646077</c:v>
                </c:pt>
                <c:pt idx="40">
                  <c:v>2.9598451347071602</c:v>
                </c:pt>
                <c:pt idx="41">
                  <c:v>3.8889162918477793</c:v>
                </c:pt>
                <c:pt idx="42">
                  <c:v>2.5126863372199528</c:v>
                </c:pt>
                <c:pt idx="43">
                  <c:v>0.78622063397477016</c:v>
                </c:pt>
                <c:pt idx="44">
                  <c:v>-2.3785169086009295</c:v>
                </c:pt>
                <c:pt idx="45">
                  <c:v>-3.430949817666491</c:v>
                </c:pt>
                <c:pt idx="46">
                  <c:v>-3.439438382101152</c:v>
                </c:pt>
                <c:pt idx="47">
                  <c:v>-1.6736701826834322</c:v>
                </c:pt>
                <c:pt idx="48">
                  <c:v>1.3105843051404451</c:v>
                </c:pt>
                <c:pt idx="49">
                  <c:v>2.8335388051982253</c:v>
                </c:pt>
                <c:pt idx="50">
                  <c:v>4.0428096678923007</c:v>
                </c:pt>
                <c:pt idx="51">
                  <c:v>2.2413776795767824</c:v>
                </c:pt>
                <c:pt idx="52">
                  <c:v>0.20633697449371313</c:v>
                </c:pt>
                <c:pt idx="53">
                  <c:v>-2.4154643859541989</c:v>
                </c:pt>
                <c:pt idx="54">
                  <c:v>-3.8239397561174755</c:v>
                </c:pt>
                <c:pt idx="55">
                  <c:v>-2.9911574361283968</c:v>
                </c:pt>
                <c:pt idx="56">
                  <c:v>-1.4754204450255228</c:v>
                </c:pt>
                <c:pt idx="57">
                  <c:v>1.7624203925474315</c:v>
                </c:pt>
                <c:pt idx="58">
                  <c:v>3.0437106658743471</c:v>
                </c:pt>
                <c:pt idx="59">
                  <c:v>3.8971471294772075</c:v>
                </c:pt>
                <c:pt idx="60">
                  <c:v>2.0313333686248574</c:v>
                </c:pt>
                <c:pt idx="61">
                  <c:v>-0.30122751141961823</c:v>
                </c:pt>
                <c:pt idx="62">
                  <c:v>-2.6101193277498913</c:v>
                </c:pt>
                <c:pt idx="63">
                  <c:v>-3.9482147406690613</c:v>
                </c:pt>
                <c:pt idx="64">
                  <c:v>-2.7130897047668219</c:v>
                </c:pt>
                <c:pt idx="65">
                  <c:v>-1.1146462155799624</c:v>
                </c:pt>
                <c:pt idx="66">
                  <c:v>2.1118175710113305</c:v>
                </c:pt>
                <c:pt idx="67">
                  <c:v>3.2586964749445579</c:v>
                </c:pt>
                <c:pt idx="68">
                  <c:v>3.680420675949688</c:v>
                </c:pt>
                <c:pt idx="69">
                  <c:v>1.8399704372696792</c:v>
                </c:pt>
                <c:pt idx="70">
                  <c:v>-0.87050495490249802</c:v>
                </c:pt>
                <c:pt idx="71">
                  <c:v>-2.7012233770600265</c:v>
                </c:pt>
                <c:pt idx="72">
                  <c:v>-4.0763454493928579</c:v>
                </c:pt>
                <c:pt idx="73">
                  <c:v>-2.4241084764284131</c:v>
                </c:pt>
                <c:pt idx="74">
                  <c:v>-0.62144465108173164</c:v>
                </c:pt>
                <c:pt idx="75">
                  <c:v>2.2141812639633081</c:v>
                </c:pt>
                <c:pt idx="76">
                  <c:v>3.7266593900471117</c:v>
                </c:pt>
                <c:pt idx="77">
                  <c:v>3.140162691094825</c:v>
                </c:pt>
                <c:pt idx="78">
                  <c:v>1.8090672107804353</c:v>
                </c:pt>
                <c:pt idx="79">
                  <c:v>-1.4303246168744752</c:v>
                </c:pt>
                <c:pt idx="80">
                  <c:v>-2.9753354016448816</c:v>
                </c:pt>
                <c:pt idx="81">
                  <c:v>-3.768104907639263</c:v>
                </c:pt>
                <c:pt idx="82">
                  <c:v>-2.5684542803521988</c:v>
                </c:pt>
                <c:pt idx="83">
                  <c:v>0.2618041805043555</c:v>
                </c:pt>
                <c:pt idx="84">
                  <c:v>2.1266958438742893</c:v>
                </c:pt>
                <c:pt idx="85">
                  <c:v>4.0188178089585085</c:v>
                </c:pt>
                <c:pt idx="86">
                  <c:v>2.9817034883500257</c:v>
                </c:pt>
                <c:pt idx="87">
                  <c:v>1.1698334042784873</c:v>
                </c:pt>
                <c:pt idx="88">
                  <c:v>-1.3913043624008421</c:v>
                </c:pt>
                <c:pt idx="89">
                  <c:v>-3.6143301081396211</c:v>
                </c:pt>
                <c:pt idx="90">
                  <c:v>-3.3225844994856453</c:v>
                </c:pt>
                <c:pt idx="91">
                  <c:v>-2.456022674038393</c:v>
                </c:pt>
                <c:pt idx="92">
                  <c:v>0.67746643707838172</c:v>
                </c:pt>
                <c:pt idx="93">
                  <c:v>2.560321493064234</c:v>
                </c:pt>
                <c:pt idx="94">
                  <c:v>3.8099138334173555</c:v>
                </c:pt>
                <c:pt idx="95">
                  <c:v>3.0301061094339099</c:v>
                </c:pt>
                <c:pt idx="96">
                  <c:v>0.53682168787947171</c:v>
                </c:pt>
                <c:pt idx="97">
                  <c:v>-1.5747565205238825</c:v>
                </c:pt>
                <c:pt idx="98">
                  <c:v>-3.8577256778848383</c:v>
                </c:pt>
                <c:pt idx="99">
                  <c:v>-3.1898648236969378</c:v>
                </c:pt>
                <c:pt idx="100">
                  <c:v>-2.0687826293705269</c:v>
                </c:pt>
                <c:pt idx="101">
                  <c:v>0.99124871094623512</c:v>
                </c:pt>
                <c:pt idx="102">
                  <c:v>2.9112278034330399</c:v>
                </c:pt>
                <c:pt idx="103">
                  <c:v>3.7141620330730309</c:v>
                </c:pt>
                <c:pt idx="104">
                  <c:v>2.8485312372806848</c:v>
                </c:pt>
                <c:pt idx="105">
                  <c:v>7.7696314815662859E-2</c:v>
                </c:pt>
                <c:pt idx="106">
                  <c:v>-1.8728367432763191</c:v>
                </c:pt>
                <c:pt idx="107">
                  <c:v>-3.9756380210994853</c:v>
                </c:pt>
                <c:pt idx="108">
                  <c:v>-3.072640114545941</c:v>
                </c:pt>
                <c:pt idx="109">
                  <c:v>-1.6074187717908655</c:v>
                </c:pt>
                <c:pt idx="110">
                  <c:v>1.2199055640795149</c:v>
                </c:pt>
                <c:pt idx="111">
                  <c:v>3.3316241027580333</c:v>
                </c:pt>
                <c:pt idx="112">
                  <c:v>3.4649614453001591</c:v>
                </c:pt>
                <c:pt idx="113">
                  <c:v>2.7154831301138245</c:v>
                </c:pt>
                <c:pt idx="114">
                  <c:v>-0.38449559061932093</c:v>
                </c:pt>
                <c:pt idx="115">
                  <c:v>-2.2616658943878423</c:v>
                </c:pt>
                <c:pt idx="116">
                  <c:v>-3.8190125181427437</c:v>
                </c:pt>
                <c:pt idx="117">
                  <c:v>-3.2280224944946756</c:v>
                </c:pt>
                <c:pt idx="118">
                  <c:v>-0.82402738390253005</c:v>
                </c:pt>
                <c:pt idx="119">
                  <c:v>1.2354235797584758</c:v>
                </c:pt>
                <c:pt idx="120">
                  <c:v>3.7223537759321395</c:v>
                </c:pt>
                <c:pt idx="121">
                  <c:v>3.3963231689816085</c:v>
                </c:pt>
                <c:pt idx="122">
                  <c:v>2.1430006333254701</c:v>
                </c:pt>
                <c:pt idx="123">
                  <c:v>-0.35630038612630077</c:v>
                </c:pt>
                <c:pt idx="124">
                  <c:v>-3.0334682888406723</c:v>
                </c:pt>
                <c:pt idx="125">
                  <c:v>-3.4345737027852294</c:v>
                </c:pt>
                <c:pt idx="126">
                  <c:v>-3.2246133396457028</c:v>
                </c:pt>
                <c:pt idx="127">
                  <c:v>-0.44550225760256545</c:v>
                </c:pt>
                <c:pt idx="128">
                  <c:v>1.828293382535588</c:v>
                </c:pt>
                <c:pt idx="129">
                  <c:v>3.4802977445849135</c:v>
                </c:pt>
                <c:pt idx="130">
                  <c:v>3.7000440852636909</c:v>
                </c:pt>
                <c:pt idx="131">
                  <c:v>1.4347538416299273</c:v>
                </c:pt>
                <c:pt idx="132">
                  <c:v>-0.53036187821755509</c:v>
                </c:pt>
                <c:pt idx="133">
                  <c:v>-3.3308269539965547</c:v>
                </c:pt>
                <c:pt idx="134">
                  <c:v>-3.5332976695883582</c:v>
                </c:pt>
                <c:pt idx="135">
                  <c:v>-2.7455351696381856</c:v>
                </c:pt>
                <c:pt idx="136">
                  <c:v>-0.29747728438206134</c:v>
                </c:pt>
                <c:pt idx="137">
                  <c:v>2.3891026307389724</c:v>
                </c:pt>
                <c:pt idx="138">
                  <c:v>3.4189593604322464</c:v>
                </c:pt>
                <c:pt idx="139">
                  <c:v>3.6289873524590157</c:v>
                </c:pt>
                <c:pt idx="140">
                  <c:v>1.043340385444127</c:v>
                </c:pt>
                <c:pt idx="141">
                  <c:v>-0.93959932332000029</c:v>
                </c:pt>
                <c:pt idx="142">
                  <c:v>-3.4876831771035466</c:v>
                </c:pt>
                <c:pt idx="143">
                  <c:v>-3.5604463111206242</c:v>
                </c:pt>
                <c:pt idx="144">
                  <c:v>-2.3608315466726757</c:v>
                </c:pt>
                <c:pt idx="145">
                  <c:v>1.6813229537436691E-2</c:v>
                </c:pt>
                <c:pt idx="146">
                  <c:v>2.7715552138586315</c:v>
                </c:pt>
                <c:pt idx="147">
                  <c:v>3.432020380816974</c:v>
                </c:pt>
                <c:pt idx="148">
                  <c:v>3.4425601601886715</c:v>
                </c:pt>
                <c:pt idx="149">
                  <c:v>0.69685126384703411</c:v>
                </c:pt>
                <c:pt idx="150">
                  <c:v>-1.4062934039793387</c:v>
                </c:pt>
                <c:pt idx="151">
                  <c:v>-3.5038165998832604</c:v>
                </c:pt>
                <c:pt idx="152">
                  <c:v>-3.6839991187539964</c:v>
                </c:pt>
                <c:pt idx="153">
                  <c:v>-1.8016434625390501</c:v>
                </c:pt>
                <c:pt idx="154">
                  <c:v>0.21768492518033644</c:v>
                </c:pt>
                <c:pt idx="155">
                  <c:v>3.147888063528435</c:v>
                </c:pt>
                <c:pt idx="156">
                  <c:v>3.5090081906538826</c:v>
                </c:pt>
                <c:pt idx="157">
                  <c:v>2.9822261133703796</c:v>
                </c:pt>
                <c:pt idx="158">
                  <c:v>0.66652616145844445</c:v>
                </c:pt>
                <c:pt idx="159">
                  <c:v>-2.1823573816420616</c:v>
                </c:pt>
                <c:pt idx="160">
                  <c:v>-3.2632350602781597</c:v>
                </c:pt>
                <c:pt idx="161">
                  <c:v>-3.7813376655191986</c:v>
                </c:pt>
                <c:pt idx="162">
                  <c:v>-1.4478377860023144</c:v>
                </c:pt>
                <c:pt idx="163">
                  <c:v>0.84293959028749676</c:v>
                </c:pt>
                <c:pt idx="164">
                  <c:v>2.9776576558450638</c:v>
                </c:pt>
                <c:pt idx="165">
                  <c:v>3.9804510067675016</c:v>
                </c:pt>
                <c:pt idx="166">
                  <c:v>2.2825458767813793</c:v>
                </c:pt>
                <c:pt idx="167">
                  <c:v>0.52025450519338379</c:v>
                </c:pt>
                <c:pt idx="168">
                  <c:v>-2.5266381328955267</c:v>
                </c:pt>
                <c:pt idx="169">
                  <c:v>-3.5757183186062402</c:v>
                </c:pt>
                <c:pt idx="170">
                  <c:v>-3.2418571420288842</c:v>
                </c:pt>
                <c:pt idx="171">
                  <c:v>-1.49691735997202</c:v>
                </c:pt>
                <c:pt idx="172">
                  <c:v>1.5850151294106483</c:v>
                </c:pt>
                <c:pt idx="173">
                  <c:v>2.9589623676211985</c:v>
                </c:pt>
                <c:pt idx="174">
                  <c:v>3.9920844365332298</c:v>
                </c:pt>
                <c:pt idx="175">
                  <c:v>2.0543374411813731</c:v>
                </c:pt>
                <c:pt idx="176">
                  <c:v>-5.3220860652667734E-2</c:v>
                </c:pt>
                <c:pt idx="177">
                  <c:v>-2.6130439430586794</c:v>
                </c:pt>
                <c:pt idx="178">
                  <c:v>-3.8436107780876925</c:v>
                </c:pt>
                <c:pt idx="179">
                  <c:v>-2.8681612078685119</c:v>
                </c:pt>
                <c:pt idx="180">
                  <c:v>-1.2174455397364627</c:v>
                </c:pt>
                <c:pt idx="181">
                  <c:v>1.9930991157865319</c:v>
                </c:pt>
                <c:pt idx="182">
                  <c:v>3.1423806231016678</c:v>
                </c:pt>
                <c:pt idx="183">
                  <c:v>3.8467969549916621</c:v>
                </c:pt>
                <c:pt idx="184">
                  <c:v>1.793925875967384</c:v>
                </c:pt>
                <c:pt idx="185">
                  <c:v>-0.53281941891177731</c:v>
                </c:pt>
                <c:pt idx="186">
                  <c:v>-2.7974329271908318</c:v>
                </c:pt>
                <c:pt idx="187">
                  <c:v>-3.9494839337272669</c:v>
                </c:pt>
                <c:pt idx="188">
                  <c:v>-2.5498161829557766</c:v>
                </c:pt>
                <c:pt idx="189">
                  <c:v>-0.86442285538230346</c:v>
                </c:pt>
                <c:pt idx="190">
                  <c:v>2.3242859265221525</c:v>
                </c:pt>
                <c:pt idx="191">
                  <c:v>3.3686821059806582</c:v>
                </c:pt>
                <c:pt idx="192">
                  <c:v>3.535011574269499</c:v>
                </c:pt>
                <c:pt idx="193">
                  <c:v>1.6801338609785281</c:v>
                </c:pt>
                <c:pt idx="194">
                  <c:v>-1.1883128043997786</c:v>
                </c:pt>
                <c:pt idx="195">
                  <c:v>-2.805372050284884</c:v>
                </c:pt>
                <c:pt idx="196">
                  <c:v>-4.0587839352671802</c:v>
                </c:pt>
                <c:pt idx="197">
                  <c:v>-2.2959941952737193</c:v>
                </c:pt>
                <c:pt idx="198">
                  <c:v>-0.26130204591181372</c:v>
                </c:pt>
                <c:pt idx="199">
                  <c:v>2.2884311655548895</c:v>
                </c:pt>
                <c:pt idx="200">
                  <c:v>3.9037193872393812</c:v>
                </c:pt>
                <c:pt idx="201">
                  <c:v>2.9480684489521813</c:v>
                </c:pt>
                <c:pt idx="202">
                  <c:v>1.5706922460559767</c:v>
                </c:pt>
                <c:pt idx="203">
                  <c:v>-1.5994827074401683</c:v>
                </c:pt>
                <c:pt idx="204">
                  <c:v>-3.2253896465448184</c:v>
                </c:pt>
                <c:pt idx="205">
                  <c:v>-3.5874066253864147</c:v>
                </c:pt>
                <c:pt idx="206">
                  <c:v>-2.4752794819906465</c:v>
                </c:pt>
                <c:pt idx="207">
                  <c:v>0.57202673083193645</c:v>
                </c:pt>
                <c:pt idx="208">
                  <c:v>2.3190293080002764</c:v>
                </c:pt>
                <c:pt idx="209">
                  <c:v>3.9983345950420244</c:v>
                </c:pt>
                <c:pt idx="210">
                  <c:v>2.911587374853839</c:v>
                </c:pt>
                <c:pt idx="211">
                  <c:v>0.85082350166498988</c:v>
                </c:pt>
                <c:pt idx="212">
                  <c:v>-1.5687665265506148</c:v>
                </c:pt>
                <c:pt idx="213">
                  <c:v>-3.7476310044593641</c:v>
                </c:pt>
                <c:pt idx="214">
                  <c:v>-3.240493924677406</c:v>
                </c:pt>
                <c:pt idx="215">
                  <c:v>-2.2372405339554544</c:v>
                </c:pt>
                <c:pt idx="216">
                  <c:v>0.92706123483736291</c:v>
                </c:pt>
                <c:pt idx="217">
                  <c:v>2.7261295178252865</c:v>
                </c:pt>
                <c:pt idx="218">
                  <c:v>3.8250877067161668</c:v>
                </c:pt>
                <c:pt idx="219">
                  <c:v>2.8450428965917829</c:v>
                </c:pt>
                <c:pt idx="220">
                  <c:v>0.30604822163183554</c:v>
                </c:pt>
                <c:pt idx="221">
                  <c:v>-1.8104264413868916</c:v>
                </c:pt>
                <c:pt idx="222">
                  <c:v>-3.9287973384175925</c:v>
                </c:pt>
                <c:pt idx="223">
                  <c:v>-3.0862448811502179</c:v>
                </c:pt>
                <c:pt idx="224">
                  <c:v>-1.853871519324338</c:v>
                </c:pt>
                <c:pt idx="225">
                  <c:v>1.2584951349525499</c:v>
                </c:pt>
                <c:pt idx="226">
                  <c:v>3.0415108881043671</c:v>
                </c:pt>
                <c:pt idx="227">
                  <c:v>3.6990987559185462</c:v>
                </c:pt>
                <c:pt idx="228">
                  <c:v>2.6639166574097897</c:v>
                </c:pt>
                <c:pt idx="229">
                  <c:v>-0.18498574329394701</c:v>
                </c:pt>
                <c:pt idx="230">
                  <c:v>-2.0701647545316906</c:v>
                </c:pt>
                <c:pt idx="231">
                  <c:v>-4.0208668441561599</c:v>
                </c:pt>
                <c:pt idx="232">
                  <c:v>-2.9787244839777323</c:v>
                </c:pt>
                <c:pt idx="233">
                  <c:v>-1.3107816470073499</c:v>
                </c:pt>
                <c:pt idx="234">
                  <c:v>1.3830702436337279</c:v>
                </c:pt>
                <c:pt idx="235">
                  <c:v>3.5355864657568805</c:v>
                </c:pt>
                <c:pt idx="236">
                  <c:v>3.3565883974359472</c:v>
                </c:pt>
                <c:pt idx="237">
                  <c:v>2.5225370860681311</c:v>
                </c:pt>
                <c:pt idx="238">
                  <c:v>-0.58926238520740726</c:v>
                </c:pt>
                <c:pt idx="239">
                  <c:v>-2.5528361484104094</c:v>
                </c:pt>
                <c:pt idx="240">
                  <c:v>-3.7092878111809751</c:v>
                </c:pt>
                <c:pt idx="241">
                  <c:v>-3.206569346156706</c:v>
                </c:pt>
                <c:pt idx="242">
                  <c:v>-0.49871124736761874</c:v>
                </c:pt>
                <c:pt idx="243">
                  <c:v>1.4596482531140273</c:v>
                </c:pt>
                <c:pt idx="244">
                  <c:v>3.7552131455928714</c:v>
                </c:pt>
                <c:pt idx="245">
                  <c:v>3.4348870606426782</c:v>
                </c:pt>
                <c:pt idx="246">
                  <c:v>1.7959578397042371</c:v>
                </c:pt>
                <c:pt idx="247">
                  <c:v>-0.50425821420098915</c:v>
                </c:pt>
                <c:pt idx="248">
                  <c:v>-3.2554956408601199</c:v>
                </c:pt>
                <c:pt idx="249">
                  <c:v>-3.4302425047782594</c:v>
                </c:pt>
                <c:pt idx="250">
                  <c:v>-3.0160995947620202</c:v>
                </c:pt>
                <c:pt idx="251">
                  <c:v>-0.25403153153377211</c:v>
                </c:pt>
                <c:pt idx="252">
                  <c:v>2.1062842454156883</c:v>
                </c:pt>
                <c:pt idx="253">
                  <c:v>3.5080077749794643</c:v>
                </c:pt>
                <c:pt idx="254">
                  <c:v>3.6226198533874685</c:v>
                </c:pt>
                <c:pt idx="255">
                  <c:v>1.1952764074921236</c:v>
                </c:pt>
                <c:pt idx="256">
                  <c:v>-0.77790647614152142</c:v>
                </c:pt>
                <c:pt idx="257">
                  <c:v>-3.4749428028795024</c:v>
                </c:pt>
                <c:pt idx="258">
                  <c:v>-3.4965317627409593</c:v>
                </c:pt>
                <c:pt idx="259">
                  <c:v>-2.5752298378977314</c:v>
                </c:pt>
                <c:pt idx="260">
                  <c:v>-1.6803595195760468E-2</c:v>
                </c:pt>
                <c:pt idx="261">
                  <c:v>2.5628296743561436</c:v>
                </c:pt>
                <c:pt idx="262">
                  <c:v>3.4887769759500697</c:v>
                </c:pt>
                <c:pt idx="263">
                  <c:v>3.4892906319759582</c:v>
                </c:pt>
                <c:pt idx="264">
                  <c:v>0.8023880608058398</c:v>
                </c:pt>
                <c:pt idx="265">
                  <c:v>-1.1691032450176186</c:v>
                </c:pt>
                <c:pt idx="266">
                  <c:v>-3.6217337775735277</c:v>
                </c:pt>
                <c:pt idx="267">
                  <c:v>-3.493619047115514</c:v>
                </c:pt>
                <c:pt idx="268">
                  <c:v>-2.1583676781661896</c:v>
                </c:pt>
                <c:pt idx="269">
                  <c:v>0.2646953164001995</c:v>
                </c:pt>
                <c:pt idx="270">
                  <c:v>2.9680030013736527</c:v>
                </c:pt>
                <c:pt idx="271">
                  <c:v>3.4415462055177661</c:v>
                </c:pt>
                <c:pt idx="272">
                  <c:v>3.2881660930332406</c:v>
                </c:pt>
                <c:pt idx="273">
                  <c:v>0.4785717407008816</c:v>
                </c:pt>
                <c:pt idx="274">
                  <c:v>-1.695801708505388</c:v>
                </c:pt>
                <c:pt idx="275">
                  <c:v>-3.5137501997043428</c:v>
                </c:pt>
                <c:pt idx="276">
                  <c:v>-3.6921756331638598</c:v>
                </c:pt>
                <c:pt idx="277">
                  <c:v>-1.5146812176283713</c:v>
                </c:pt>
                <c:pt idx="278">
                  <c:v>0.45315223495244716</c:v>
                </c:pt>
                <c:pt idx="279">
                  <c:v>3.2623751806257673</c:v>
                </c:pt>
                <c:pt idx="280">
                  <c:v>3.6088629143027298</c:v>
                </c:pt>
                <c:pt idx="281">
                  <c:v>2.6731372295525597</c:v>
                </c:pt>
                <c:pt idx="282">
                  <c:v>0.54162647351320059</c:v>
                </c:pt>
                <c:pt idx="283">
                  <c:v>-2.4776881357875018</c:v>
                </c:pt>
                <c:pt idx="284">
                  <c:v>-3.323036559834402</c:v>
                </c:pt>
                <c:pt idx="285">
                  <c:v>-3.613070383014354</c:v>
                </c:pt>
                <c:pt idx="286">
                  <c:v>-1.3248508866391582</c:v>
                </c:pt>
                <c:pt idx="287">
                  <c:v>1.21231869720352</c:v>
                </c:pt>
                <c:pt idx="288">
                  <c:v>3.0158022271638352</c:v>
                </c:pt>
                <c:pt idx="289">
                  <c:v>4.0050893926123692</c:v>
                </c:pt>
                <c:pt idx="290">
                  <c:v>2.0832751401315788</c:v>
                </c:pt>
                <c:pt idx="291">
                  <c:v>0.23367133029457143</c:v>
                </c:pt>
                <c:pt idx="292">
                  <c:v>-2.6734901174206023</c:v>
                </c:pt>
                <c:pt idx="293">
                  <c:v>-3.6707229812123252</c:v>
                </c:pt>
                <c:pt idx="294">
                  <c:v>-3.071998730556365</c:v>
                </c:pt>
                <c:pt idx="295">
                  <c:v>-1.2750430164459567</c:v>
                </c:pt>
                <c:pt idx="296">
                  <c:v>1.8287184290382661</c:v>
                </c:pt>
                <c:pt idx="297">
                  <c:v>3.0754263215031399</c:v>
                </c:pt>
                <c:pt idx="298">
                  <c:v>3.9343973588446239</c:v>
                </c:pt>
                <c:pt idx="299">
                  <c:v>1.8359664802966622</c:v>
                </c:pt>
                <c:pt idx="300">
                  <c:v>-0.28773413552715188</c:v>
                </c:pt>
                <c:pt idx="301">
                  <c:v>-2.820232045924691</c:v>
                </c:pt>
                <c:pt idx="302">
                  <c:v>-3.8303269947181562</c:v>
                </c:pt>
                <c:pt idx="303">
                  <c:v>-2.7396693802973169</c:v>
                </c:pt>
                <c:pt idx="304">
                  <c:v>-0.95143312411840641</c:v>
                </c:pt>
                <c:pt idx="305">
                  <c:v>2.2139335520875472</c:v>
                </c:pt>
                <c:pt idx="306">
                  <c:v>3.2296449046978246</c:v>
                </c:pt>
                <c:pt idx="307">
                  <c:v>3.7688718602337037</c:v>
                </c:pt>
                <c:pt idx="308">
                  <c:v>1.5667687285438527</c:v>
                </c:pt>
                <c:pt idx="309">
                  <c:v>-0.78895391740360443</c:v>
                </c:pt>
                <c:pt idx="310">
                  <c:v>-2.9400946130280179</c:v>
                </c:pt>
                <c:pt idx="311">
                  <c:v>-3.9618367204655276</c:v>
                </c:pt>
                <c:pt idx="312">
                  <c:v>-2.3560753273751587</c:v>
                </c:pt>
                <c:pt idx="313">
                  <c:v>-0.61062254406411709</c:v>
                </c:pt>
                <c:pt idx="314">
                  <c:v>2.5052351347958228</c:v>
                </c:pt>
                <c:pt idx="315">
                  <c:v>3.5008281819819711</c:v>
                </c:pt>
                <c:pt idx="316">
                  <c:v>3.3298333039617747</c:v>
                </c:pt>
                <c:pt idx="317">
                  <c:v>1.5455653706737771</c:v>
                </c:pt>
                <c:pt idx="318">
                  <c:v>-1.5091659654732101</c:v>
                </c:pt>
                <c:pt idx="319">
                  <c:v>-2.9182133515257411</c:v>
                </c:pt>
                <c:pt idx="320">
                  <c:v>-3.9772407851675551</c:v>
                </c:pt>
                <c:pt idx="321">
                  <c:v>-2.207657276528638</c:v>
                </c:pt>
                <c:pt idx="322">
                  <c:v>0.13356380548959357</c:v>
                </c:pt>
                <c:pt idx="323">
                  <c:v>2.3515456365424146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10080"/>
        <c:axId val="487003808"/>
      </c:scatterChart>
      <c:valAx>
        <c:axId val="487000672"/>
        <c:scaling>
          <c:orientation val="minMax"/>
          <c:max val="185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87001064"/>
        <c:crosses val="autoZero"/>
        <c:crossBetween val="midCat"/>
      </c:valAx>
      <c:valAx>
        <c:axId val="487001064"/>
        <c:scaling>
          <c:orientation val="minMax"/>
          <c:max val="40"/>
          <c:min val="-40"/>
        </c:scaling>
        <c:delete val="0"/>
        <c:axPos val="l"/>
        <c:numFmt formatCode="General" sourceLinked="1"/>
        <c:majorTickMark val="out"/>
        <c:minorTickMark val="none"/>
        <c:tickLblPos val="nextTo"/>
        <c:crossAx val="487000672"/>
        <c:crosses val="autoZero"/>
        <c:crossBetween val="midCat"/>
      </c:valAx>
      <c:valAx>
        <c:axId val="487003808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487010080"/>
        <c:crosses val="max"/>
        <c:crossBetween val="midCat"/>
      </c:valAx>
      <c:valAx>
        <c:axId val="48701008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87003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cc_low_end!$I$13:$I$336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cc_low_end!$J$13:$J$336</c:f>
              <c:numCache>
                <c:formatCode>General</c:formatCode>
                <c:ptCount val="324"/>
                <c:pt idx="0">
                  <c:v>-4.0706126592142713</c:v>
                </c:pt>
                <c:pt idx="1">
                  <c:v>-7.8118298738141387</c:v>
                </c:pt>
                <c:pt idx="2">
                  <c:v>-1.6634009783074508</c:v>
                </c:pt>
                <c:pt idx="3">
                  <c:v>0.97661121547763563</c:v>
                </c:pt>
                <c:pt idx="4">
                  <c:v>5.6113544907727828</c:v>
                </c:pt>
                <c:pt idx="5">
                  <c:v>2.9928787603423213</c:v>
                </c:pt>
                <c:pt idx="6">
                  <c:v>1.6436126835992853</c:v>
                </c:pt>
                <c:pt idx="7">
                  <c:v>0.57322558453684291</c:v>
                </c:pt>
                <c:pt idx="8">
                  <c:v>1.9170957781930758</c:v>
                </c:pt>
                <c:pt idx="9">
                  <c:v>3.6028629796833709</c:v>
                </c:pt>
                <c:pt idx="10">
                  <c:v>-0.24636936169210488</c:v>
                </c:pt>
                <c:pt idx="11">
                  <c:v>-5.5847737866371538</c:v>
                </c:pt>
                <c:pt idx="12">
                  <c:v>-1.2311142310788457</c:v>
                </c:pt>
                <c:pt idx="13">
                  <c:v>-3.018511518398943</c:v>
                </c:pt>
                <c:pt idx="14">
                  <c:v>-2.6440747127000304</c:v>
                </c:pt>
                <c:pt idx="15">
                  <c:v>-1.866865434876626</c:v>
                </c:pt>
                <c:pt idx="16">
                  <c:v>-2.9228770854446351</c:v>
                </c:pt>
                <c:pt idx="17">
                  <c:v>-1.2330505711567057</c:v>
                </c:pt>
                <c:pt idx="18">
                  <c:v>-3.1615553296116281</c:v>
                </c:pt>
                <c:pt idx="19">
                  <c:v>-3.5650742858124271</c:v>
                </c:pt>
                <c:pt idx="20">
                  <c:v>-4.4226780485654524</c:v>
                </c:pt>
                <c:pt idx="21">
                  <c:v>-2.6657149724998053E-2</c:v>
                </c:pt>
                <c:pt idx="22">
                  <c:v>1.89270409472691</c:v>
                </c:pt>
                <c:pt idx="23">
                  <c:v>-0.94016458421216198</c:v>
                </c:pt>
                <c:pt idx="24">
                  <c:v>-3.0779418724734917</c:v>
                </c:pt>
                <c:pt idx="25">
                  <c:v>1.132115752454808</c:v>
                </c:pt>
                <c:pt idx="26">
                  <c:v>0.21048195589240598</c:v>
                </c:pt>
                <c:pt idx="27">
                  <c:v>-8.9673570642048617</c:v>
                </c:pt>
                <c:pt idx="28">
                  <c:v>-1.9470254369268565</c:v>
                </c:pt>
                <c:pt idx="29">
                  <c:v>4.0379823657671894</c:v>
                </c:pt>
                <c:pt idx="30">
                  <c:v>2.3489955632991868</c:v>
                </c:pt>
                <c:pt idx="31">
                  <c:v>1.4424618504387674</c:v>
                </c:pt>
                <c:pt idx="32">
                  <c:v>-1.3667759617451831</c:v>
                </c:pt>
                <c:pt idx="33">
                  <c:v>-5.4870327922973434</c:v>
                </c:pt>
                <c:pt idx="34">
                  <c:v>2.0569309377873259</c:v>
                </c:pt>
                <c:pt idx="35">
                  <c:v>-5.8694660209015534</c:v>
                </c:pt>
                <c:pt idx="36">
                  <c:v>4.2017530415869171</c:v>
                </c:pt>
                <c:pt idx="37">
                  <c:v>-2.5585613925502848E-3</c:v>
                </c:pt>
                <c:pt idx="38">
                  <c:v>1.3731932153658895</c:v>
                </c:pt>
                <c:pt idx="39">
                  <c:v>0.71994019146667965</c:v>
                </c:pt>
                <c:pt idx="40">
                  <c:v>4.7063652727592693</c:v>
                </c:pt>
                <c:pt idx="41">
                  <c:v>1.9763130557678177</c:v>
                </c:pt>
                <c:pt idx="42">
                  <c:v>4.360958545344908</c:v>
                </c:pt>
                <c:pt idx="43">
                  <c:v>4.9116570302810993</c:v>
                </c:pt>
                <c:pt idx="44">
                  <c:v>-5.8483993246079358</c:v>
                </c:pt>
                <c:pt idx="45">
                  <c:v>1.0835867729836186</c:v>
                </c:pt>
                <c:pt idx="46">
                  <c:v>-16.106849313440001</c:v>
                </c:pt>
                <c:pt idx="47">
                  <c:v>-0.44782808427048576</c:v>
                </c:pt>
                <c:pt idx="48">
                  <c:v>0.15021575755125549</c:v>
                </c:pt>
                <c:pt idx="49">
                  <c:v>2.5406389987613283</c:v>
                </c:pt>
                <c:pt idx="50">
                  <c:v>0.84665711993889692</c:v>
                </c:pt>
                <c:pt idx="51">
                  <c:v>-3.4537365129558233</c:v>
                </c:pt>
                <c:pt idx="52">
                  <c:v>4.5478899349804536E-6</c:v>
                </c:pt>
                <c:pt idx="53">
                  <c:v>-7.6347081488703648</c:v>
                </c:pt>
                <c:pt idx="54">
                  <c:v>-0.72080606535982317</c:v>
                </c:pt>
                <c:pt idx="55">
                  <c:v>-6.657586487122825</c:v>
                </c:pt>
                <c:pt idx="56">
                  <c:v>-1.0915374177782891</c:v>
                </c:pt>
                <c:pt idx="57">
                  <c:v>-0.9548277986243624</c:v>
                </c:pt>
                <c:pt idx="58">
                  <c:v>3.6353399322618101</c:v>
                </c:pt>
                <c:pt idx="59">
                  <c:v>2.7037597594175908</c:v>
                </c:pt>
                <c:pt idx="60">
                  <c:v>3.1759755241626366</c:v>
                </c:pt>
                <c:pt idx="61">
                  <c:v>-1.6090495775391416</c:v>
                </c:pt>
                <c:pt idx="62">
                  <c:v>-1.7418848659268749</c:v>
                </c:pt>
                <c:pt idx="63">
                  <c:v>5.9218782756878223</c:v>
                </c:pt>
                <c:pt idx="64">
                  <c:v>-12.537940145432957</c:v>
                </c:pt>
                <c:pt idx="65">
                  <c:v>-1.0068616861364641</c:v>
                </c:pt>
                <c:pt idx="66">
                  <c:v>3.6894977224459118</c:v>
                </c:pt>
                <c:pt idx="67">
                  <c:v>3.1493383170967104</c:v>
                </c:pt>
                <c:pt idx="68">
                  <c:v>4.9622981469005376</c:v>
                </c:pt>
                <c:pt idx="69">
                  <c:v>5.8254539710768913</c:v>
                </c:pt>
                <c:pt idx="70">
                  <c:v>-0.79036789302000909</c:v>
                </c:pt>
                <c:pt idx="71">
                  <c:v>16.891855406517777</c:v>
                </c:pt>
                <c:pt idx="72">
                  <c:v>-0.38718047473667005</c:v>
                </c:pt>
                <c:pt idx="73">
                  <c:v>-1.2535618939779614E-4</c:v>
                </c:pt>
                <c:pt idx="74">
                  <c:v>6.7915256137996636</c:v>
                </c:pt>
                <c:pt idx="75">
                  <c:v>5.5958522966526436</c:v>
                </c:pt>
                <c:pt idx="76">
                  <c:v>0.45530321449973199</c:v>
                </c:pt>
                <c:pt idx="77">
                  <c:v>-3.7652659789973204</c:v>
                </c:pt>
                <c:pt idx="78">
                  <c:v>-3.4083965450837863</c:v>
                </c:pt>
                <c:pt idx="79">
                  <c:v>-2.3207713478611747</c:v>
                </c:pt>
                <c:pt idx="80">
                  <c:v>0.61279521440370477</c:v>
                </c:pt>
                <c:pt idx="81">
                  <c:v>-20.817070348243579</c:v>
                </c:pt>
                <c:pt idx="82">
                  <c:v>-1.97688068510421</c:v>
                </c:pt>
                <c:pt idx="83">
                  <c:v>9.5256463411182365E-2</c:v>
                </c:pt>
                <c:pt idx="84">
                  <c:v>1.7817832135225418</c:v>
                </c:pt>
                <c:pt idx="85">
                  <c:v>5.0034719802761982</c:v>
                </c:pt>
                <c:pt idx="86">
                  <c:v>2.8005935322393567</c:v>
                </c:pt>
                <c:pt idx="87">
                  <c:v>1.9526881910688161</c:v>
                </c:pt>
                <c:pt idx="88">
                  <c:v>-0.43167966401017316</c:v>
                </c:pt>
                <c:pt idx="89">
                  <c:v>-3.5913120363237909</c:v>
                </c:pt>
                <c:pt idx="90">
                  <c:v>-12.313258546331461</c:v>
                </c:pt>
                <c:pt idx="91">
                  <c:v>-2.1471316316065083</c:v>
                </c:pt>
                <c:pt idx="92">
                  <c:v>1.0586345413062261</c:v>
                </c:pt>
                <c:pt idx="93">
                  <c:v>3.330790139932045</c:v>
                </c:pt>
                <c:pt idx="94">
                  <c:v>12.534186959113315</c:v>
                </c:pt>
                <c:pt idx="95">
                  <c:v>4.5425439342544696</c:v>
                </c:pt>
                <c:pt idx="96">
                  <c:v>5.1727934275719187</c:v>
                </c:pt>
                <c:pt idx="97">
                  <c:v>9.1707441092634845</c:v>
                </c:pt>
                <c:pt idx="98">
                  <c:v>-1.0578393024658639</c:v>
                </c:pt>
                <c:pt idx="99">
                  <c:v>-0.75304042998084808</c:v>
                </c:pt>
                <c:pt idx="100">
                  <c:v>-9.2010579608830216</c:v>
                </c:pt>
                <c:pt idx="101">
                  <c:v>-4.1575387824311374</c:v>
                </c:pt>
                <c:pt idx="102">
                  <c:v>-2.4384614836338097</c:v>
                </c:pt>
                <c:pt idx="103">
                  <c:v>-7.0626867176334311</c:v>
                </c:pt>
                <c:pt idx="104">
                  <c:v>-3.289781722701274</c:v>
                </c:pt>
                <c:pt idx="105">
                  <c:v>3.5607971718772342</c:v>
                </c:pt>
                <c:pt idx="106">
                  <c:v>-5.1340271959099004</c:v>
                </c:pt>
                <c:pt idx="107">
                  <c:v>-0.40128230216515454</c:v>
                </c:pt>
                <c:pt idx="108">
                  <c:v>-0.56401357675310804</c:v>
                </c:pt>
                <c:pt idx="109">
                  <c:v>-4.5761989281644802</c:v>
                </c:pt>
                <c:pt idx="110">
                  <c:v>-0.8077416162172244</c:v>
                </c:pt>
                <c:pt idx="111">
                  <c:v>0.84641964340272313</c:v>
                </c:pt>
                <c:pt idx="112">
                  <c:v>-1.3369334941150095</c:v>
                </c:pt>
                <c:pt idx="113">
                  <c:v>-3.8890734741361066E-2</c:v>
                </c:pt>
                <c:pt idx="114">
                  <c:v>1.3673608065793035</c:v>
                </c:pt>
                <c:pt idx="115">
                  <c:v>-1.4391734308355679</c:v>
                </c:pt>
                <c:pt idx="116">
                  <c:v>-0.13919520040410038</c:v>
                </c:pt>
                <c:pt idx="117">
                  <c:v>-2.3769229943540795</c:v>
                </c:pt>
                <c:pt idx="118">
                  <c:v>6.0777831826437474</c:v>
                </c:pt>
                <c:pt idx="119">
                  <c:v>1.5096900468863779</c:v>
                </c:pt>
                <c:pt idx="120">
                  <c:v>-2.4233873417665182</c:v>
                </c:pt>
                <c:pt idx="121">
                  <c:v>-1.7383518341200661</c:v>
                </c:pt>
                <c:pt idx="122">
                  <c:v>-1.4929228198816704</c:v>
                </c:pt>
                <c:pt idx="123">
                  <c:v>-1.2382036296611612</c:v>
                </c:pt>
                <c:pt idx="124">
                  <c:v>3.240328605200459</c:v>
                </c:pt>
                <c:pt idx="125">
                  <c:v>-4.1589684508397866</c:v>
                </c:pt>
                <c:pt idx="126">
                  <c:v>-3.1577513582232197</c:v>
                </c:pt>
                <c:pt idx="127">
                  <c:v>-1.4014042255539039E-6</c:v>
                </c:pt>
                <c:pt idx="128">
                  <c:v>-1.4965477053140461</c:v>
                </c:pt>
                <c:pt idx="129">
                  <c:v>-5.4211530017618426</c:v>
                </c:pt>
                <c:pt idx="130">
                  <c:v>1.8554912401214096E-5</c:v>
                </c:pt>
                <c:pt idx="131">
                  <c:v>0.3377379332267838</c:v>
                </c:pt>
                <c:pt idx="132">
                  <c:v>3.5039050611251876</c:v>
                </c:pt>
                <c:pt idx="133">
                  <c:v>-1.5309734073767898</c:v>
                </c:pt>
                <c:pt idx="134">
                  <c:v>7.5578206366148155</c:v>
                </c:pt>
                <c:pt idx="135">
                  <c:v>-1.6114550250827164</c:v>
                </c:pt>
                <c:pt idx="136">
                  <c:v>-1.2926925968015368</c:v>
                </c:pt>
                <c:pt idx="137">
                  <c:v>-1.5686914228590316</c:v>
                </c:pt>
                <c:pt idx="138">
                  <c:v>-5.9921102343499513</c:v>
                </c:pt>
                <c:pt idx="139">
                  <c:v>1.6517041029320776</c:v>
                </c:pt>
                <c:pt idx="140">
                  <c:v>3.962645307749062</c:v>
                </c:pt>
                <c:pt idx="141">
                  <c:v>-3.7404826211521636E-2</c:v>
                </c:pt>
                <c:pt idx="142">
                  <c:v>4.1432213293517606</c:v>
                </c:pt>
                <c:pt idx="143">
                  <c:v>-5.7803831964091525</c:v>
                </c:pt>
                <c:pt idx="144">
                  <c:v>1.4636801389283933</c:v>
                </c:pt>
                <c:pt idx="145">
                  <c:v>0.93516458767321109</c:v>
                </c:pt>
                <c:pt idx="146">
                  <c:v>0.28996791989351678</c:v>
                </c:pt>
                <c:pt idx="147">
                  <c:v>3.083418849742829</c:v>
                </c:pt>
                <c:pt idx="148">
                  <c:v>0.74998972440331957</c:v>
                </c:pt>
                <c:pt idx="149">
                  <c:v>-1.8218954218894441</c:v>
                </c:pt>
                <c:pt idx="150">
                  <c:v>3.935798618232258</c:v>
                </c:pt>
                <c:pt idx="151">
                  <c:v>-2.4001418824201721</c:v>
                </c:pt>
                <c:pt idx="152">
                  <c:v>-15.093421617313499</c:v>
                </c:pt>
                <c:pt idx="153">
                  <c:v>-7.2436527928331955</c:v>
                </c:pt>
                <c:pt idx="154">
                  <c:v>-0.47423227860047701</c:v>
                </c:pt>
                <c:pt idx="155">
                  <c:v>-1.4125259077799392</c:v>
                </c:pt>
                <c:pt idx="156">
                  <c:v>0.57023546490058497</c:v>
                </c:pt>
                <c:pt idx="157">
                  <c:v>-1.1027557026954491</c:v>
                </c:pt>
                <c:pt idx="158">
                  <c:v>-0.71882060158144845</c:v>
                </c:pt>
                <c:pt idx="159">
                  <c:v>4.019942449639335</c:v>
                </c:pt>
                <c:pt idx="160">
                  <c:v>-4.1488441923305563</c:v>
                </c:pt>
                <c:pt idx="161">
                  <c:v>-0.2793638116180347</c:v>
                </c:pt>
                <c:pt idx="162">
                  <c:v>-1.6268908120442043</c:v>
                </c:pt>
                <c:pt idx="163">
                  <c:v>4.141519392149255</c:v>
                </c:pt>
                <c:pt idx="164">
                  <c:v>7.5877056127561495</c:v>
                </c:pt>
                <c:pt idx="165">
                  <c:v>0.10917679493370591</c:v>
                </c:pt>
                <c:pt idx="166">
                  <c:v>-1.5021227200169318</c:v>
                </c:pt>
                <c:pt idx="167">
                  <c:v>-2.2835778899261654</c:v>
                </c:pt>
                <c:pt idx="168">
                  <c:v>-11.897975460337939</c:v>
                </c:pt>
                <c:pt idx="169">
                  <c:v>-7.3093296224028386</c:v>
                </c:pt>
                <c:pt idx="170">
                  <c:v>-6.1579544762515344</c:v>
                </c:pt>
                <c:pt idx="171">
                  <c:v>3.2709668141118518</c:v>
                </c:pt>
                <c:pt idx="172">
                  <c:v>0.10913374409712706</c:v>
                </c:pt>
                <c:pt idx="173">
                  <c:v>1.1175634930732194</c:v>
                </c:pt>
                <c:pt idx="174">
                  <c:v>1.6344700854651038</c:v>
                </c:pt>
                <c:pt idx="175">
                  <c:v>2.009791728401594</c:v>
                </c:pt>
                <c:pt idx="176">
                  <c:v>-5.3567456280763839</c:v>
                </c:pt>
                <c:pt idx="177">
                  <c:v>10.189815511108019</c:v>
                </c:pt>
                <c:pt idx="178">
                  <c:v>-0.31583608009618025</c:v>
                </c:pt>
                <c:pt idx="179">
                  <c:v>-3.229550660074664</c:v>
                </c:pt>
                <c:pt idx="180">
                  <c:v>-0.80590086803024708</c:v>
                </c:pt>
                <c:pt idx="181">
                  <c:v>1.6633904219557549</c:v>
                </c:pt>
                <c:pt idx="182">
                  <c:v>2.3365149859711014</c:v>
                </c:pt>
                <c:pt idx="183">
                  <c:v>0.94390672035664036</c:v>
                </c:pt>
                <c:pt idx="184">
                  <c:v>1.0576371615992568</c:v>
                </c:pt>
                <c:pt idx="185">
                  <c:v>-7.2382545536048779</c:v>
                </c:pt>
                <c:pt idx="186">
                  <c:v>12.551523654054829</c:v>
                </c:pt>
                <c:pt idx="187">
                  <c:v>-26.790820491374514</c:v>
                </c:pt>
                <c:pt idx="188">
                  <c:v>4.2682913468384758</c:v>
                </c:pt>
                <c:pt idx="189">
                  <c:v>-0.6020504200293284</c:v>
                </c:pt>
                <c:pt idx="190">
                  <c:v>5.1380726039603752E-2</c:v>
                </c:pt>
                <c:pt idx="191">
                  <c:v>-0.37844879264108944</c:v>
                </c:pt>
                <c:pt idx="192">
                  <c:v>1.3605170168790848</c:v>
                </c:pt>
                <c:pt idx="193">
                  <c:v>2.5340693235096232</c:v>
                </c:pt>
                <c:pt idx="194">
                  <c:v>-9.2522817161705504</c:v>
                </c:pt>
                <c:pt idx="195">
                  <c:v>-4.1074091659945884</c:v>
                </c:pt>
                <c:pt idx="196">
                  <c:v>-1.4593276383114471</c:v>
                </c:pt>
                <c:pt idx="197">
                  <c:v>-0.75296688364821984</c:v>
                </c:pt>
                <c:pt idx="198">
                  <c:v>-0.59010521921452608</c:v>
                </c:pt>
                <c:pt idx="199">
                  <c:v>0.40673951038601608</c:v>
                </c:pt>
                <c:pt idx="200">
                  <c:v>-4.3576335036428748</c:v>
                </c:pt>
                <c:pt idx="201">
                  <c:v>1.3950966584843183</c:v>
                </c:pt>
                <c:pt idx="202">
                  <c:v>0.63843025417577726</c:v>
                </c:pt>
                <c:pt idx="203">
                  <c:v>-3.3869633013640987E-2</c:v>
                </c:pt>
                <c:pt idx="204">
                  <c:v>-20.606849555515097</c:v>
                </c:pt>
                <c:pt idx="205">
                  <c:v>-1.219324118390869</c:v>
                </c:pt>
                <c:pt idx="206">
                  <c:v>-4.4907854876798208</c:v>
                </c:pt>
                <c:pt idx="207">
                  <c:v>-0.89938575781204755</c:v>
                </c:pt>
                <c:pt idx="208">
                  <c:v>-1.0953035784200844</c:v>
                </c:pt>
                <c:pt idx="209">
                  <c:v>-3.3527044306907436</c:v>
                </c:pt>
                <c:pt idx="210">
                  <c:v>-0.87232977475617268</c:v>
                </c:pt>
                <c:pt idx="211">
                  <c:v>4.2849476137869029</c:v>
                </c:pt>
                <c:pt idx="212">
                  <c:v>-13.575840980456075</c:v>
                </c:pt>
                <c:pt idx="213">
                  <c:v>-7.6131600116989508</c:v>
                </c:pt>
                <c:pt idx="214">
                  <c:v>0.99421849074273361</c:v>
                </c:pt>
                <c:pt idx="215">
                  <c:v>0.34599526459072855</c:v>
                </c:pt>
                <c:pt idx="216">
                  <c:v>1.3262032250185927</c:v>
                </c:pt>
                <c:pt idx="217">
                  <c:v>-4.690104129067274</c:v>
                </c:pt>
                <c:pt idx="218">
                  <c:v>-1.0620206309458258</c:v>
                </c:pt>
                <c:pt idx="219">
                  <c:v>-0.2925097546789619</c:v>
                </c:pt>
                <c:pt idx="220">
                  <c:v>4.1950444384603953</c:v>
                </c:pt>
                <c:pt idx="221">
                  <c:v>-5.9699672041233187</c:v>
                </c:pt>
                <c:pt idx="222">
                  <c:v>0.74052107616837892</c:v>
                </c:pt>
                <c:pt idx="223">
                  <c:v>-0.86495669824428112</c:v>
                </c:pt>
                <c:pt idx="224">
                  <c:v>1.3637151409431709</c:v>
                </c:pt>
                <c:pt idx="225">
                  <c:v>-1.46930931293261</c:v>
                </c:pt>
                <c:pt idx="226">
                  <c:v>-3.8379755134514522</c:v>
                </c:pt>
                <c:pt idx="227">
                  <c:v>-2.4642541613611035</c:v>
                </c:pt>
                <c:pt idx="228">
                  <c:v>0.74862277995266968</c:v>
                </c:pt>
                <c:pt idx="229">
                  <c:v>-4.0914810053465569</c:v>
                </c:pt>
                <c:pt idx="230">
                  <c:v>0.11672797649560329</c:v>
                </c:pt>
                <c:pt idx="231">
                  <c:v>1.9914658389287681</c:v>
                </c:pt>
                <c:pt idx="232">
                  <c:v>-1.5769160764135806</c:v>
                </c:pt>
                <c:pt idx="233">
                  <c:v>5.1695382427980432</c:v>
                </c:pt>
                <c:pt idx="234">
                  <c:v>-0.10716825372369682</c:v>
                </c:pt>
                <c:pt idx="235">
                  <c:v>8.3228292860523396</c:v>
                </c:pt>
                <c:pt idx="236">
                  <c:v>-8.5122746726814746E-2</c:v>
                </c:pt>
                <c:pt idx="237">
                  <c:v>-2.3131661487873454</c:v>
                </c:pt>
                <c:pt idx="238">
                  <c:v>0.26614931681605292</c:v>
                </c:pt>
                <c:pt idx="239">
                  <c:v>-1.5625998862664436</c:v>
                </c:pt>
                <c:pt idx="240">
                  <c:v>-5.7333119736836231</c:v>
                </c:pt>
                <c:pt idx="241">
                  <c:v>24.07216793546926</c:v>
                </c:pt>
                <c:pt idx="242">
                  <c:v>-3.1870868188629076</c:v>
                </c:pt>
                <c:pt idx="243">
                  <c:v>-1.651161894016574</c:v>
                </c:pt>
                <c:pt idx="244">
                  <c:v>1.0316530517345397</c:v>
                </c:pt>
                <c:pt idx="245">
                  <c:v>-5.1544208901290443</c:v>
                </c:pt>
                <c:pt idx="246">
                  <c:v>-0.68810990071603717</c:v>
                </c:pt>
                <c:pt idx="247">
                  <c:v>-5.6065550709277563</c:v>
                </c:pt>
                <c:pt idx="248">
                  <c:v>-4.4970718184652769</c:v>
                </c:pt>
                <c:pt idx="249">
                  <c:v>-2.9961140264380131</c:v>
                </c:pt>
                <c:pt idx="250">
                  <c:v>1.6792339206884317</c:v>
                </c:pt>
                <c:pt idx="251">
                  <c:v>-11.966425402290012</c:v>
                </c:pt>
                <c:pt idx="252">
                  <c:v>9.642314735165872</c:v>
                </c:pt>
                <c:pt idx="253">
                  <c:v>4.1543702904627828</c:v>
                </c:pt>
                <c:pt idx="254">
                  <c:v>-4.0217997464747244</c:v>
                </c:pt>
                <c:pt idx="255">
                  <c:v>0.5672668376075749</c:v>
                </c:pt>
                <c:pt idx="256">
                  <c:v>-1.2172059378104085</c:v>
                </c:pt>
                <c:pt idx="257">
                  <c:v>-1.6701994361846066</c:v>
                </c:pt>
                <c:pt idx="258">
                  <c:v>21.250609836255187</c:v>
                </c:pt>
                <c:pt idx="259">
                  <c:v>-1.9650928969314938</c:v>
                </c:pt>
                <c:pt idx="260">
                  <c:v>-10.507945322881731</c:v>
                </c:pt>
                <c:pt idx="261">
                  <c:v>0.37189803863465354</c:v>
                </c:pt>
                <c:pt idx="262">
                  <c:v>4.5876684519344515</c:v>
                </c:pt>
                <c:pt idx="263">
                  <c:v>-4.7207489162663654</c:v>
                </c:pt>
                <c:pt idx="264">
                  <c:v>2.9230799452712852</c:v>
                </c:pt>
                <c:pt idx="265">
                  <c:v>3.0761263170930913</c:v>
                </c:pt>
                <c:pt idx="266">
                  <c:v>-3.572968695340045</c:v>
                </c:pt>
                <c:pt idx="267">
                  <c:v>-31.525077270931494</c:v>
                </c:pt>
                <c:pt idx="268">
                  <c:v>8.4520587924463335</c:v>
                </c:pt>
                <c:pt idx="269">
                  <c:v>3.7547259448121633</c:v>
                </c:pt>
                <c:pt idx="270">
                  <c:v>3.9121502368881007</c:v>
                </c:pt>
                <c:pt idx="271">
                  <c:v>-0.32757367995043429</c:v>
                </c:pt>
                <c:pt idx="272">
                  <c:v>-3.7254752305238426</c:v>
                </c:pt>
                <c:pt idx="273">
                  <c:v>4.17042817292982</c:v>
                </c:pt>
                <c:pt idx="274">
                  <c:v>-24.186620013787973</c:v>
                </c:pt>
                <c:pt idx="275">
                  <c:v>0.891392950500979</c:v>
                </c:pt>
                <c:pt idx="276">
                  <c:v>-5.3864537893221032</c:v>
                </c:pt>
                <c:pt idx="277">
                  <c:v>-0.42368389638542925</c:v>
                </c:pt>
                <c:pt idx="278">
                  <c:v>-1.3667887823326001</c:v>
                </c:pt>
                <c:pt idx="279">
                  <c:v>-2.2898179175109217</c:v>
                </c:pt>
                <c:pt idx="280">
                  <c:v>-0.23903034821786884</c:v>
                </c:pt>
                <c:pt idx="281">
                  <c:v>-0.6417695415042437</c:v>
                </c:pt>
                <c:pt idx="282">
                  <c:v>-3.4430800371088748</c:v>
                </c:pt>
                <c:pt idx="283">
                  <c:v>1.3361690199188696</c:v>
                </c:pt>
                <c:pt idx="284">
                  <c:v>-2.2577283686285084E-2</c:v>
                </c:pt>
                <c:pt idx="285">
                  <c:v>0.7859089550004501</c:v>
                </c:pt>
                <c:pt idx="286">
                  <c:v>-2.0188549417338741</c:v>
                </c:pt>
                <c:pt idx="287">
                  <c:v>2.6643850028402576</c:v>
                </c:pt>
                <c:pt idx="288">
                  <c:v>2.2335397712634522</c:v>
                </c:pt>
                <c:pt idx="289">
                  <c:v>-9.9775463970767877</c:v>
                </c:pt>
                <c:pt idx="290">
                  <c:v>-6.48732320275563</c:v>
                </c:pt>
                <c:pt idx="291">
                  <c:v>6.0115727462319644</c:v>
                </c:pt>
                <c:pt idx="292">
                  <c:v>4.7875771336521726</c:v>
                </c:pt>
                <c:pt idx="293">
                  <c:v>-4.5335224678025421</c:v>
                </c:pt>
                <c:pt idx="294">
                  <c:v>-9.8823058306257607</c:v>
                </c:pt>
                <c:pt idx="295">
                  <c:v>-5.3006324136172012</c:v>
                </c:pt>
                <c:pt idx="296">
                  <c:v>-0.11865714690708307</c:v>
                </c:pt>
                <c:pt idx="297">
                  <c:v>-2.0164780423258839</c:v>
                </c:pt>
                <c:pt idx="298">
                  <c:v>2.9578910133088283</c:v>
                </c:pt>
                <c:pt idx="299">
                  <c:v>4.6073368806824071</c:v>
                </c:pt>
                <c:pt idx="300">
                  <c:v>-10.054747399253039</c:v>
                </c:pt>
                <c:pt idx="301">
                  <c:v>-7.1210744586701216</c:v>
                </c:pt>
                <c:pt idx="302">
                  <c:v>17.363772107256231</c:v>
                </c:pt>
                <c:pt idx="303">
                  <c:v>-9.0348820401077123</c:v>
                </c:pt>
                <c:pt idx="304">
                  <c:v>12.572718191004791</c:v>
                </c:pt>
                <c:pt idx="305">
                  <c:v>2.444353557759424</c:v>
                </c:pt>
                <c:pt idx="306">
                  <c:v>-6.1043121358169579</c:v>
                </c:pt>
                <c:pt idx="307">
                  <c:v>1.9522773335159882</c:v>
                </c:pt>
                <c:pt idx="308">
                  <c:v>-1.1441967974680629</c:v>
                </c:pt>
                <c:pt idx="309">
                  <c:v>10.300595855300093</c:v>
                </c:pt>
                <c:pt idx="310">
                  <c:v>-0.95292327146772482</c:v>
                </c:pt>
                <c:pt idx="311">
                  <c:v>12.124686726657059</c:v>
                </c:pt>
                <c:pt idx="312">
                  <c:v>0.1720366281222554</c:v>
                </c:pt>
                <c:pt idx="313">
                  <c:v>2.0116645638225776</c:v>
                </c:pt>
                <c:pt idx="314">
                  <c:v>-6.1872728270551756</c:v>
                </c:pt>
                <c:pt idx="315">
                  <c:v>6.2500323988346835</c:v>
                </c:pt>
                <c:pt idx="316">
                  <c:v>-2.0056171927442836</c:v>
                </c:pt>
                <c:pt idx="317">
                  <c:v>0.35274037332387231</c:v>
                </c:pt>
                <c:pt idx="318">
                  <c:v>-4.0760853925700529</c:v>
                </c:pt>
                <c:pt idx="319">
                  <c:v>7.9530547088779224</c:v>
                </c:pt>
                <c:pt idx="320">
                  <c:v>-0.34642826815675454</c:v>
                </c:pt>
                <c:pt idx="321">
                  <c:v>-25.738059004269022</c:v>
                </c:pt>
                <c:pt idx="322">
                  <c:v>5.9854770513016646</c:v>
                </c:pt>
                <c:pt idx="323">
                  <c:v>-2.8755186645997659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09296"/>
        <c:axId val="487010472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cc_low_end!$I$13:$I$336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cc_low_end!$K$13:$K$336</c:f>
              <c:numCache>
                <c:formatCode>General</c:formatCode>
                <c:ptCount val="324"/>
                <c:pt idx="0">
                  <c:v>-2.7477378078773658</c:v>
                </c:pt>
                <c:pt idx="1">
                  <c:v>-3.4670618310964292</c:v>
                </c:pt>
                <c:pt idx="2">
                  <c:v>-3.3972386576282729</c:v>
                </c:pt>
                <c:pt idx="3">
                  <c:v>-0.62611340915415359</c:v>
                </c:pt>
                <c:pt idx="4">
                  <c:v>1.508981103123225</c:v>
                </c:pt>
                <c:pt idx="5">
                  <c:v>3.4795650151754116</c:v>
                </c:pt>
                <c:pt idx="6">
                  <c:v>3.7221695502297161</c:v>
                </c:pt>
                <c:pt idx="7">
                  <c:v>1.6895528283025163</c:v>
                </c:pt>
                <c:pt idx="8">
                  <c:v>-0.2820726029157461</c:v>
                </c:pt>
                <c:pt idx="9">
                  <c:v>-3.1871942980974355</c:v>
                </c:pt>
                <c:pt idx="10">
                  <c:v>-3.5269456016944662</c:v>
                </c:pt>
                <c:pt idx="11">
                  <c:v>-2.9325420799843847</c:v>
                </c:pt>
                <c:pt idx="12">
                  <c:v>-0.55123572499929718</c:v>
                </c:pt>
                <c:pt idx="13">
                  <c:v>2.1864282870314193</c:v>
                </c:pt>
                <c:pt idx="14">
                  <c:v>3.3428756402965698</c:v>
                </c:pt>
                <c:pt idx="15">
                  <c:v>3.7484033405291011</c:v>
                </c:pt>
                <c:pt idx="16">
                  <c:v>1.2805147011259539</c:v>
                </c:pt>
                <c:pt idx="17">
                  <c:v>-0.70877767820764515</c:v>
                </c:pt>
                <c:pt idx="18">
                  <c:v>-3.3286750178659781</c:v>
                </c:pt>
                <c:pt idx="19">
                  <c:v>-3.627296814778036</c:v>
                </c:pt>
                <c:pt idx="20">
                  <c:v>-2.5285471176228738</c:v>
                </c:pt>
                <c:pt idx="21">
                  <c:v>-0.25860104750833579</c:v>
                </c:pt>
                <c:pt idx="22">
                  <c:v>2.5870540652235667</c:v>
                </c:pt>
                <c:pt idx="23">
                  <c:v>3.3920681558706591</c:v>
                </c:pt>
                <c:pt idx="24">
                  <c:v>3.5785428581435097</c:v>
                </c:pt>
                <c:pt idx="25">
                  <c:v>0.93388041872763794</c:v>
                </c:pt>
                <c:pt idx="26">
                  <c:v>-1.1480425888642722</c:v>
                </c:pt>
                <c:pt idx="27">
                  <c:v>-3.4345698418970114</c:v>
                </c:pt>
                <c:pt idx="28">
                  <c:v>-3.6922825470128595</c:v>
                </c:pt>
                <c:pt idx="29">
                  <c:v>-2.0697958082147125</c:v>
                </c:pt>
                <c:pt idx="30">
                  <c:v>5.5800820556450859E-6</c:v>
                </c:pt>
                <c:pt idx="31">
                  <c:v>2.9763795876127612</c:v>
                </c:pt>
                <c:pt idx="32">
                  <c:v>3.4421026213221562</c:v>
                </c:pt>
                <c:pt idx="33">
                  <c:v>3.2430334194029604</c:v>
                </c:pt>
                <c:pt idx="34">
                  <c:v>0.79125041519713157</c:v>
                </c:pt>
                <c:pt idx="35">
                  <c:v>-1.8448869233037708</c:v>
                </c:pt>
                <c:pt idx="36">
                  <c:v>-3.2428697370963988</c:v>
                </c:pt>
                <c:pt idx="37">
                  <c:v>-3.8776971849032336</c:v>
                </c:pt>
                <c:pt idx="38">
                  <c:v>-1.5956440433793451</c:v>
                </c:pt>
                <c:pt idx="39">
                  <c:v>0.46646374442646077</c:v>
                </c:pt>
                <c:pt idx="40">
                  <c:v>2.9598451347071602</c:v>
                </c:pt>
                <c:pt idx="41">
                  <c:v>3.8889162918477793</c:v>
                </c:pt>
                <c:pt idx="42">
                  <c:v>2.5126863372199528</c:v>
                </c:pt>
                <c:pt idx="43">
                  <c:v>0.78622063397477016</c:v>
                </c:pt>
                <c:pt idx="44">
                  <c:v>-2.3785169086009295</c:v>
                </c:pt>
                <c:pt idx="45">
                  <c:v>-3.430949817666491</c:v>
                </c:pt>
                <c:pt idx="46">
                  <c:v>-3.439438382101152</c:v>
                </c:pt>
                <c:pt idx="47">
                  <c:v>-1.6736701826834322</c:v>
                </c:pt>
                <c:pt idx="48">
                  <c:v>1.3105843051404451</c:v>
                </c:pt>
                <c:pt idx="49">
                  <c:v>2.8335388051982253</c:v>
                </c:pt>
                <c:pt idx="50">
                  <c:v>4.0428096678923007</c:v>
                </c:pt>
                <c:pt idx="51">
                  <c:v>2.2413776795767824</c:v>
                </c:pt>
                <c:pt idx="52">
                  <c:v>0.20633697449371313</c:v>
                </c:pt>
                <c:pt idx="53">
                  <c:v>-2.4154643859541989</c:v>
                </c:pt>
                <c:pt idx="54">
                  <c:v>-3.8239397561174755</c:v>
                </c:pt>
                <c:pt idx="55">
                  <c:v>-2.9911574361283968</c:v>
                </c:pt>
                <c:pt idx="56">
                  <c:v>-1.4754204450255228</c:v>
                </c:pt>
                <c:pt idx="57">
                  <c:v>1.7624203925474315</c:v>
                </c:pt>
                <c:pt idx="58">
                  <c:v>3.0437106658743471</c:v>
                </c:pt>
                <c:pt idx="59">
                  <c:v>3.8971471294772075</c:v>
                </c:pt>
                <c:pt idx="60">
                  <c:v>2.0313333686248574</c:v>
                </c:pt>
                <c:pt idx="61">
                  <c:v>-0.30122751141961823</c:v>
                </c:pt>
                <c:pt idx="62">
                  <c:v>-2.6101193277498913</c:v>
                </c:pt>
                <c:pt idx="63">
                  <c:v>-3.9482147406690613</c:v>
                </c:pt>
                <c:pt idx="64">
                  <c:v>-2.7130897047668219</c:v>
                </c:pt>
                <c:pt idx="65">
                  <c:v>-1.1146462155799624</c:v>
                </c:pt>
                <c:pt idx="66">
                  <c:v>2.1118175710113305</c:v>
                </c:pt>
                <c:pt idx="67">
                  <c:v>3.2586964749445579</c:v>
                </c:pt>
                <c:pt idx="68">
                  <c:v>3.680420675949688</c:v>
                </c:pt>
                <c:pt idx="69">
                  <c:v>1.8399704372696792</c:v>
                </c:pt>
                <c:pt idx="70">
                  <c:v>-0.87050495490249802</c:v>
                </c:pt>
                <c:pt idx="71">
                  <c:v>-2.7012233770600265</c:v>
                </c:pt>
                <c:pt idx="72">
                  <c:v>-4.0763454493928579</c:v>
                </c:pt>
                <c:pt idx="73">
                  <c:v>-2.4241084764284131</c:v>
                </c:pt>
                <c:pt idx="74">
                  <c:v>-0.62144465108173164</c:v>
                </c:pt>
                <c:pt idx="75">
                  <c:v>2.2141812639633081</c:v>
                </c:pt>
                <c:pt idx="76">
                  <c:v>3.7266593900471117</c:v>
                </c:pt>
                <c:pt idx="77">
                  <c:v>3.140162691094825</c:v>
                </c:pt>
                <c:pt idx="78">
                  <c:v>1.8090672107804353</c:v>
                </c:pt>
                <c:pt idx="79">
                  <c:v>-1.4303246168744752</c:v>
                </c:pt>
                <c:pt idx="80">
                  <c:v>-2.9753354016448816</c:v>
                </c:pt>
                <c:pt idx="81">
                  <c:v>-3.768104907639263</c:v>
                </c:pt>
                <c:pt idx="82">
                  <c:v>-2.5684542803521988</c:v>
                </c:pt>
                <c:pt idx="83">
                  <c:v>0.2618041805043555</c:v>
                </c:pt>
                <c:pt idx="84">
                  <c:v>2.1266958438742893</c:v>
                </c:pt>
                <c:pt idx="85">
                  <c:v>4.0188178089585085</c:v>
                </c:pt>
                <c:pt idx="86">
                  <c:v>2.9817034883500257</c:v>
                </c:pt>
                <c:pt idx="87">
                  <c:v>1.1698334042784873</c:v>
                </c:pt>
                <c:pt idx="88">
                  <c:v>-1.3913043624008421</c:v>
                </c:pt>
                <c:pt idx="89">
                  <c:v>-3.6143301081396211</c:v>
                </c:pt>
                <c:pt idx="90">
                  <c:v>-3.3225844994856453</c:v>
                </c:pt>
                <c:pt idx="91">
                  <c:v>-2.456022674038393</c:v>
                </c:pt>
                <c:pt idx="92">
                  <c:v>0.67746643707838172</c:v>
                </c:pt>
                <c:pt idx="93">
                  <c:v>2.560321493064234</c:v>
                </c:pt>
                <c:pt idx="94">
                  <c:v>3.8099138334173555</c:v>
                </c:pt>
                <c:pt idx="95">
                  <c:v>3.0301061094339099</c:v>
                </c:pt>
                <c:pt idx="96">
                  <c:v>0.53682168787947171</c:v>
                </c:pt>
                <c:pt idx="97">
                  <c:v>-1.5747565205238825</c:v>
                </c:pt>
                <c:pt idx="98">
                  <c:v>-3.8577256778848383</c:v>
                </c:pt>
                <c:pt idx="99">
                  <c:v>-3.1898648236969378</c:v>
                </c:pt>
                <c:pt idx="100">
                  <c:v>-2.0687826293705269</c:v>
                </c:pt>
                <c:pt idx="101">
                  <c:v>0.99124871094623512</c:v>
                </c:pt>
                <c:pt idx="102">
                  <c:v>2.9112278034330399</c:v>
                </c:pt>
                <c:pt idx="103">
                  <c:v>3.7141620330730309</c:v>
                </c:pt>
                <c:pt idx="104">
                  <c:v>2.8485312372806848</c:v>
                </c:pt>
                <c:pt idx="105">
                  <c:v>7.7696314815662859E-2</c:v>
                </c:pt>
                <c:pt idx="106">
                  <c:v>-1.8728367432763191</c:v>
                </c:pt>
                <c:pt idx="107">
                  <c:v>-3.9756380210994853</c:v>
                </c:pt>
                <c:pt idx="108">
                  <c:v>-3.072640114545941</c:v>
                </c:pt>
                <c:pt idx="109">
                  <c:v>-1.6074187717908655</c:v>
                </c:pt>
                <c:pt idx="110">
                  <c:v>1.2199055640795149</c:v>
                </c:pt>
                <c:pt idx="111">
                  <c:v>3.3316241027580333</c:v>
                </c:pt>
                <c:pt idx="112">
                  <c:v>3.4649614453001591</c:v>
                </c:pt>
                <c:pt idx="113">
                  <c:v>2.7154831301138245</c:v>
                </c:pt>
                <c:pt idx="114">
                  <c:v>-0.38449559061932093</c:v>
                </c:pt>
                <c:pt idx="115">
                  <c:v>-2.2616658943878423</c:v>
                </c:pt>
                <c:pt idx="116">
                  <c:v>-3.8190125181427437</c:v>
                </c:pt>
                <c:pt idx="117">
                  <c:v>-3.2280224944946756</c:v>
                </c:pt>
                <c:pt idx="118">
                  <c:v>-0.82402738390253005</c:v>
                </c:pt>
                <c:pt idx="119">
                  <c:v>1.2354235797584758</c:v>
                </c:pt>
                <c:pt idx="120">
                  <c:v>3.7223537759321395</c:v>
                </c:pt>
                <c:pt idx="121">
                  <c:v>3.3963231689816085</c:v>
                </c:pt>
                <c:pt idx="122">
                  <c:v>2.1430006333254701</c:v>
                </c:pt>
                <c:pt idx="123">
                  <c:v>-0.35630038612630077</c:v>
                </c:pt>
                <c:pt idx="124">
                  <c:v>-3.0334682888406723</c:v>
                </c:pt>
                <c:pt idx="125">
                  <c:v>-3.4345737027852294</c:v>
                </c:pt>
                <c:pt idx="126">
                  <c:v>-3.2246133396457028</c:v>
                </c:pt>
                <c:pt idx="127">
                  <c:v>-0.44550225760256545</c:v>
                </c:pt>
                <c:pt idx="128">
                  <c:v>1.828293382535588</c:v>
                </c:pt>
                <c:pt idx="129">
                  <c:v>3.4802977445849135</c:v>
                </c:pt>
                <c:pt idx="130">
                  <c:v>3.7000440852636909</c:v>
                </c:pt>
                <c:pt idx="131">
                  <c:v>1.4347538416299273</c:v>
                </c:pt>
                <c:pt idx="132">
                  <c:v>-0.53036187821755509</c:v>
                </c:pt>
                <c:pt idx="133">
                  <c:v>-3.3308269539965547</c:v>
                </c:pt>
                <c:pt idx="134">
                  <c:v>-3.5332976695883582</c:v>
                </c:pt>
                <c:pt idx="135">
                  <c:v>-2.7455351696381856</c:v>
                </c:pt>
                <c:pt idx="136">
                  <c:v>-0.29747728438206134</c:v>
                </c:pt>
                <c:pt idx="137">
                  <c:v>2.3891026307389724</c:v>
                </c:pt>
                <c:pt idx="138">
                  <c:v>3.4189593604322464</c:v>
                </c:pt>
                <c:pt idx="139">
                  <c:v>3.6289873524590157</c:v>
                </c:pt>
                <c:pt idx="140">
                  <c:v>1.043340385444127</c:v>
                </c:pt>
                <c:pt idx="141">
                  <c:v>-0.93959932332000029</c:v>
                </c:pt>
                <c:pt idx="142">
                  <c:v>-3.4876831771035466</c:v>
                </c:pt>
                <c:pt idx="143">
                  <c:v>-3.5604463111206242</c:v>
                </c:pt>
                <c:pt idx="144">
                  <c:v>-2.3608315466726757</c:v>
                </c:pt>
                <c:pt idx="145">
                  <c:v>1.6813229537436691E-2</c:v>
                </c:pt>
                <c:pt idx="146">
                  <c:v>2.7715552138586315</c:v>
                </c:pt>
                <c:pt idx="147">
                  <c:v>3.432020380816974</c:v>
                </c:pt>
                <c:pt idx="148">
                  <c:v>3.4425601601886715</c:v>
                </c:pt>
                <c:pt idx="149">
                  <c:v>0.69685126384703411</c:v>
                </c:pt>
                <c:pt idx="150">
                  <c:v>-1.4062934039793387</c:v>
                </c:pt>
                <c:pt idx="151">
                  <c:v>-3.5038165998832604</c:v>
                </c:pt>
                <c:pt idx="152">
                  <c:v>-3.6839991187539964</c:v>
                </c:pt>
                <c:pt idx="153">
                  <c:v>-1.8016434625390501</c:v>
                </c:pt>
                <c:pt idx="154">
                  <c:v>0.21768492518033644</c:v>
                </c:pt>
                <c:pt idx="155">
                  <c:v>3.147888063528435</c:v>
                </c:pt>
                <c:pt idx="156">
                  <c:v>3.5090081906538826</c:v>
                </c:pt>
                <c:pt idx="157">
                  <c:v>2.9822261133703796</c:v>
                </c:pt>
                <c:pt idx="158">
                  <c:v>0.66652616145844445</c:v>
                </c:pt>
                <c:pt idx="159">
                  <c:v>-2.1823573816420616</c:v>
                </c:pt>
                <c:pt idx="160">
                  <c:v>-3.2632350602781597</c:v>
                </c:pt>
                <c:pt idx="161">
                  <c:v>-3.7813376655191986</c:v>
                </c:pt>
                <c:pt idx="162">
                  <c:v>-1.4478377860023144</c:v>
                </c:pt>
                <c:pt idx="163">
                  <c:v>0.84293959028749676</c:v>
                </c:pt>
                <c:pt idx="164">
                  <c:v>2.9776576558450638</c:v>
                </c:pt>
                <c:pt idx="165">
                  <c:v>3.9804510067675016</c:v>
                </c:pt>
                <c:pt idx="166">
                  <c:v>2.2825458767813793</c:v>
                </c:pt>
                <c:pt idx="167">
                  <c:v>0.52025450519338379</c:v>
                </c:pt>
                <c:pt idx="168">
                  <c:v>-2.5266381328955267</c:v>
                </c:pt>
                <c:pt idx="169">
                  <c:v>-3.5757183186062402</c:v>
                </c:pt>
                <c:pt idx="170">
                  <c:v>-3.2418571420288842</c:v>
                </c:pt>
                <c:pt idx="171">
                  <c:v>-1.49691735997202</c:v>
                </c:pt>
                <c:pt idx="172">
                  <c:v>1.5850151294106483</c:v>
                </c:pt>
                <c:pt idx="173">
                  <c:v>2.9589623676211985</c:v>
                </c:pt>
                <c:pt idx="174">
                  <c:v>3.9920844365332298</c:v>
                </c:pt>
                <c:pt idx="175">
                  <c:v>2.0543374411813731</c:v>
                </c:pt>
                <c:pt idx="176">
                  <c:v>-5.3220860652667734E-2</c:v>
                </c:pt>
                <c:pt idx="177">
                  <c:v>-2.6130439430586794</c:v>
                </c:pt>
                <c:pt idx="178">
                  <c:v>-3.8436107780876925</c:v>
                </c:pt>
                <c:pt idx="179">
                  <c:v>-2.8681612078685119</c:v>
                </c:pt>
                <c:pt idx="180">
                  <c:v>-1.2174455397364627</c:v>
                </c:pt>
                <c:pt idx="181">
                  <c:v>1.9930991157865319</c:v>
                </c:pt>
                <c:pt idx="182">
                  <c:v>3.1423806231016678</c:v>
                </c:pt>
                <c:pt idx="183">
                  <c:v>3.8467969549916621</c:v>
                </c:pt>
                <c:pt idx="184">
                  <c:v>1.793925875967384</c:v>
                </c:pt>
                <c:pt idx="185">
                  <c:v>-0.53281941891177731</c:v>
                </c:pt>
                <c:pt idx="186">
                  <c:v>-2.7974329271908318</c:v>
                </c:pt>
                <c:pt idx="187">
                  <c:v>-3.9494839337272669</c:v>
                </c:pt>
                <c:pt idx="188">
                  <c:v>-2.5498161829557766</c:v>
                </c:pt>
                <c:pt idx="189">
                  <c:v>-0.86442285538230346</c:v>
                </c:pt>
                <c:pt idx="190">
                  <c:v>2.3242859265221525</c:v>
                </c:pt>
                <c:pt idx="191">
                  <c:v>3.3686821059806582</c:v>
                </c:pt>
                <c:pt idx="192">
                  <c:v>3.535011574269499</c:v>
                </c:pt>
                <c:pt idx="193">
                  <c:v>1.6801338609785281</c:v>
                </c:pt>
                <c:pt idx="194">
                  <c:v>-1.1883128043997786</c:v>
                </c:pt>
                <c:pt idx="195">
                  <c:v>-2.805372050284884</c:v>
                </c:pt>
                <c:pt idx="196">
                  <c:v>-4.0587839352671802</c:v>
                </c:pt>
                <c:pt idx="197">
                  <c:v>-2.2959941952737193</c:v>
                </c:pt>
                <c:pt idx="198">
                  <c:v>-0.26130204591181372</c:v>
                </c:pt>
                <c:pt idx="199">
                  <c:v>2.2884311655548895</c:v>
                </c:pt>
                <c:pt idx="200">
                  <c:v>3.9037193872393812</c:v>
                </c:pt>
                <c:pt idx="201">
                  <c:v>2.9480684489521813</c:v>
                </c:pt>
                <c:pt idx="202">
                  <c:v>1.5706922460559767</c:v>
                </c:pt>
                <c:pt idx="203">
                  <c:v>-1.5994827074401683</c:v>
                </c:pt>
                <c:pt idx="204">
                  <c:v>-3.2253896465448184</c:v>
                </c:pt>
                <c:pt idx="205">
                  <c:v>-3.5874066253864147</c:v>
                </c:pt>
                <c:pt idx="206">
                  <c:v>-2.4752794819906465</c:v>
                </c:pt>
                <c:pt idx="207">
                  <c:v>0.57202673083193645</c:v>
                </c:pt>
                <c:pt idx="208">
                  <c:v>2.3190293080002764</c:v>
                </c:pt>
                <c:pt idx="209">
                  <c:v>3.9983345950420244</c:v>
                </c:pt>
                <c:pt idx="210">
                  <c:v>2.911587374853839</c:v>
                </c:pt>
                <c:pt idx="211">
                  <c:v>0.85082350166498988</c:v>
                </c:pt>
                <c:pt idx="212">
                  <c:v>-1.5687665265506148</c:v>
                </c:pt>
                <c:pt idx="213">
                  <c:v>-3.7476310044593641</c:v>
                </c:pt>
                <c:pt idx="214">
                  <c:v>-3.240493924677406</c:v>
                </c:pt>
                <c:pt idx="215">
                  <c:v>-2.2372405339554544</c:v>
                </c:pt>
                <c:pt idx="216">
                  <c:v>0.92706123483736291</c:v>
                </c:pt>
                <c:pt idx="217">
                  <c:v>2.7261295178252865</c:v>
                </c:pt>
                <c:pt idx="218">
                  <c:v>3.8250877067161668</c:v>
                </c:pt>
                <c:pt idx="219">
                  <c:v>2.8450428965917829</c:v>
                </c:pt>
                <c:pt idx="220">
                  <c:v>0.30604822163183554</c:v>
                </c:pt>
                <c:pt idx="221">
                  <c:v>-1.8104264413868916</c:v>
                </c:pt>
                <c:pt idx="222">
                  <c:v>-3.9287973384175925</c:v>
                </c:pt>
                <c:pt idx="223">
                  <c:v>-3.0862448811502179</c:v>
                </c:pt>
                <c:pt idx="224">
                  <c:v>-1.853871519324338</c:v>
                </c:pt>
                <c:pt idx="225">
                  <c:v>1.2584951349525499</c:v>
                </c:pt>
                <c:pt idx="226">
                  <c:v>3.0415108881043671</c:v>
                </c:pt>
                <c:pt idx="227">
                  <c:v>3.6990987559185462</c:v>
                </c:pt>
                <c:pt idx="228">
                  <c:v>2.6639166574097897</c:v>
                </c:pt>
                <c:pt idx="229">
                  <c:v>-0.18498574329394701</c:v>
                </c:pt>
                <c:pt idx="230">
                  <c:v>-2.0701647545316906</c:v>
                </c:pt>
                <c:pt idx="231">
                  <c:v>-4.0208668441561599</c:v>
                </c:pt>
                <c:pt idx="232">
                  <c:v>-2.9787244839777323</c:v>
                </c:pt>
                <c:pt idx="233">
                  <c:v>-1.3107816470073499</c:v>
                </c:pt>
                <c:pt idx="234">
                  <c:v>1.3830702436337279</c:v>
                </c:pt>
                <c:pt idx="235">
                  <c:v>3.5355864657568805</c:v>
                </c:pt>
                <c:pt idx="236">
                  <c:v>3.3565883974359472</c:v>
                </c:pt>
                <c:pt idx="237">
                  <c:v>2.5225370860681311</c:v>
                </c:pt>
                <c:pt idx="238">
                  <c:v>-0.58926238520740726</c:v>
                </c:pt>
                <c:pt idx="239">
                  <c:v>-2.5528361484104094</c:v>
                </c:pt>
                <c:pt idx="240">
                  <c:v>-3.7092878111809751</c:v>
                </c:pt>
                <c:pt idx="241">
                  <c:v>-3.206569346156706</c:v>
                </c:pt>
                <c:pt idx="242">
                  <c:v>-0.49871124736761874</c:v>
                </c:pt>
                <c:pt idx="243">
                  <c:v>1.4596482531140273</c:v>
                </c:pt>
                <c:pt idx="244">
                  <c:v>3.7552131455928714</c:v>
                </c:pt>
                <c:pt idx="245">
                  <c:v>3.4348870606426782</c:v>
                </c:pt>
                <c:pt idx="246">
                  <c:v>1.7959578397042371</c:v>
                </c:pt>
                <c:pt idx="247">
                  <c:v>-0.50425821420098915</c:v>
                </c:pt>
                <c:pt idx="248">
                  <c:v>-3.2554956408601199</c:v>
                </c:pt>
                <c:pt idx="249">
                  <c:v>-3.4302425047782594</c:v>
                </c:pt>
                <c:pt idx="250">
                  <c:v>-3.0160995947620202</c:v>
                </c:pt>
                <c:pt idx="251">
                  <c:v>-0.25403153153377211</c:v>
                </c:pt>
                <c:pt idx="252">
                  <c:v>2.1062842454156883</c:v>
                </c:pt>
                <c:pt idx="253">
                  <c:v>3.5080077749794643</c:v>
                </c:pt>
                <c:pt idx="254">
                  <c:v>3.6226198533874685</c:v>
                </c:pt>
                <c:pt idx="255">
                  <c:v>1.1952764074921236</c:v>
                </c:pt>
                <c:pt idx="256">
                  <c:v>-0.77790647614152142</c:v>
                </c:pt>
                <c:pt idx="257">
                  <c:v>-3.4749428028795024</c:v>
                </c:pt>
                <c:pt idx="258">
                  <c:v>-3.4965317627409593</c:v>
                </c:pt>
                <c:pt idx="259">
                  <c:v>-2.5752298378977314</c:v>
                </c:pt>
                <c:pt idx="260">
                  <c:v>-1.6803595195760468E-2</c:v>
                </c:pt>
                <c:pt idx="261">
                  <c:v>2.5628296743561436</c:v>
                </c:pt>
                <c:pt idx="262">
                  <c:v>3.4887769759500697</c:v>
                </c:pt>
                <c:pt idx="263">
                  <c:v>3.4892906319759582</c:v>
                </c:pt>
                <c:pt idx="264">
                  <c:v>0.8023880608058398</c:v>
                </c:pt>
                <c:pt idx="265">
                  <c:v>-1.1691032450176186</c:v>
                </c:pt>
                <c:pt idx="266">
                  <c:v>-3.6217337775735277</c:v>
                </c:pt>
                <c:pt idx="267">
                  <c:v>-3.493619047115514</c:v>
                </c:pt>
                <c:pt idx="268">
                  <c:v>-2.1583676781661896</c:v>
                </c:pt>
                <c:pt idx="269">
                  <c:v>0.2646953164001995</c:v>
                </c:pt>
                <c:pt idx="270">
                  <c:v>2.9680030013736527</c:v>
                </c:pt>
                <c:pt idx="271">
                  <c:v>3.4415462055177661</c:v>
                </c:pt>
                <c:pt idx="272">
                  <c:v>3.2881660930332406</c:v>
                </c:pt>
                <c:pt idx="273">
                  <c:v>0.4785717407008816</c:v>
                </c:pt>
                <c:pt idx="274">
                  <c:v>-1.695801708505388</c:v>
                </c:pt>
                <c:pt idx="275">
                  <c:v>-3.5137501997043428</c:v>
                </c:pt>
                <c:pt idx="276">
                  <c:v>-3.6921756331638598</c:v>
                </c:pt>
                <c:pt idx="277">
                  <c:v>-1.5146812176283713</c:v>
                </c:pt>
                <c:pt idx="278">
                  <c:v>0.45315223495244716</c:v>
                </c:pt>
                <c:pt idx="279">
                  <c:v>3.2623751806257673</c:v>
                </c:pt>
                <c:pt idx="280">
                  <c:v>3.6088629143027298</c:v>
                </c:pt>
                <c:pt idx="281">
                  <c:v>2.6731372295525597</c:v>
                </c:pt>
                <c:pt idx="282">
                  <c:v>0.54162647351320059</c:v>
                </c:pt>
                <c:pt idx="283">
                  <c:v>-2.4776881357875018</c:v>
                </c:pt>
                <c:pt idx="284">
                  <c:v>-3.323036559834402</c:v>
                </c:pt>
                <c:pt idx="285">
                  <c:v>-3.613070383014354</c:v>
                </c:pt>
                <c:pt idx="286">
                  <c:v>-1.3248508866391582</c:v>
                </c:pt>
                <c:pt idx="287">
                  <c:v>1.21231869720352</c:v>
                </c:pt>
                <c:pt idx="288">
                  <c:v>3.0158022271638352</c:v>
                </c:pt>
                <c:pt idx="289">
                  <c:v>4.0050893926123692</c:v>
                </c:pt>
                <c:pt idx="290">
                  <c:v>2.0832751401315788</c:v>
                </c:pt>
                <c:pt idx="291">
                  <c:v>0.23367133029457143</c:v>
                </c:pt>
                <c:pt idx="292">
                  <c:v>-2.6734901174206023</c:v>
                </c:pt>
                <c:pt idx="293">
                  <c:v>-3.6707229812123252</c:v>
                </c:pt>
                <c:pt idx="294">
                  <c:v>-3.071998730556365</c:v>
                </c:pt>
                <c:pt idx="295">
                  <c:v>-1.2750430164459567</c:v>
                </c:pt>
                <c:pt idx="296">
                  <c:v>1.8287184290382661</c:v>
                </c:pt>
                <c:pt idx="297">
                  <c:v>3.0754263215031399</c:v>
                </c:pt>
                <c:pt idx="298">
                  <c:v>3.9343973588446239</c:v>
                </c:pt>
                <c:pt idx="299">
                  <c:v>1.8359664802966622</c:v>
                </c:pt>
                <c:pt idx="300">
                  <c:v>-0.28773413552715188</c:v>
                </c:pt>
                <c:pt idx="301">
                  <c:v>-2.820232045924691</c:v>
                </c:pt>
                <c:pt idx="302">
                  <c:v>-3.8303269947181562</c:v>
                </c:pt>
                <c:pt idx="303">
                  <c:v>-2.7396693802973169</c:v>
                </c:pt>
                <c:pt idx="304">
                  <c:v>-0.95143312411840641</c:v>
                </c:pt>
                <c:pt idx="305">
                  <c:v>2.2139335520875472</c:v>
                </c:pt>
                <c:pt idx="306">
                  <c:v>3.2296449046978246</c:v>
                </c:pt>
                <c:pt idx="307">
                  <c:v>3.7688718602337037</c:v>
                </c:pt>
                <c:pt idx="308">
                  <c:v>1.5667687285438527</c:v>
                </c:pt>
                <c:pt idx="309">
                  <c:v>-0.78895391740360443</c:v>
                </c:pt>
                <c:pt idx="310">
                  <c:v>-2.9400946130280179</c:v>
                </c:pt>
                <c:pt idx="311">
                  <c:v>-3.9618367204655276</c:v>
                </c:pt>
                <c:pt idx="312">
                  <c:v>-2.3560753273751587</c:v>
                </c:pt>
                <c:pt idx="313">
                  <c:v>-0.61062254406411709</c:v>
                </c:pt>
                <c:pt idx="314">
                  <c:v>2.5052351347958228</c:v>
                </c:pt>
                <c:pt idx="315">
                  <c:v>3.5008281819819711</c:v>
                </c:pt>
                <c:pt idx="316">
                  <c:v>3.3298333039617747</c:v>
                </c:pt>
                <c:pt idx="317">
                  <c:v>1.5455653706737771</c:v>
                </c:pt>
                <c:pt idx="318">
                  <c:v>-1.5091659654732101</c:v>
                </c:pt>
                <c:pt idx="319">
                  <c:v>-2.9182133515257411</c:v>
                </c:pt>
                <c:pt idx="320">
                  <c:v>-3.9772407851675551</c:v>
                </c:pt>
                <c:pt idx="321">
                  <c:v>-2.207657276528638</c:v>
                </c:pt>
                <c:pt idx="322">
                  <c:v>0.13356380548959357</c:v>
                </c:pt>
                <c:pt idx="323">
                  <c:v>2.3515456365424146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08512"/>
        <c:axId val="487009688"/>
      </c:scatterChart>
      <c:valAx>
        <c:axId val="487009296"/>
        <c:scaling>
          <c:orientation val="minMax"/>
          <c:max val="2000"/>
          <c:min val="180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87010472"/>
        <c:crosses val="autoZero"/>
        <c:crossBetween val="midCat"/>
      </c:valAx>
      <c:valAx>
        <c:axId val="487010472"/>
        <c:scaling>
          <c:orientation val="minMax"/>
          <c:max val="40"/>
          <c:min val="-40"/>
        </c:scaling>
        <c:delete val="0"/>
        <c:axPos val="l"/>
        <c:numFmt formatCode="General" sourceLinked="1"/>
        <c:majorTickMark val="out"/>
        <c:minorTickMark val="none"/>
        <c:tickLblPos val="nextTo"/>
        <c:crossAx val="487009296"/>
        <c:crosses val="autoZero"/>
        <c:crossBetween val="midCat"/>
      </c:valAx>
      <c:valAx>
        <c:axId val="487009688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487008512"/>
        <c:crosses val="max"/>
        <c:crossBetween val="midCat"/>
      </c:valAx>
      <c:valAx>
        <c:axId val="48700851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870096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cc_high_end!$E$11:$E$338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cc_high_end!$F$11:$F$338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04776"/>
        <c:axId val="620799288"/>
      </c:scatterChart>
      <c:valAx>
        <c:axId val="620804776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620799288"/>
        <c:crosses val="autoZero"/>
        <c:crossBetween val="midCat"/>
      </c:valAx>
      <c:valAx>
        <c:axId val="620799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208047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837049127401215E-2"/>
          <c:y val="2.626152003854753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cc_high_end!$I$13:$I$336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cc_high_end!$J$13:$J$336</c:f>
              <c:numCache>
                <c:formatCode>General</c:formatCode>
                <c:ptCount val="324"/>
                <c:pt idx="0">
                  <c:v>0.37888783642697577</c:v>
                </c:pt>
                <c:pt idx="1">
                  <c:v>-0.72823521471561925</c:v>
                </c:pt>
                <c:pt idx="2">
                  <c:v>0.995160106351892</c:v>
                </c:pt>
                <c:pt idx="3">
                  <c:v>0.59872186989645571</c:v>
                </c:pt>
                <c:pt idx="4">
                  <c:v>3.0966193990528526</c:v>
                </c:pt>
                <c:pt idx="5">
                  <c:v>1.3653836520612266</c:v>
                </c:pt>
                <c:pt idx="6">
                  <c:v>0.97311153964860586</c:v>
                </c:pt>
                <c:pt idx="7">
                  <c:v>0.64720397217490888</c:v>
                </c:pt>
                <c:pt idx="8">
                  <c:v>0.85241655096681179</c:v>
                </c:pt>
                <c:pt idx="9">
                  <c:v>-2.154809725101777</c:v>
                </c:pt>
                <c:pt idx="10">
                  <c:v>0.66129892650897726</c:v>
                </c:pt>
                <c:pt idx="11">
                  <c:v>-0.10674077642786173</c:v>
                </c:pt>
                <c:pt idx="12">
                  <c:v>-1.3362909440534798</c:v>
                </c:pt>
                <c:pt idx="13">
                  <c:v>-1.4025989963016361</c:v>
                </c:pt>
                <c:pt idx="14">
                  <c:v>-1.5134429487264105</c:v>
                </c:pt>
                <c:pt idx="15">
                  <c:v>-0.58449637072301674</c:v>
                </c:pt>
                <c:pt idx="16">
                  <c:v>-0.54752363393732573</c:v>
                </c:pt>
                <c:pt idx="17">
                  <c:v>-1.1688471164940202</c:v>
                </c:pt>
                <c:pt idx="18">
                  <c:v>0.30650382336140891</c:v>
                </c:pt>
                <c:pt idx="19">
                  <c:v>-1.6877557519491226</c:v>
                </c:pt>
                <c:pt idx="20">
                  <c:v>-0.51728228090306061</c:v>
                </c:pt>
                <c:pt idx="21">
                  <c:v>8.5828028670614981E-2</c:v>
                </c:pt>
                <c:pt idx="22">
                  <c:v>-0.86658268009242034</c:v>
                </c:pt>
                <c:pt idx="23">
                  <c:v>-0.41940615940607584</c:v>
                </c:pt>
                <c:pt idx="24">
                  <c:v>-0.27360362738899552</c:v>
                </c:pt>
                <c:pt idx="25">
                  <c:v>-0.75476632278940414</c:v>
                </c:pt>
                <c:pt idx="26">
                  <c:v>0.52382935537054998</c:v>
                </c:pt>
                <c:pt idx="27">
                  <c:v>-2.2781363504884391</c:v>
                </c:pt>
                <c:pt idx="28">
                  <c:v>-1.1483553457185383</c:v>
                </c:pt>
                <c:pt idx="29">
                  <c:v>1.3377463940111802</c:v>
                </c:pt>
                <c:pt idx="30">
                  <c:v>1.0991402981327365</c:v>
                </c:pt>
                <c:pt idx="31">
                  <c:v>0.74493472911649716</c:v>
                </c:pt>
                <c:pt idx="32">
                  <c:v>-1.0008876597664149</c:v>
                </c:pt>
                <c:pt idx="33">
                  <c:v>-1.3605708155822329</c:v>
                </c:pt>
                <c:pt idx="34">
                  <c:v>0.11796157269802958</c:v>
                </c:pt>
                <c:pt idx="35">
                  <c:v>-3.1936090036286027</c:v>
                </c:pt>
                <c:pt idx="36">
                  <c:v>2.2744710887998982</c:v>
                </c:pt>
                <c:pt idx="37">
                  <c:v>-1.6686981847951157</c:v>
                </c:pt>
                <c:pt idx="38">
                  <c:v>0.9330374054112277</c:v>
                </c:pt>
                <c:pt idx="39">
                  <c:v>0.93672054403724969</c:v>
                </c:pt>
                <c:pt idx="40">
                  <c:v>0.74465783836633315</c:v>
                </c:pt>
                <c:pt idx="41">
                  <c:v>1.5729608981805441</c:v>
                </c:pt>
                <c:pt idx="42">
                  <c:v>2.191397989629603</c:v>
                </c:pt>
                <c:pt idx="43">
                  <c:v>0.74145675178090986</c:v>
                </c:pt>
                <c:pt idx="44">
                  <c:v>4.9401373279038712</c:v>
                </c:pt>
                <c:pt idx="45">
                  <c:v>-4.0806471617135536</c:v>
                </c:pt>
                <c:pt idx="46">
                  <c:v>3.277399401484387</c:v>
                </c:pt>
                <c:pt idx="47">
                  <c:v>-1.281884145803811</c:v>
                </c:pt>
                <c:pt idx="48">
                  <c:v>0.19328651866480673</c:v>
                </c:pt>
                <c:pt idx="49">
                  <c:v>0.8033617538652118</c:v>
                </c:pt>
                <c:pt idx="50">
                  <c:v>-0.40990869081799325</c:v>
                </c:pt>
                <c:pt idx="51">
                  <c:v>-1.075331265398334</c:v>
                </c:pt>
                <c:pt idx="52">
                  <c:v>-2.3863546536076701</c:v>
                </c:pt>
                <c:pt idx="53">
                  <c:v>1.3838202451491657</c:v>
                </c:pt>
                <c:pt idx="54">
                  <c:v>-1.1075782583186955</c:v>
                </c:pt>
                <c:pt idx="55">
                  <c:v>0.38603217850991001</c:v>
                </c:pt>
                <c:pt idx="56">
                  <c:v>-1.0771857560958045</c:v>
                </c:pt>
                <c:pt idx="57">
                  <c:v>1.4391848486629208</c:v>
                </c:pt>
                <c:pt idx="58">
                  <c:v>3.6984856507694563</c:v>
                </c:pt>
                <c:pt idx="59">
                  <c:v>1.4150059185117385</c:v>
                </c:pt>
                <c:pt idx="60">
                  <c:v>0.89693309347252037</c:v>
                </c:pt>
                <c:pt idx="61">
                  <c:v>0.12149472826988494</c:v>
                </c:pt>
                <c:pt idx="62">
                  <c:v>-0.42689896480684386</c:v>
                </c:pt>
                <c:pt idx="63">
                  <c:v>2.5493756624671211</c:v>
                </c:pt>
                <c:pt idx="64">
                  <c:v>-3.9754930021165302</c:v>
                </c:pt>
                <c:pt idx="65">
                  <c:v>-6.7285310844663729E-2</c:v>
                </c:pt>
                <c:pt idx="66">
                  <c:v>0.28157250387425159</c:v>
                </c:pt>
                <c:pt idx="67">
                  <c:v>1.6847079667218021</c:v>
                </c:pt>
                <c:pt idx="68">
                  <c:v>2.833979749179782</c:v>
                </c:pt>
                <c:pt idx="69">
                  <c:v>1.4307014417113848</c:v>
                </c:pt>
                <c:pt idx="70">
                  <c:v>0.43259705566901974</c:v>
                </c:pt>
                <c:pt idx="71">
                  <c:v>3.7689771953586724</c:v>
                </c:pt>
                <c:pt idx="72">
                  <c:v>-0.3380203914123755</c:v>
                </c:pt>
                <c:pt idx="73">
                  <c:v>2.629233857440664</c:v>
                </c:pt>
                <c:pt idx="74">
                  <c:v>-1.1959406772434455E-2</c:v>
                </c:pt>
                <c:pt idx="75">
                  <c:v>3.3686626446233978</c:v>
                </c:pt>
                <c:pt idx="76">
                  <c:v>1.4575370722078349</c:v>
                </c:pt>
                <c:pt idx="77">
                  <c:v>-2.3035059302749135</c:v>
                </c:pt>
                <c:pt idx="78">
                  <c:v>-1.1484101811245195</c:v>
                </c:pt>
                <c:pt idx="79">
                  <c:v>-0.21763273289733492</c:v>
                </c:pt>
                <c:pt idx="80">
                  <c:v>-1.6954810106691507</c:v>
                </c:pt>
                <c:pt idx="81">
                  <c:v>-0.14775140318032809</c:v>
                </c:pt>
                <c:pt idx="82">
                  <c:v>-1.6574201506056911</c:v>
                </c:pt>
                <c:pt idx="83">
                  <c:v>0.32113447514300691</c:v>
                </c:pt>
                <c:pt idx="84">
                  <c:v>1.5493064852379321</c:v>
                </c:pt>
                <c:pt idx="85">
                  <c:v>-0.48524878065117827</c:v>
                </c:pt>
                <c:pt idx="86">
                  <c:v>2.1482484164847606</c:v>
                </c:pt>
                <c:pt idx="87">
                  <c:v>0.81788138859324699</c:v>
                </c:pt>
                <c:pt idx="88">
                  <c:v>-0.43667470106104739</c:v>
                </c:pt>
                <c:pt idx="89">
                  <c:v>-1.6858476314655741</c:v>
                </c:pt>
                <c:pt idx="90">
                  <c:v>0.21647849552096321</c:v>
                </c:pt>
                <c:pt idx="91">
                  <c:v>-0.59839080668008848</c:v>
                </c:pt>
                <c:pt idx="92">
                  <c:v>0.51193695824392504</c:v>
                </c:pt>
                <c:pt idx="93">
                  <c:v>5.1226442033603039</c:v>
                </c:pt>
                <c:pt idx="94">
                  <c:v>-0.1923599839905048</c:v>
                </c:pt>
                <c:pt idx="95">
                  <c:v>2.678848850401558</c:v>
                </c:pt>
                <c:pt idx="96">
                  <c:v>2.5831099167653351</c:v>
                </c:pt>
                <c:pt idx="97">
                  <c:v>-1.9504871097647247</c:v>
                </c:pt>
                <c:pt idx="98">
                  <c:v>-0.42598806656840393</c:v>
                </c:pt>
                <c:pt idx="99">
                  <c:v>-0.74150162964241662</c:v>
                </c:pt>
                <c:pt idx="100">
                  <c:v>2.5987543400345454</c:v>
                </c:pt>
                <c:pt idx="101">
                  <c:v>-1.633167287594441</c:v>
                </c:pt>
                <c:pt idx="102">
                  <c:v>-4.042370877273834</c:v>
                </c:pt>
                <c:pt idx="103">
                  <c:v>-0.57324174235993519</c:v>
                </c:pt>
                <c:pt idx="104">
                  <c:v>-2.7331993889600894</c:v>
                </c:pt>
                <c:pt idx="105">
                  <c:v>2.0565284655795044</c:v>
                </c:pt>
                <c:pt idx="106">
                  <c:v>-2.8276305391006238</c:v>
                </c:pt>
                <c:pt idx="107">
                  <c:v>-2.8934978345558138</c:v>
                </c:pt>
                <c:pt idx="108">
                  <c:v>-0.34406159722718321</c:v>
                </c:pt>
                <c:pt idx="109">
                  <c:v>1.1179635879331002</c:v>
                </c:pt>
                <c:pt idx="110">
                  <c:v>-1.2513162086285827</c:v>
                </c:pt>
                <c:pt idx="111">
                  <c:v>1.7843822511214549</c:v>
                </c:pt>
                <c:pt idx="112">
                  <c:v>-1.2097770595162372</c:v>
                </c:pt>
                <c:pt idx="113">
                  <c:v>0.74163677149853147</c:v>
                </c:pt>
                <c:pt idx="114">
                  <c:v>-1.0684131198453422</c:v>
                </c:pt>
                <c:pt idx="115">
                  <c:v>0.10301454239281624</c:v>
                </c:pt>
                <c:pt idx="116">
                  <c:v>0.66044054268185937</c:v>
                </c:pt>
                <c:pt idx="117">
                  <c:v>-0.42019749827955866</c:v>
                </c:pt>
                <c:pt idx="118">
                  <c:v>1.2227909098714345</c:v>
                </c:pt>
                <c:pt idx="119">
                  <c:v>1.2629809085332515</c:v>
                </c:pt>
                <c:pt idx="120">
                  <c:v>5.3165940383955057E-2</c:v>
                </c:pt>
                <c:pt idx="121">
                  <c:v>-1.7248780524625622</c:v>
                </c:pt>
                <c:pt idx="122">
                  <c:v>-1.4301345820744775</c:v>
                </c:pt>
                <c:pt idx="123">
                  <c:v>-0.70468408338869626</c:v>
                </c:pt>
                <c:pt idx="124">
                  <c:v>1.6658574046216552</c:v>
                </c:pt>
                <c:pt idx="125">
                  <c:v>-2.8948077279465458</c:v>
                </c:pt>
                <c:pt idx="126">
                  <c:v>1.9629564363195988</c:v>
                </c:pt>
                <c:pt idx="127">
                  <c:v>-0.82964709737954623</c:v>
                </c:pt>
                <c:pt idx="128">
                  <c:v>-1.4925362391028929</c:v>
                </c:pt>
                <c:pt idx="129">
                  <c:v>-1.170039001249543</c:v>
                </c:pt>
                <c:pt idx="130">
                  <c:v>0.34083260700348017</c:v>
                </c:pt>
                <c:pt idx="131">
                  <c:v>-4.5287028122983325E-2</c:v>
                </c:pt>
                <c:pt idx="132">
                  <c:v>1.9745829686317093</c:v>
                </c:pt>
                <c:pt idx="133">
                  <c:v>3.5036576785989411</c:v>
                </c:pt>
                <c:pt idx="134">
                  <c:v>-3.519776234995255</c:v>
                </c:pt>
                <c:pt idx="135">
                  <c:v>-0.72230664392597965</c:v>
                </c:pt>
                <c:pt idx="136">
                  <c:v>-1.0486766158854288</c:v>
                </c:pt>
                <c:pt idx="137">
                  <c:v>-2.4230057902458024</c:v>
                </c:pt>
                <c:pt idx="138">
                  <c:v>0.53792822363359816</c:v>
                </c:pt>
                <c:pt idx="139">
                  <c:v>0.25905033012277223</c:v>
                </c:pt>
                <c:pt idx="140">
                  <c:v>0.84532618283754535</c:v>
                </c:pt>
                <c:pt idx="141">
                  <c:v>4.7074461822565592</c:v>
                </c:pt>
                <c:pt idx="142">
                  <c:v>0.76559075482487615</c:v>
                </c:pt>
                <c:pt idx="143">
                  <c:v>1.9184648765837884</c:v>
                </c:pt>
                <c:pt idx="144">
                  <c:v>-0.67990966975180456</c:v>
                </c:pt>
                <c:pt idx="145">
                  <c:v>-0.18240921588377207</c:v>
                </c:pt>
                <c:pt idx="146">
                  <c:v>-1.572159416669601E-2</c:v>
                </c:pt>
                <c:pt idx="147">
                  <c:v>1.459857910388386</c:v>
                </c:pt>
                <c:pt idx="148">
                  <c:v>-1.5023684727875948</c:v>
                </c:pt>
                <c:pt idx="149">
                  <c:v>2.2126488327149545</c:v>
                </c:pt>
                <c:pt idx="150">
                  <c:v>-2.7893306526456483</c:v>
                </c:pt>
                <c:pt idx="151">
                  <c:v>1.2456017063991263</c:v>
                </c:pt>
                <c:pt idx="152">
                  <c:v>-2.6599982856521094</c:v>
                </c:pt>
                <c:pt idx="153">
                  <c:v>0.3959608461372669</c:v>
                </c:pt>
                <c:pt idx="154">
                  <c:v>-1.0715291191357039</c:v>
                </c:pt>
                <c:pt idx="155">
                  <c:v>-2.6781887494287471</c:v>
                </c:pt>
                <c:pt idx="156">
                  <c:v>-1.8117766884108448</c:v>
                </c:pt>
                <c:pt idx="157">
                  <c:v>-0.7202525946670344</c:v>
                </c:pt>
                <c:pt idx="158">
                  <c:v>-0.71467461423284417</c:v>
                </c:pt>
                <c:pt idx="159">
                  <c:v>1.3578616398848089</c:v>
                </c:pt>
                <c:pt idx="160">
                  <c:v>-2.5631766850715962</c:v>
                </c:pt>
                <c:pt idx="161">
                  <c:v>3.5104630585524346</c:v>
                </c:pt>
                <c:pt idx="162">
                  <c:v>0.4522455190222458</c:v>
                </c:pt>
                <c:pt idx="163">
                  <c:v>2.2104341500283962</c:v>
                </c:pt>
                <c:pt idx="164">
                  <c:v>2.7512617687317604</c:v>
                </c:pt>
                <c:pt idx="165">
                  <c:v>8.1800947013983216E-2</c:v>
                </c:pt>
                <c:pt idx="166">
                  <c:v>-1.3516352087794181</c:v>
                </c:pt>
                <c:pt idx="167">
                  <c:v>-4.1032355656697064</c:v>
                </c:pt>
                <c:pt idx="168">
                  <c:v>8.0567899552701778</c:v>
                </c:pt>
                <c:pt idx="169">
                  <c:v>-2.4701561922449358</c:v>
                </c:pt>
                <c:pt idx="170">
                  <c:v>0.61529053587363025</c:v>
                </c:pt>
                <c:pt idx="171">
                  <c:v>0.43667784430310341</c:v>
                </c:pt>
                <c:pt idx="172">
                  <c:v>-0.29715251786384156</c:v>
                </c:pt>
                <c:pt idx="173">
                  <c:v>1.7805521489992981</c:v>
                </c:pt>
                <c:pt idx="174">
                  <c:v>1.6170682841481894</c:v>
                </c:pt>
                <c:pt idx="175">
                  <c:v>0.88949323362613963</c:v>
                </c:pt>
                <c:pt idx="176">
                  <c:v>2.2593048131439897</c:v>
                </c:pt>
                <c:pt idx="177">
                  <c:v>-1.7077063914570518</c:v>
                </c:pt>
                <c:pt idx="178">
                  <c:v>0.31430691118836118</c:v>
                </c:pt>
                <c:pt idx="179">
                  <c:v>1.0871116996510124</c:v>
                </c:pt>
                <c:pt idx="180">
                  <c:v>0.88503391981527579</c:v>
                </c:pt>
                <c:pt idx="181">
                  <c:v>-1.9935368578533619</c:v>
                </c:pt>
                <c:pt idx="182">
                  <c:v>4.4827153178738604</c:v>
                </c:pt>
                <c:pt idx="183">
                  <c:v>0.85005854501904543</c:v>
                </c:pt>
                <c:pt idx="184">
                  <c:v>1.0394534239310831</c:v>
                </c:pt>
                <c:pt idx="185">
                  <c:v>1.3474446413744818</c:v>
                </c:pt>
                <c:pt idx="186">
                  <c:v>-2.055111692361411E-2</c:v>
                </c:pt>
                <c:pt idx="187">
                  <c:v>-1.8448661665764772</c:v>
                </c:pt>
                <c:pt idx="188">
                  <c:v>1.9635111695156329</c:v>
                </c:pt>
                <c:pt idx="189">
                  <c:v>-0.54835060071192032</c:v>
                </c:pt>
                <c:pt idx="190">
                  <c:v>1.8718699641222816</c:v>
                </c:pt>
                <c:pt idx="191">
                  <c:v>-0.20131870659035214</c:v>
                </c:pt>
                <c:pt idx="192">
                  <c:v>-0.67362109409213555</c:v>
                </c:pt>
                <c:pt idx="193">
                  <c:v>1.0513520721011562</c:v>
                </c:pt>
                <c:pt idx="194">
                  <c:v>-1.3961036239315647</c:v>
                </c:pt>
                <c:pt idx="195">
                  <c:v>2.3783263082630857</c:v>
                </c:pt>
                <c:pt idx="196">
                  <c:v>-2.1163075602041692</c:v>
                </c:pt>
                <c:pt idx="197">
                  <c:v>0.43383231551255452</c:v>
                </c:pt>
                <c:pt idx="198">
                  <c:v>-0.62642566347317907</c:v>
                </c:pt>
                <c:pt idx="199">
                  <c:v>3.0319229931500074</c:v>
                </c:pt>
                <c:pt idx="200">
                  <c:v>0.95128395543350375</c:v>
                </c:pt>
                <c:pt idx="201">
                  <c:v>1.025627297593777</c:v>
                </c:pt>
                <c:pt idx="202">
                  <c:v>0.53751826082436849</c:v>
                </c:pt>
                <c:pt idx="203">
                  <c:v>3.0678119979865643</c:v>
                </c:pt>
                <c:pt idx="204">
                  <c:v>2.5551393327360308</c:v>
                </c:pt>
                <c:pt idx="205">
                  <c:v>3.2377095061578656</c:v>
                </c:pt>
                <c:pt idx="206">
                  <c:v>-1.5010542055257905</c:v>
                </c:pt>
                <c:pt idx="207">
                  <c:v>2.7797092954541469E-2</c:v>
                </c:pt>
                <c:pt idx="208">
                  <c:v>-3.5703472237472376</c:v>
                </c:pt>
                <c:pt idx="209">
                  <c:v>0.75377476890591977</c:v>
                </c:pt>
                <c:pt idx="210">
                  <c:v>-2.6301140070872342</c:v>
                </c:pt>
                <c:pt idx="211">
                  <c:v>-1.8885704943545303</c:v>
                </c:pt>
                <c:pt idx="212">
                  <c:v>2.3802139853696085</c:v>
                </c:pt>
                <c:pt idx="213">
                  <c:v>-3.7339195225162722</c:v>
                </c:pt>
                <c:pt idx="214">
                  <c:v>0.73980968207046516</c:v>
                </c:pt>
                <c:pt idx="215">
                  <c:v>0.32004875553062939</c:v>
                </c:pt>
                <c:pt idx="216">
                  <c:v>1.3622272548324523</c:v>
                </c:pt>
                <c:pt idx="217">
                  <c:v>1.836736509053202</c:v>
                </c:pt>
                <c:pt idx="218">
                  <c:v>1.241294775028011</c:v>
                </c:pt>
                <c:pt idx="219">
                  <c:v>-0.52157829899874086</c:v>
                </c:pt>
                <c:pt idx="220">
                  <c:v>5.109871698987245E-4</c:v>
                </c:pt>
                <c:pt idx="221">
                  <c:v>-1.856657776175926</c:v>
                </c:pt>
                <c:pt idx="222">
                  <c:v>0.43740357922566286</c:v>
                </c:pt>
                <c:pt idx="223">
                  <c:v>-0.27516895636559147</c:v>
                </c:pt>
                <c:pt idx="224">
                  <c:v>2.4700388399541664</c:v>
                </c:pt>
                <c:pt idx="225">
                  <c:v>-1.1565872554264387</c:v>
                </c:pt>
                <c:pt idx="226">
                  <c:v>1.0554255463025264</c:v>
                </c:pt>
                <c:pt idx="227">
                  <c:v>-1.6114188177784872E-4</c:v>
                </c:pt>
                <c:pt idx="228">
                  <c:v>1.4358284861294073</c:v>
                </c:pt>
                <c:pt idx="229">
                  <c:v>-2.5839775677838714</c:v>
                </c:pt>
                <c:pt idx="230">
                  <c:v>-0.11797951516557603</c:v>
                </c:pt>
                <c:pt idx="231">
                  <c:v>5.5728311714228562</c:v>
                </c:pt>
                <c:pt idx="232">
                  <c:v>1.2642694957687364</c:v>
                </c:pt>
                <c:pt idx="233">
                  <c:v>-3.0713684834211934</c:v>
                </c:pt>
                <c:pt idx="234">
                  <c:v>-0.10948565712203409</c:v>
                </c:pt>
                <c:pt idx="235">
                  <c:v>0.10724269222832383</c:v>
                </c:pt>
                <c:pt idx="236">
                  <c:v>-1.2252418110987786</c:v>
                </c:pt>
                <c:pt idx="237">
                  <c:v>-1.8071699598991091</c:v>
                </c:pt>
                <c:pt idx="238">
                  <c:v>6.2138674836753225</c:v>
                </c:pt>
                <c:pt idx="239">
                  <c:v>-1.8228498055419928</c:v>
                </c:pt>
                <c:pt idx="240">
                  <c:v>4.2596083938306606E-4</c:v>
                </c:pt>
                <c:pt idx="241">
                  <c:v>-3.241590177261374</c:v>
                </c:pt>
                <c:pt idx="242">
                  <c:v>0.10681222283690228</c:v>
                </c:pt>
                <c:pt idx="243">
                  <c:v>-1.8804127477554833</c:v>
                </c:pt>
                <c:pt idx="244">
                  <c:v>1.7516177475481833</c:v>
                </c:pt>
                <c:pt idx="245">
                  <c:v>0.94255268221384414</c:v>
                </c:pt>
                <c:pt idx="246">
                  <c:v>-0.1996024512418661</c:v>
                </c:pt>
                <c:pt idx="247">
                  <c:v>6.7637232067925357</c:v>
                </c:pt>
                <c:pt idx="248">
                  <c:v>-0.37387046659027989</c:v>
                </c:pt>
                <c:pt idx="249">
                  <c:v>-3.1051913221935652</c:v>
                </c:pt>
                <c:pt idx="250">
                  <c:v>5.7529840593996981</c:v>
                </c:pt>
                <c:pt idx="251">
                  <c:v>-4.9292997516194745</c:v>
                </c:pt>
                <c:pt idx="252">
                  <c:v>1.6806936144348716</c:v>
                </c:pt>
                <c:pt idx="253">
                  <c:v>-6.4846959837624016</c:v>
                </c:pt>
                <c:pt idx="254">
                  <c:v>2.3538335314402055</c:v>
                </c:pt>
                <c:pt idx="255">
                  <c:v>1.6828266457147276</c:v>
                </c:pt>
                <c:pt idx="256">
                  <c:v>-0.69272918711206344</c:v>
                </c:pt>
                <c:pt idx="257">
                  <c:v>5.6674924770481674</c:v>
                </c:pt>
                <c:pt idx="258">
                  <c:v>-4.7585080719554149</c:v>
                </c:pt>
                <c:pt idx="259">
                  <c:v>1.219132733065357</c:v>
                </c:pt>
                <c:pt idx="260">
                  <c:v>-2.1124826677786781</c:v>
                </c:pt>
                <c:pt idx="261">
                  <c:v>2.620373068869347</c:v>
                </c:pt>
                <c:pt idx="262">
                  <c:v>4.9538073157483291</c:v>
                </c:pt>
                <c:pt idx="263">
                  <c:v>-3.4852792553528866</c:v>
                </c:pt>
                <c:pt idx="264">
                  <c:v>2.2975625742473973</c:v>
                </c:pt>
                <c:pt idx="265">
                  <c:v>-2.9691042832145702</c:v>
                </c:pt>
                <c:pt idx="266">
                  <c:v>9.7092388658420603</c:v>
                </c:pt>
                <c:pt idx="267">
                  <c:v>-3.8866171907745999</c:v>
                </c:pt>
                <c:pt idx="268">
                  <c:v>-0.58543891619649813</c:v>
                </c:pt>
                <c:pt idx="269">
                  <c:v>0.82010244221365158</c:v>
                </c:pt>
                <c:pt idx="270">
                  <c:v>2.255577197858837</c:v>
                </c:pt>
                <c:pt idx="271">
                  <c:v>-1.6224276291825479</c:v>
                </c:pt>
                <c:pt idx="272">
                  <c:v>-3.5398612830849681</c:v>
                </c:pt>
                <c:pt idx="273">
                  <c:v>7.6583498167221933</c:v>
                </c:pt>
                <c:pt idx="274">
                  <c:v>-1.6854027969736878</c:v>
                </c:pt>
                <c:pt idx="275">
                  <c:v>2.7738087356263201</c:v>
                </c:pt>
                <c:pt idx="276">
                  <c:v>-2.0000023574467902</c:v>
                </c:pt>
                <c:pt idx="277">
                  <c:v>2.9181231205890308</c:v>
                </c:pt>
                <c:pt idx="278">
                  <c:v>0.45180475188014302</c:v>
                </c:pt>
                <c:pt idx="279">
                  <c:v>-5.2640980400829784</c:v>
                </c:pt>
                <c:pt idx="280">
                  <c:v>2.6950739546529081</c:v>
                </c:pt>
                <c:pt idx="281">
                  <c:v>-0.83789761809863417</c:v>
                </c:pt>
                <c:pt idx="282">
                  <c:v>5.3762791909483525</c:v>
                </c:pt>
                <c:pt idx="283">
                  <c:v>-1.6667990321121509</c:v>
                </c:pt>
                <c:pt idx="284">
                  <c:v>-4.8123596497144171E-2</c:v>
                </c:pt>
                <c:pt idx="285">
                  <c:v>-0.8745917313017777</c:v>
                </c:pt>
                <c:pt idx="286">
                  <c:v>-0.48692139694326919</c:v>
                </c:pt>
                <c:pt idx="287">
                  <c:v>1.169886317264653</c:v>
                </c:pt>
                <c:pt idx="288">
                  <c:v>-0.70425542161496235</c:v>
                </c:pt>
                <c:pt idx="289">
                  <c:v>7.4257231980643397</c:v>
                </c:pt>
                <c:pt idx="290">
                  <c:v>-2.1497403940239086</c:v>
                </c:pt>
                <c:pt idx="291">
                  <c:v>4.9778911969455377</c:v>
                </c:pt>
                <c:pt idx="292">
                  <c:v>-4.1807924859262213</c:v>
                </c:pt>
                <c:pt idx="293">
                  <c:v>-0.36610096517040636</c:v>
                </c:pt>
                <c:pt idx="294">
                  <c:v>9.2505173202985258</c:v>
                </c:pt>
                <c:pt idx="295">
                  <c:v>-1.9068180245580892</c:v>
                </c:pt>
                <c:pt idx="296">
                  <c:v>0.75798549570470242</c:v>
                </c:pt>
                <c:pt idx="297">
                  <c:v>-1.8852101821758547</c:v>
                </c:pt>
                <c:pt idx="298">
                  <c:v>0.96288368203699193</c:v>
                </c:pt>
                <c:pt idx="299">
                  <c:v>2.2795294756658118</c:v>
                </c:pt>
                <c:pt idx="300">
                  <c:v>-2.9266351720962671</c:v>
                </c:pt>
                <c:pt idx="301">
                  <c:v>6.1689763892304077</c:v>
                </c:pt>
                <c:pt idx="302">
                  <c:v>-1.9698920154503372</c:v>
                </c:pt>
                <c:pt idx="303">
                  <c:v>9.2700269360450616E-3</c:v>
                </c:pt>
                <c:pt idx="304">
                  <c:v>1.7423790316840653</c:v>
                </c:pt>
                <c:pt idx="305">
                  <c:v>1.7256442036631283</c:v>
                </c:pt>
                <c:pt idx="306">
                  <c:v>1.9978045529051958</c:v>
                </c:pt>
                <c:pt idx="307">
                  <c:v>1.9678158726797876</c:v>
                </c:pt>
                <c:pt idx="308">
                  <c:v>-1.1311055506587899</c:v>
                </c:pt>
                <c:pt idx="309">
                  <c:v>2.0623586306555377</c:v>
                </c:pt>
                <c:pt idx="310">
                  <c:v>-1.5860524437537542</c:v>
                </c:pt>
                <c:pt idx="311">
                  <c:v>5.3558279154764472</c:v>
                </c:pt>
                <c:pt idx="312">
                  <c:v>-0.48460136551849065</c:v>
                </c:pt>
                <c:pt idx="313">
                  <c:v>2.6771098078713282</c:v>
                </c:pt>
                <c:pt idx="314">
                  <c:v>-5.5965153963650751</c:v>
                </c:pt>
                <c:pt idx="315">
                  <c:v>2.6532119963110912</c:v>
                </c:pt>
                <c:pt idx="316">
                  <c:v>-1.3187378344200285</c:v>
                </c:pt>
                <c:pt idx="317">
                  <c:v>-0.23973275522264789</c:v>
                </c:pt>
                <c:pt idx="318">
                  <c:v>-3.0227139090771029</c:v>
                </c:pt>
                <c:pt idx="319">
                  <c:v>-3.2201095789890832</c:v>
                </c:pt>
                <c:pt idx="320">
                  <c:v>5.536004954119397</c:v>
                </c:pt>
                <c:pt idx="321">
                  <c:v>-4.6787254035286399</c:v>
                </c:pt>
                <c:pt idx="322">
                  <c:v>5.3149655620793483</c:v>
                </c:pt>
                <c:pt idx="323">
                  <c:v>-2.619515258002894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05168"/>
        <c:axId val="620805952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cc_high_end!$I$13:$I$336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cc_high_end!$K$13:$K$336</c:f>
              <c:numCache>
                <c:formatCode>General</c:formatCode>
                <c:ptCount val="324"/>
                <c:pt idx="0">
                  <c:v>-1.0940839922270782</c:v>
                </c:pt>
                <c:pt idx="1">
                  <c:v>-1.2340135279546285</c:v>
                </c:pt>
                <c:pt idx="2">
                  <c:v>2.8419404194037945</c:v>
                </c:pt>
                <c:pt idx="3">
                  <c:v>-4.6719972710153916</c:v>
                </c:pt>
                <c:pt idx="4">
                  <c:v>4.9573614578453586</c:v>
                </c:pt>
                <c:pt idx="5">
                  <c:v>-4.2397872782245729</c:v>
                </c:pt>
                <c:pt idx="6">
                  <c:v>2.8448867287252537</c:v>
                </c:pt>
                <c:pt idx="7">
                  <c:v>1.1055742271776942E-2</c:v>
                </c:pt>
                <c:pt idx="8">
                  <c:v>-2.240910000324138</c:v>
                </c:pt>
                <c:pt idx="9">
                  <c:v>4.2217896566583546</c:v>
                </c:pt>
                <c:pt idx="10">
                  <c:v>-5.1787936288078269</c:v>
                </c:pt>
                <c:pt idx="11">
                  <c:v>4.022808300001441</c:v>
                </c:pt>
                <c:pt idx="12">
                  <c:v>-2.3559250661999434</c:v>
                </c:pt>
                <c:pt idx="13">
                  <c:v>-0.55156094076132178</c:v>
                </c:pt>
                <c:pt idx="14">
                  <c:v>3.2469868107781603</c:v>
                </c:pt>
                <c:pt idx="15">
                  <c:v>-4.503558922514606</c:v>
                </c:pt>
                <c:pt idx="16">
                  <c:v>5.0646798169225384</c:v>
                </c:pt>
                <c:pt idx="17">
                  <c:v>-3.4473611785627059</c:v>
                </c:pt>
                <c:pt idx="18">
                  <c:v>1.0713246052424747</c:v>
                </c:pt>
                <c:pt idx="19">
                  <c:v>1.3460213406334898</c:v>
                </c:pt>
                <c:pt idx="20">
                  <c:v>-3.9697072554059343</c:v>
                </c:pt>
                <c:pt idx="21">
                  <c:v>4.7613908861490142</c:v>
                </c:pt>
                <c:pt idx="22">
                  <c:v>-4.7430114805820365</c:v>
                </c:pt>
                <c:pt idx="23">
                  <c:v>3.5821332678598843</c:v>
                </c:pt>
                <c:pt idx="24">
                  <c:v>-1.1144943799203175</c:v>
                </c:pt>
                <c:pt idx="25">
                  <c:v>-0.80966103932207956</c:v>
                </c:pt>
                <c:pt idx="26">
                  <c:v>3.1086702660440051</c:v>
                </c:pt>
                <c:pt idx="27">
                  <c:v>-4.5462329104916144</c:v>
                </c:pt>
                <c:pt idx="28">
                  <c:v>4.787468299325436</c:v>
                </c:pt>
                <c:pt idx="29">
                  <c:v>-4.8799665081841237</c:v>
                </c:pt>
                <c:pt idx="30">
                  <c:v>3.4851847387445494</c:v>
                </c:pt>
                <c:pt idx="31">
                  <c:v>-2.002739198179333</c:v>
                </c:pt>
                <c:pt idx="32">
                  <c:v>0.3926248067335763</c:v>
                </c:pt>
                <c:pt idx="33">
                  <c:v>1.7945878129148816</c:v>
                </c:pt>
                <c:pt idx="34">
                  <c:v>-2.9551996279065573</c:v>
                </c:pt>
                <c:pt idx="35">
                  <c:v>4.3049265211910566</c:v>
                </c:pt>
                <c:pt idx="36">
                  <c:v>-5.0133049942214605</c:v>
                </c:pt>
                <c:pt idx="37">
                  <c:v>4.7369471434405046</c:v>
                </c:pt>
                <c:pt idx="38">
                  <c:v>-4.6456139760864854</c:v>
                </c:pt>
                <c:pt idx="39">
                  <c:v>3.3232863909889776</c:v>
                </c:pt>
                <c:pt idx="40">
                  <c:v>-1.9451910767893394</c:v>
                </c:pt>
                <c:pt idx="41">
                  <c:v>0.50982883933737</c:v>
                </c:pt>
                <c:pt idx="42">
                  <c:v>1.6403507746119494</c:v>
                </c:pt>
                <c:pt idx="43">
                  <c:v>-2.8652687821385721</c:v>
                </c:pt>
                <c:pt idx="44">
                  <c:v>4.2672842352629354</c:v>
                </c:pt>
                <c:pt idx="45">
                  <c:v>-5.0630528060171489</c:v>
                </c:pt>
                <c:pt idx="46">
                  <c:v>4.6537286897108165</c:v>
                </c:pt>
                <c:pt idx="47">
                  <c:v>-4.2306918920271706</c:v>
                </c:pt>
                <c:pt idx="48">
                  <c:v>2.4013689082511451</c:v>
                </c:pt>
                <c:pt idx="49">
                  <c:v>-0.33620282140224378</c:v>
                </c:pt>
                <c:pt idx="50">
                  <c:v>-1.5987302726324615</c:v>
                </c:pt>
                <c:pt idx="51">
                  <c:v>3.9159676590181283</c:v>
                </c:pt>
                <c:pt idx="52">
                  <c:v>-4.6966055160080034</c:v>
                </c:pt>
                <c:pt idx="53">
                  <c:v>4.8458266665577616</c:v>
                </c:pt>
                <c:pt idx="54">
                  <c:v>-3.8333818720519672</c:v>
                </c:pt>
                <c:pt idx="55">
                  <c:v>1.2874251669394701</c:v>
                </c:pt>
                <c:pt idx="56">
                  <c:v>0.92961243828480855</c:v>
                </c:pt>
                <c:pt idx="57">
                  <c:v>-3.5170257977380963</c:v>
                </c:pt>
                <c:pt idx="58">
                  <c:v>4.9359891101172986</c:v>
                </c:pt>
                <c:pt idx="59">
                  <c:v>-4.5669622918874149</c:v>
                </c:pt>
                <c:pt idx="60">
                  <c:v>3.4668088693000541</c:v>
                </c:pt>
                <c:pt idx="61">
                  <c:v>-0.60668928847452641</c:v>
                </c:pt>
                <c:pt idx="62">
                  <c:v>-2.0744138186960033</c:v>
                </c:pt>
                <c:pt idx="63">
                  <c:v>3.989853906446271</c:v>
                </c:pt>
                <c:pt idx="64">
                  <c:v>-5.2196506067622828</c:v>
                </c:pt>
                <c:pt idx="65">
                  <c:v>4.142847524901045</c:v>
                </c:pt>
                <c:pt idx="66">
                  <c:v>-2.3840946703764199</c:v>
                </c:pt>
                <c:pt idx="67">
                  <c:v>-0.13333830759090975</c:v>
                </c:pt>
                <c:pt idx="68">
                  <c:v>2.9639743323876671</c:v>
                </c:pt>
                <c:pt idx="69">
                  <c:v>-4.2563894595805785</c:v>
                </c:pt>
                <c:pt idx="70">
                  <c:v>5.0884446028907631</c:v>
                </c:pt>
                <c:pt idx="71">
                  <c:v>-4.3612904640760686</c:v>
                </c:pt>
                <c:pt idx="72">
                  <c:v>2.4524981850223608</c:v>
                </c:pt>
                <c:pt idx="73">
                  <c:v>-0.67389505049668197</c:v>
                </c:pt>
                <c:pt idx="74">
                  <c:v>-1.9123325838897764</c:v>
                </c:pt>
                <c:pt idx="75">
                  <c:v>3.5652533764179073</c:v>
                </c:pt>
                <c:pt idx="76">
                  <c:v>-4.5482299772408155</c:v>
                </c:pt>
                <c:pt idx="77">
                  <c:v>5.2104135246984278</c:v>
                </c:pt>
                <c:pt idx="78">
                  <c:v>-4.3112405332620529</c:v>
                </c:pt>
                <c:pt idx="79">
                  <c:v>3.4456745139964697</c:v>
                </c:pt>
                <c:pt idx="80">
                  <c:v>-1.8905567311940257</c:v>
                </c:pt>
                <c:pt idx="81">
                  <c:v>-0.15348950013135504</c:v>
                </c:pt>
                <c:pt idx="82">
                  <c:v>1.4683169882385343</c:v>
                </c:pt>
                <c:pt idx="83">
                  <c:v>-3.3168928769450807</c:v>
                </c:pt>
                <c:pt idx="84">
                  <c:v>4.3100995465986189</c:v>
                </c:pt>
                <c:pt idx="85">
                  <c:v>-4.7415427851963132</c:v>
                </c:pt>
                <c:pt idx="86">
                  <c:v>5.1710277093878148</c:v>
                </c:pt>
                <c:pt idx="87">
                  <c:v>-4.2495884584268255</c:v>
                </c:pt>
                <c:pt idx="88">
                  <c:v>3.4401955913344291</c:v>
                </c:pt>
                <c:pt idx="89">
                  <c:v>-2.0361856841951798</c:v>
                </c:pt>
                <c:pt idx="90">
                  <c:v>-2.7684467144007824E-3</c:v>
                </c:pt>
                <c:pt idx="91">
                  <c:v>1.3762362661789955</c:v>
                </c:pt>
                <c:pt idx="92">
                  <c:v>-3.3229854796997227</c:v>
                </c:pt>
                <c:pt idx="93">
                  <c:v>4.4574826112164203</c:v>
                </c:pt>
                <c:pt idx="94">
                  <c:v>-4.8036019945366473</c:v>
                </c:pt>
                <c:pt idx="95">
                  <c:v>4.9617015231498183</c:v>
                </c:pt>
                <c:pt idx="96">
                  <c:v>-3.4919024960893084</c:v>
                </c:pt>
                <c:pt idx="97">
                  <c:v>1.8779203998205232</c:v>
                </c:pt>
                <c:pt idx="98">
                  <c:v>0.25641859091257546</c:v>
                </c:pt>
                <c:pt idx="99">
                  <c:v>-2.8161113879756803</c:v>
                </c:pt>
                <c:pt idx="100">
                  <c:v>4.088896817432695</c:v>
                </c:pt>
                <c:pt idx="101">
                  <c:v>-5.084690956903076</c:v>
                </c:pt>
                <c:pt idx="102">
                  <c:v>4.5125810499197518</c:v>
                </c:pt>
                <c:pt idx="103">
                  <c:v>-2.5215874704189405</c:v>
                </c:pt>
                <c:pt idx="104">
                  <c:v>0.41113374766902516</c:v>
                </c:pt>
                <c:pt idx="105">
                  <c:v>2.5720722246600825</c:v>
                </c:pt>
                <c:pt idx="106">
                  <c:v>-4.3545520903868917</c:v>
                </c:pt>
                <c:pt idx="107">
                  <c:v>4.8481806237125129</c:v>
                </c:pt>
                <c:pt idx="108">
                  <c:v>-4.3211152439533143</c:v>
                </c:pt>
                <c:pt idx="109">
                  <c:v>1.7442911118956204</c:v>
                </c:pt>
                <c:pt idx="110">
                  <c:v>0.76375789045477793</c:v>
                </c:pt>
                <c:pt idx="111">
                  <c:v>-3.2478760523509274</c:v>
                </c:pt>
                <c:pt idx="112">
                  <c:v>5.0022803318164222</c:v>
                </c:pt>
                <c:pt idx="113">
                  <c:v>-4.5951814680701766</c:v>
                </c:pt>
                <c:pt idx="114">
                  <c:v>3.5372188257305601</c:v>
                </c:pt>
                <c:pt idx="115">
                  <c:v>-1.076238234542952</c:v>
                </c:pt>
                <c:pt idx="116">
                  <c:v>-1.7095832165405467</c:v>
                </c:pt>
                <c:pt idx="117">
                  <c:v>3.4671039265780901</c:v>
                </c:pt>
                <c:pt idx="118">
                  <c:v>-5.0350831033731591</c:v>
                </c:pt>
                <c:pt idx="119">
                  <c:v>4.7941035696994314</c:v>
                </c:pt>
                <c:pt idx="120">
                  <c:v>-3.6251560532461267</c:v>
                </c:pt>
                <c:pt idx="121">
                  <c:v>2.0793468394773371</c:v>
                </c:pt>
                <c:pt idx="122">
                  <c:v>0.51869146768618202</c:v>
                </c:pt>
                <c:pt idx="123">
                  <c:v>-2.2540841639093201</c:v>
                </c:pt>
                <c:pt idx="124">
                  <c:v>3.8956570308545655</c:v>
                </c:pt>
                <c:pt idx="125">
                  <c:v>-5.0068430967187521</c:v>
                </c:pt>
                <c:pt idx="126">
                  <c:v>4.7325042462090368</c:v>
                </c:pt>
                <c:pt idx="127">
                  <c:v>-4.5305779289875607</c:v>
                </c:pt>
                <c:pt idx="128">
                  <c:v>3.1853778383714673</c:v>
                </c:pt>
                <c:pt idx="129">
                  <c:v>-1.5322188375576073</c:v>
                </c:pt>
                <c:pt idx="130">
                  <c:v>0.15785145880813106</c:v>
                </c:pt>
                <c:pt idx="131">
                  <c:v>1.9453313839675208</c:v>
                </c:pt>
                <c:pt idx="132">
                  <c:v>-3.1242598429780379</c:v>
                </c:pt>
                <c:pt idx="133">
                  <c:v>4.2339919633346099</c:v>
                </c:pt>
                <c:pt idx="134">
                  <c:v>-5.094169430984663</c:v>
                </c:pt>
                <c:pt idx="135">
                  <c:v>4.7230233162062794</c:v>
                </c:pt>
                <c:pt idx="136">
                  <c:v>-4.5485331269153058</c:v>
                </c:pt>
                <c:pt idx="137">
                  <c:v>3.3253138759719003</c:v>
                </c:pt>
                <c:pt idx="138">
                  <c:v>-1.6537917788967391</c:v>
                </c:pt>
                <c:pt idx="139">
                  <c:v>0.22538075475886352</c:v>
                </c:pt>
                <c:pt idx="140">
                  <c:v>2.0319100135801991</c:v>
                </c:pt>
                <c:pt idx="141">
                  <c:v>-3.4085184112897093</c:v>
                </c:pt>
                <c:pt idx="142">
                  <c:v>4.514308593397649</c:v>
                </c:pt>
                <c:pt idx="143">
                  <c:v>-5.1989055377569589</c:v>
                </c:pt>
                <c:pt idx="144">
                  <c:v>4.2840321547337883</c:v>
                </c:pt>
                <c:pt idx="145">
                  <c:v>-3.2443439927914581</c:v>
                </c:pt>
                <c:pt idx="146">
                  <c:v>1.080196978137818</c:v>
                </c:pt>
                <c:pt idx="147">
                  <c:v>1.4670976807523677</c:v>
                </c:pt>
                <c:pt idx="148">
                  <c:v>-3.1984319907523551</c:v>
                </c:pt>
                <c:pt idx="149">
                  <c:v>4.9302604673599166</c:v>
                </c:pt>
                <c:pt idx="150">
                  <c:v>-4.8523616651513954</c:v>
                </c:pt>
                <c:pt idx="151">
                  <c:v>3.6020443217127642</c:v>
                </c:pt>
                <c:pt idx="152">
                  <c:v>-1.6834103342989564</c:v>
                </c:pt>
                <c:pt idx="153">
                  <c:v>-1.4375063294238195</c:v>
                </c:pt>
                <c:pt idx="154">
                  <c:v>3.4915739555559844</c:v>
                </c:pt>
                <c:pt idx="155">
                  <c:v>-4.8407705672709813</c:v>
                </c:pt>
                <c:pt idx="156">
                  <c:v>4.8643726580989917</c:v>
                </c:pt>
                <c:pt idx="157">
                  <c:v>-2.8015909621909549</c:v>
                </c:pt>
                <c:pt idx="158">
                  <c:v>0.58558715283873419</c:v>
                </c:pt>
                <c:pt idx="159">
                  <c:v>2.3099799206790133</c:v>
                </c:pt>
                <c:pt idx="160">
                  <c:v>-4.4276919039789089</c:v>
                </c:pt>
                <c:pt idx="161">
                  <c:v>4.7792429237800382</c:v>
                </c:pt>
                <c:pt idx="162">
                  <c:v>-4.4354821442050394</c:v>
                </c:pt>
                <c:pt idx="163">
                  <c:v>2.2144068576940286</c:v>
                </c:pt>
                <c:pt idx="164">
                  <c:v>0.30097435815052415</c:v>
                </c:pt>
                <c:pt idx="165">
                  <c:v>-2.448753082512992</c:v>
                </c:pt>
                <c:pt idx="166">
                  <c:v>4.567450337973666</c:v>
                </c:pt>
                <c:pt idx="167">
                  <c:v>-4.8542709962913921</c:v>
                </c:pt>
                <c:pt idx="168">
                  <c:v>4.5199587736622613</c:v>
                </c:pt>
                <c:pt idx="169">
                  <c:v>-3.28666858443317</c:v>
                </c:pt>
                <c:pt idx="170">
                  <c:v>0.9588301392850842</c:v>
                </c:pt>
                <c:pt idx="171">
                  <c:v>0.74109092741182081</c:v>
                </c:pt>
                <c:pt idx="172">
                  <c:v>-2.8720091910320971</c:v>
                </c:pt>
                <c:pt idx="173">
                  <c:v>4.2865221649868275</c:v>
                </c:pt>
                <c:pt idx="174">
                  <c:v>-4.7029636599234976</c:v>
                </c:pt>
                <c:pt idx="175">
                  <c:v>5.1290806163247575</c:v>
                </c:pt>
                <c:pt idx="176">
                  <c:v>-4.1490969412942871</c:v>
                </c:pt>
                <c:pt idx="177">
                  <c:v>3.0715688470417417</c:v>
                </c:pt>
                <c:pt idx="178">
                  <c:v>-1.7457526323065167</c:v>
                </c:pt>
                <c:pt idx="179">
                  <c:v>-0.33337632940974149</c:v>
                </c:pt>
                <c:pt idx="180">
                  <c:v>1.5987511934548777</c:v>
                </c:pt>
                <c:pt idx="181">
                  <c:v>-3.260962963403029</c:v>
                </c:pt>
                <c:pt idx="182">
                  <c:v>4.428342732108848</c:v>
                </c:pt>
                <c:pt idx="183">
                  <c:v>-4.6977967828703671</c:v>
                </c:pt>
                <c:pt idx="184">
                  <c:v>5.1403408464991029</c:v>
                </c:pt>
                <c:pt idx="185">
                  <c:v>-4.2515544027113084</c:v>
                </c:pt>
                <c:pt idx="186">
                  <c:v>3.1468593567556877</c:v>
                </c:pt>
                <c:pt idx="187">
                  <c:v>-1.7702991253031792</c:v>
                </c:pt>
                <c:pt idx="188">
                  <c:v>-0.51980844402035031</c:v>
                </c:pt>
                <c:pt idx="189">
                  <c:v>2.0392695587870193</c:v>
                </c:pt>
                <c:pt idx="190">
                  <c:v>-3.8110173033870378</c:v>
                </c:pt>
                <c:pt idx="191">
                  <c:v>4.9316588720765386</c:v>
                </c:pt>
                <c:pt idx="192">
                  <c:v>-4.7210569587476972</c:v>
                </c:pt>
                <c:pt idx="193">
                  <c:v>4.3086413480586891</c:v>
                </c:pt>
                <c:pt idx="194">
                  <c:v>-2.3148132445453919</c:v>
                </c:pt>
                <c:pt idx="195">
                  <c:v>1.2910854720515688E-2</c:v>
                </c:pt>
                <c:pt idx="196">
                  <c:v>2.1027047564330283</c:v>
                </c:pt>
                <c:pt idx="197">
                  <c:v>-4.3884148606460167</c:v>
                </c:pt>
                <c:pt idx="198">
                  <c:v>4.8503299123330823</c:v>
                </c:pt>
                <c:pt idx="199">
                  <c:v>-4.4456643707170747</c:v>
                </c:pt>
                <c:pt idx="200">
                  <c:v>2.8037411536360346</c:v>
                </c:pt>
                <c:pt idx="201">
                  <c:v>0.17994366696410122</c:v>
                </c:pt>
                <c:pt idx="202">
                  <c:v>-2.4213827691943512</c:v>
                </c:pt>
                <c:pt idx="203">
                  <c:v>4.5320446950254301</c:v>
                </c:pt>
                <c:pt idx="204">
                  <c:v>-5.069646475908149</c:v>
                </c:pt>
                <c:pt idx="205">
                  <c:v>3.7170983948404528</c:v>
                </c:pt>
                <c:pt idx="206">
                  <c:v>-1.8739329541172027</c:v>
                </c:pt>
                <c:pt idx="207">
                  <c:v>-1.2182495431741551</c:v>
                </c:pt>
                <c:pt idx="208">
                  <c:v>3.5411470550830737</c:v>
                </c:pt>
                <c:pt idx="209">
                  <c:v>-4.6791825947891281</c:v>
                </c:pt>
                <c:pt idx="210">
                  <c:v>5.0036044228514998</c:v>
                </c:pt>
                <c:pt idx="211">
                  <c:v>-3.2161206869295871</c:v>
                </c:pt>
                <c:pt idx="212">
                  <c:v>1.1483390225046257</c:v>
                </c:pt>
                <c:pt idx="213">
                  <c:v>1.2680076313888136</c:v>
                </c:pt>
                <c:pt idx="214">
                  <c:v>-3.7082216869736433</c:v>
                </c:pt>
                <c:pt idx="215">
                  <c:v>4.5425569736653593</c:v>
                </c:pt>
                <c:pt idx="216">
                  <c:v>-5.041159065437439</c:v>
                </c:pt>
                <c:pt idx="217">
                  <c:v>4.1952867984131439</c:v>
                </c:pt>
                <c:pt idx="218">
                  <c:v>-2.388699504515615</c:v>
                </c:pt>
                <c:pt idx="219">
                  <c:v>0.82598876068246563</c:v>
                </c:pt>
                <c:pt idx="220">
                  <c:v>1.5564491002403826</c:v>
                </c:pt>
                <c:pt idx="221">
                  <c:v>-3.1238076994061972</c:v>
                </c:pt>
                <c:pt idx="222">
                  <c:v>4.2159738944966891</c:v>
                </c:pt>
                <c:pt idx="223">
                  <c:v>-5.1662092264478989</c:v>
                </c:pt>
                <c:pt idx="224">
                  <c:v>4.6861575019854662</c:v>
                </c:pt>
                <c:pt idx="225">
                  <c:v>-4.2837844123389734</c:v>
                </c:pt>
                <c:pt idx="226">
                  <c:v>3.1254616607814709</c:v>
                </c:pt>
                <c:pt idx="227">
                  <c:v>-1.3426673465802474</c:v>
                </c:pt>
                <c:pt idx="228">
                  <c:v>8.6823286789100368E-2</c:v>
                </c:pt>
                <c:pt idx="229">
                  <c:v>1.9199502726833335</c:v>
                </c:pt>
                <c:pt idx="230">
                  <c:v>-3.2577139214239983</c:v>
                </c:pt>
                <c:pt idx="231">
                  <c:v>4.1785998250447376</c:v>
                </c:pt>
                <c:pt idx="232">
                  <c:v>-5.147488997037053</c:v>
                </c:pt>
                <c:pt idx="233">
                  <c:v>4.7308365887197752</c:v>
                </c:pt>
                <c:pt idx="234">
                  <c:v>-4.3106025956171505</c:v>
                </c:pt>
                <c:pt idx="235">
                  <c:v>3.1046708654972135</c:v>
                </c:pt>
                <c:pt idx="236">
                  <c:v>-1.063705415305229</c:v>
                </c:pt>
                <c:pt idx="237">
                  <c:v>-0.4995994920636373</c:v>
                </c:pt>
                <c:pt idx="238">
                  <c:v>2.7541140166467879</c:v>
                </c:pt>
                <c:pt idx="239">
                  <c:v>-4.2017636724668534</c:v>
                </c:pt>
                <c:pt idx="240">
                  <c:v>4.7732095870755185</c:v>
                </c:pt>
                <c:pt idx="241">
                  <c:v>-4.9769257283423816</c:v>
                </c:pt>
                <c:pt idx="242">
                  <c:v>3.3642701535676856</c:v>
                </c:pt>
                <c:pt idx="243">
                  <c:v>-1.4937929519844912</c:v>
                </c:pt>
                <c:pt idx="244">
                  <c:v>-0.88487350289990696</c:v>
                </c:pt>
                <c:pt idx="245">
                  <c:v>3.4981896960056655</c:v>
                </c:pt>
                <c:pt idx="246">
                  <c:v>-4.5273315972765857</c:v>
                </c:pt>
                <c:pt idx="247">
                  <c:v>4.9831897984706224</c:v>
                </c:pt>
                <c:pt idx="248">
                  <c:v>-3.7080108899729645</c:v>
                </c:pt>
                <c:pt idx="249">
                  <c:v>1.1202211661831458</c:v>
                </c:pt>
                <c:pt idx="250">
                  <c:v>1.2269016624457312</c:v>
                </c:pt>
                <c:pt idx="251">
                  <c:v>-3.9262196184280849</c:v>
                </c:pt>
                <c:pt idx="252">
                  <c:v>4.9375366874773086</c:v>
                </c:pt>
                <c:pt idx="253">
                  <c:v>-4.4299992812866682</c:v>
                </c:pt>
                <c:pt idx="254">
                  <c:v>3.0105649631600073</c:v>
                </c:pt>
                <c:pt idx="255">
                  <c:v>2.5895791597921131E-2</c:v>
                </c:pt>
                <c:pt idx="256">
                  <c:v>-2.4132282769214175</c:v>
                </c:pt>
                <c:pt idx="257">
                  <c:v>4.290009937806551</c:v>
                </c:pt>
                <c:pt idx="258">
                  <c:v>-5.1941989277588982</c:v>
                </c:pt>
                <c:pt idx="259">
                  <c:v>4.0206357347879118</c:v>
                </c:pt>
                <c:pt idx="260">
                  <c:v>-2.5165235487308251</c:v>
                </c:pt>
                <c:pt idx="261">
                  <c:v>9.5025691686234648E-7</c:v>
                </c:pt>
                <c:pt idx="262">
                  <c:v>2.5192509494656266</c:v>
                </c:pt>
                <c:pt idx="263">
                  <c:v>-3.8852117187743667</c:v>
                </c:pt>
                <c:pt idx="264">
                  <c:v>5.1222579115191484</c:v>
                </c:pt>
                <c:pt idx="265">
                  <c:v>-4.7318021842000126</c:v>
                </c:pt>
                <c:pt idx="266">
                  <c:v>3.6328293333555419</c:v>
                </c:pt>
                <c:pt idx="267">
                  <c:v>-2.2954054813628386</c:v>
                </c:pt>
                <c:pt idx="268">
                  <c:v>-6.1687535235739346E-2</c:v>
                </c:pt>
                <c:pt idx="269">
                  <c:v>1.6421499619826569</c:v>
                </c:pt>
                <c:pt idx="270">
                  <c:v>-3.3072244097871226</c:v>
                </c:pt>
                <c:pt idx="271">
                  <c:v>4.6312327986363604</c:v>
                </c:pt>
                <c:pt idx="272">
                  <c:v>-4.7423248614284388</c:v>
                </c:pt>
                <c:pt idx="273">
                  <c:v>5.0213090433805707</c:v>
                </c:pt>
                <c:pt idx="274">
                  <c:v>-4.1526686199124292</c:v>
                </c:pt>
                <c:pt idx="275">
                  <c:v>2.8926346615027767</c:v>
                </c:pt>
                <c:pt idx="276">
                  <c:v>-1.7386460683043443</c:v>
                </c:pt>
                <c:pt idx="277">
                  <c:v>-0.35063910698432499</c:v>
                </c:pt>
                <c:pt idx="278">
                  <c:v>1.725515390770574</c:v>
                </c:pt>
                <c:pt idx="279">
                  <c:v>-3.2195442993661372</c:v>
                </c:pt>
                <c:pt idx="280">
                  <c:v>4.5717530500161345</c:v>
                </c:pt>
                <c:pt idx="281">
                  <c:v>-4.7262808150864482</c:v>
                </c:pt>
                <c:pt idx="282">
                  <c:v>5.0152790255208481</c:v>
                </c:pt>
                <c:pt idx="283">
                  <c:v>-4.1048750030331327</c:v>
                </c:pt>
                <c:pt idx="284">
                  <c:v>2.5598253083489748</c:v>
                </c:pt>
                <c:pt idx="285">
                  <c:v>-1.052236476770229</c:v>
                </c:pt>
                <c:pt idx="286">
                  <c:v>-1.4348175167120605</c:v>
                </c:pt>
                <c:pt idx="287">
                  <c:v>3.0958172724160051</c:v>
                </c:pt>
                <c:pt idx="288">
                  <c:v>-4.438420712958961</c:v>
                </c:pt>
                <c:pt idx="289">
                  <c:v>5.197080742451555</c:v>
                </c:pt>
                <c:pt idx="290">
                  <c:v>-4.1613476062572321</c:v>
                </c:pt>
                <c:pt idx="291">
                  <c:v>2.846562417014709</c:v>
                </c:pt>
                <c:pt idx="292">
                  <c:v>-0.3722313491616317</c:v>
                </c:pt>
                <c:pt idx="293">
                  <c:v>-2.3294378372468567</c:v>
                </c:pt>
                <c:pt idx="294">
                  <c:v>3.9216645525554821</c:v>
                </c:pt>
                <c:pt idx="295">
                  <c:v>-5.1666434105026253</c:v>
                </c:pt>
                <c:pt idx="296">
                  <c:v>4.3532438398026301</c:v>
                </c:pt>
                <c:pt idx="297">
                  <c:v>-2.3733959721859512</c:v>
                </c:pt>
                <c:pt idx="298">
                  <c:v>8.5391927494937736E-3</c:v>
                </c:pt>
                <c:pt idx="299">
                  <c:v>3.0477655257188503</c:v>
                </c:pt>
                <c:pt idx="300">
                  <c:v>-4.4931011081462859</c:v>
                </c:pt>
                <c:pt idx="301">
                  <c:v>4.8844835206652917</c:v>
                </c:pt>
                <c:pt idx="302">
                  <c:v>-3.9212504265128851</c:v>
                </c:pt>
                <c:pt idx="303">
                  <c:v>1.2022399249409741</c:v>
                </c:pt>
                <c:pt idx="304">
                  <c:v>1.1323557645885876</c:v>
                </c:pt>
                <c:pt idx="305">
                  <c:v>-3.6202865259188513</c:v>
                </c:pt>
                <c:pt idx="306">
                  <c:v>4.9925517163937423</c:v>
                </c:pt>
                <c:pt idx="307">
                  <c:v>-4.5732422790748668</c:v>
                </c:pt>
                <c:pt idx="308">
                  <c:v>3.6857142307321578</c:v>
                </c:pt>
                <c:pt idx="309">
                  <c:v>-1.2742091670230926</c:v>
                </c:pt>
                <c:pt idx="310">
                  <c:v>-1.0977971724312694</c:v>
                </c:pt>
                <c:pt idx="311">
                  <c:v>2.9314157940557446</c:v>
                </c:pt>
                <c:pt idx="312">
                  <c:v>-4.7364351854512581</c:v>
                </c:pt>
                <c:pt idx="313">
                  <c:v>4.8549108583963854</c:v>
                </c:pt>
                <c:pt idx="314">
                  <c:v>-4.5609226803658478</c:v>
                </c:pt>
                <c:pt idx="315">
                  <c:v>3.5266865172704951</c:v>
                </c:pt>
                <c:pt idx="316">
                  <c:v>-1.4736524680482006</c:v>
                </c:pt>
                <c:pt idx="317">
                  <c:v>-1.4957863833647833E-4</c:v>
                </c:pt>
                <c:pt idx="318">
                  <c:v>2.0543554662216081</c:v>
                </c:pt>
                <c:pt idx="319">
                  <c:v>-3.5804910639324556</c:v>
                </c:pt>
                <c:pt idx="320">
                  <c:v>4.3100087986085658</c:v>
                </c:pt>
                <c:pt idx="321">
                  <c:v>-5.1896456126797901</c:v>
                </c:pt>
                <c:pt idx="322">
                  <c:v>4.723179279531351</c:v>
                </c:pt>
                <c:pt idx="323">
                  <c:v>-4.1348417527282377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07520"/>
        <c:axId val="620806344"/>
      </c:scatterChart>
      <c:valAx>
        <c:axId val="620805168"/>
        <c:scaling>
          <c:orientation val="minMax"/>
          <c:max val="185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620805952"/>
        <c:crosses val="autoZero"/>
        <c:crossBetween val="midCat"/>
      </c:valAx>
      <c:valAx>
        <c:axId val="620805952"/>
        <c:scaling>
          <c:orientation val="minMax"/>
          <c:max val="15"/>
          <c:min val="-15"/>
        </c:scaling>
        <c:delete val="0"/>
        <c:axPos val="l"/>
        <c:numFmt formatCode="General" sourceLinked="1"/>
        <c:majorTickMark val="out"/>
        <c:minorTickMark val="none"/>
        <c:tickLblPos val="nextTo"/>
        <c:crossAx val="620805168"/>
        <c:crosses val="autoZero"/>
        <c:crossBetween val="midCat"/>
      </c:valAx>
      <c:valAx>
        <c:axId val="620806344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620807520"/>
        <c:crosses val="max"/>
        <c:crossBetween val="midCat"/>
      </c:valAx>
      <c:valAx>
        <c:axId val="6208075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208063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cc_high_end!$I$13:$I$336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cc_high_end!$J$13:$J$336</c:f>
              <c:numCache>
                <c:formatCode>General</c:formatCode>
                <c:ptCount val="324"/>
                <c:pt idx="0">
                  <c:v>0.37888783642697577</c:v>
                </c:pt>
                <c:pt idx="1">
                  <c:v>-0.72823521471561925</c:v>
                </c:pt>
                <c:pt idx="2">
                  <c:v>0.995160106351892</c:v>
                </c:pt>
                <c:pt idx="3">
                  <c:v>0.59872186989645571</c:v>
                </c:pt>
                <c:pt idx="4">
                  <c:v>3.0966193990528526</c:v>
                </c:pt>
                <c:pt idx="5">
                  <c:v>1.3653836520612266</c:v>
                </c:pt>
                <c:pt idx="6">
                  <c:v>0.97311153964860586</c:v>
                </c:pt>
                <c:pt idx="7">
                  <c:v>0.64720397217490888</c:v>
                </c:pt>
                <c:pt idx="8">
                  <c:v>0.85241655096681179</c:v>
                </c:pt>
                <c:pt idx="9">
                  <c:v>-2.154809725101777</c:v>
                </c:pt>
                <c:pt idx="10">
                  <c:v>0.66129892650897726</c:v>
                </c:pt>
                <c:pt idx="11">
                  <c:v>-0.10674077642786173</c:v>
                </c:pt>
                <c:pt idx="12">
                  <c:v>-1.3362909440534798</c:v>
                </c:pt>
                <c:pt idx="13">
                  <c:v>-1.4025989963016361</c:v>
                </c:pt>
                <c:pt idx="14">
                  <c:v>-1.5134429487264105</c:v>
                </c:pt>
                <c:pt idx="15">
                  <c:v>-0.58449637072301674</c:v>
                </c:pt>
                <c:pt idx="16">
                  <c:v>-0.54752363393732573</c:v>
                </c:pt>
                <c:pt idx="17">
                  <c:v>-1.1688471164940202</c:v>
                </c:pt>
                <c:pt idx="18">
                  <c:v>0.30650382336140891</c:v>
                </c:pt>
                <c:pt idx="19">
                  <c:v>-1.6877557519491226</c:v>
                </c:pt>
                <c:pt idx="20">
                  <c:v>-0.51728228090306061</c:v>
                </c:pt>
                <c:pt idx="21">
                  <c:v>8.5828028670614981E-2</c:v>
                </c:pt>
                <c:pt idx="22">
                  <c:v>-0.86658268009242034</c:v>
                </c:pt>
                <c:pt idx="23">
                  <c:v>-0.41940615940607584</c:v>
                </c:pt>
                <c:pt idx="24">
                  <c:v>-0.27360362738899552</c:v>
                </c:pt>
                <c:pt idx="25">
                  <c:v>-0.75476632278940414</c:v>
                </c:pt>
                <c:pt idx="26">
                  <c:v>0.52382935537054998</c:v>
                </c:pt>
                <c:pt idx="27">
                  <c:v>-2.2781363504884391</c:v>
                </c:pt>
                <c:pt idx="28">
                  <c:v>-1.1483553457185383</c:v>
                </c:pt>
                <c:pt idx="29">
                  <c:v>1.3377463940111802</c:v>
                </c:pt>
                <c:pt idx="30">
                  <c:v>1.0991402981327365</c:v>
                </c:pt>
                <c:pt idx="31">
                  <c:v>0.74493472911649716</c:v>
                </c:pt>
                <c:pt idx="32">
                  <c:v>-1.0008876597664149</c:v>
                </c:pt>
                <c:pt idx="33">
                  <c:v>-1.3605708155822329</c:v>
                </c:pt>
                <c:pt idx="34">
                  <c:v>0.11796157269802958</c:v>
                </c:pt>
                <c:pt idx="35">
                  <c:v>-3.1936090036286027</c:v>
                </c:pt>
                <c:pt idx="36">
                  <c:v>2.2744710887998982</c:v>
                </c:pt>
                <c:pt idx="37">
                  <c:v>-1.6686981847951157</c:v>
                </c:pt>
                <c:pt idx="38">
                  <c:v>0.9330374054112277</c:v>
                </c:pt>
                <c:pt idx="39">
                  <c:v>0.93672054403724969</c:v>
                </c:pt>
                <c:pt idx="40">
                  <c:v>0.74465783836633315</c:v>
                </c:pt>
                <c:pt idx="41">
                  <c:v>1.5729608981805441</c:v>
                </c:pt>
                <c:pt idx="42">
                  <c:v>2.191397989629603</c:v>
                </c:pt>
                <c:pt idx="43">
                  <c:v>0.74145675178090986</c:v>
                </c:pt>
                <c:pt idx="44">
                  <c:v>4.9401373279038712</c:v>
                </c:pt>
                <c:pt idx="45">
                  <c:v>-4.0806471617135536</c:v>
                </c:pt>
                <c:pt idx="46">
                  <c:v>3.277399401484387</c:v>
                </c:pt>
                <c:pt idx="47">
                  <c:v>-1.281884145803811</c:v>
                </c:pt>
                <c:pt idx="48">
                  <c:v>0.19328651866480673</c:v>
                </c:pt>
                <c:pt idx="49">
                  <c:v>0.8033617538652118</c:v>
                </c:pt>
                <c:pt idx="50">
                  <c:v>-0.40990869081799325</c:v>
                </c:pt>
                <c:pt idx="51">
                  <c:v>-1.075331265398334</c:v>
                </c:pt>
                <c:pt idx="52">
                  <c:v>-2.3863546536076701</c:v>
                </c:pt>
                <c:pt idx="53">
                  <c:v>1.3838202451491657</c:v>
                </c:pt>
                <c:pt idx="54">
                  <c:v>-1.1075782583186955</c:v>
                </c:pt>
                <c:pt idx="55">
                  <c:v>0.38603217850991001</c:v>
                </c:pt>
                <c:pt idx="56">
                  <c:v>-1.0771857560958045</c:v>
                </c:pt>
                <c:pt idx="57">
                  <c:v>1.4391848486629208</c:v>
                </c:pt>
                <c:pt idx="58">
                  <c:v>3.6984856507694563</c:v>
                </c:pt>
                <c:pt idx="59">
                  <c:v>1.4150059185117385</c:v>
                </c:pt>
                <c:pt idx="60">
                  <c:v>0.89693309347252037</c:v>
                </c:pt>
                <c:pt idx="61">
                  <c:v>0.12149472826988494</c:v>
                </c:pt>
                <c:pt idx="62">
                  <c:v>-0.42689896480684386</c:v>
                </c:pt>
                <c:pt idx="63">
                  <c:v>2.5493756624671211</c:v>
                </c:pt>
                <c:pt idx="64">
                  <c:v>-3.9754930021165302</c:v>
                </c:pt>
                <c:pt idx="65">
                  <c:v>-6.7285310844663729E-2</c:v>
                </c:pt>
                <c:pt idx="66">
                  <c:v>0.28157250387425159</c:v>
                </c:pt>
                <c:pt idx="67">
                  <c:v>1.6847079667218021</c:v>
                </c:pt>
                <c:pt idx="68">
                  <c:v>2.833979749179782</c:v>
                </c:pt>
                <c:pt idx="69">
                  <c:v>1.4307014417113848</c:v>
                </c:pt>
                <c:pt idx="70">
                  <c:v>0.43259705566901974</c:v>
                </c:pt>
                <c:pt idx="71">
                  <c:v>3.7689771953586724</c:v>
                </c:pt>
                <c:pt idx="72">
                  <c:v>-0.3380203914123755</c:v>
                </c:pt>
                <c:pt idx="73">
                  <c:v>2.629233857440664</c:v>
                </c:pt>
                <c:pt idx="74">
                  <c:v>-1.1959406772434455E-2</c:v>
                </c:pt>
                <c:pt idx="75">
                  <c:v>3.3686626446233978</c:v>
                </c:pt>
                <c:pt idx="76">
                  <c:v>1.4575370722078349</c:v>
                </c:pt>
                <c:pt idx="77">
                  <c:v>-2.3035059302749135</c:v>
                </c:pt>
                <c:pt idx="78">
                  <c:v>-1.1484101811245195</c:v>
                </c:pt>
                <c:pt idx="79">
                  <c:v>-0.21763273289733492</c:v>
                </c:pt>
                <c:pt idx="80">
                  <c:v>-1.6954810106691507</c:v>
                </c:pt>
                <c:pt idx="81">
                  <c:v>-0.14775140318032809</c:v>
                </c:pt>
                <c:pt idx="82">
                  <c:v>-1.6574201506056911</c:v>
                </c:pt>
                <c:pt idx="83">
                  <c:v>0.32113447514300691</c:v>
                </c:pt>
                <c:pt idx="84">
                  <c:v>1.5493064852379321</c:v>
                </c:pt>
                <c:pt idx="85">
                  <c:v>-0.48524878065117827</c:v>
                </c:pt>
                <c:pt idx="86">
                  <c:v>2.1482484164847606</c:v>
                </c:pt>
                <c:pt idx="87">
                  <c:v>0.81788138859324699</c:v>
                </c:pt>
                <c:pt idx="88">
                  <c:v>-0.43667470106104739</c:v>
                </c:pt>
                <c:pt idx="89">
                  <c:v>-1.6858476314655741</c:v>
                </c:pt>
                <c:pt idx="90">
                  <c:v>0.21647849552096321</c:v>
                </c:pt>
                <c:pt idx="91">
                  <c:v>-0.59839080668008848</c:v>
                </c:pt>
                <c:pt idx="92">
                  <c:v>0.51193695824392504</c:v>
                </c:pt>
                <c:pt idx="93">
                  <c:v>5.1226442033603039</c:v>
                </c:pt>
                <c:pt idx="94">
                  <c:v>-0.1923599839905048</c:v>
                </c:pt>
                <c:pt idx="95">
                  <c:v>2.678848850401558</c:v>
                </c:pt>
                <c:pt idx="96">
                  <c:v>2.5831099167653351</c:v>
                </c:pt>
                <c:pt idx="97">
                  <c:v>-1.9504871097647247</c:v>
                </c:pt>
                <c:pt idx="98">
                  <c:v>-0.42598806656840393</c:v>
                </c:pt>
                <c:pt idx="99">
                  <c:v>-0.74150162964241662</c:v>
                </c:pt>
                <c:pt idx="100">
                  <c:v>2.5987543400345454</c:v>
                </c:pt>
                <c:pt idx="101">
                  <c:v>-1.633167287594441</c:v>
                </c:pt>
                <c:pt idx="102">
                  <c:v>-4.042370877273834</c:v>
                </c:pt>
                <c:pt idx="103">
                  <c:v>-0.57324174235993519</c:v>
                </c:pt>
                <c:pt idx="104">
                  <c:v>-2.7331993889600894</c:v>
                </c:pt>
                <c:pt idx="105">
                  <c:v>2.0565284655795044</c:v>
                </c:pt>
                <c:pt idx="106">
                  <c:v>-2.8276305391006238</c:v>
                </c:pt>
                <c:pt idx="107">
                  <c:v>-2.8934978345558138</c:v>
                </c:pt>
                <c:pt idx="108">
                  <c:v>-0.34406159722718321</c:v>
                </c:pt>
                <c:pt idx="109">
                  <c:v>1.1179635879331002</c:v>
                </c:pt>
                <c:pt idx="110">
                  <c:v>-1.2513162086285827</c:v>
                </c:pt>
                <c:pt idx="111">
                  <c:v>1.7843822511214549</c:v>
                </c:pt>
                <c:pt idx="112">
                  <c:v>-1.2097770595162372</c:v>
                </c:pt>
                <c:pt idx="113">
                  <c:v>0.74163677149853147</c:v>
                </c:pt>
                <c:pt idx="114">
                  <c:v>-1.0684131198453422</c:v>
                </c:pt>
                <c:pt idx="115">
                  <c:v>0.10301454239281624</c:v>
                </c:pt>
                <c:pt idx="116">
                  <c:v>0.66044054268185937</c:v>
                </c:pt>
                <c:pt idx="117">
                  <c:v>-0.42019749827955866</c:v>
                </c:pt>
                <c:pt idx="118">
                  <c:v>1.2227909098714345</c:v>
                </c:pt>
                <c:pt idx="119">
                  <c:v>1.2629809085332515</c:v>
                </c:pt>
                <c:pt idx="120">
                  <c:v>5.3165940383955057E-2</c:v>
                </c:pt>
                <c:pt idx="121">
                  <c:v>-1.7248780524625622</c:v>
                </c:pt>
                <c:pt idx="122">
                  <c:v>-1.4301345820744775</c:v>
                </c:pt>
                <c:pt idx="123">
                  <c:v>-0.70468408338869626</c:v>
                </c:pt>
                <c:pt idx="124">
                  <c:v>1.6658574046216552</c:v>
                </c:pt>
                <c:pt idx="125">
                  <c:v>-2.8948077279465458</c:v>
                </c:pt>
                <c:pt idx="126">
                  <c:v>1.9629564363195988</c:v>
                </c:pt>
                <c:pt idx="127">
                  <c:v>-0.82964709737954623</c:v>
                </c:pt>
                <c:pt idx="128">
                  <c:v>-1.4925362391028929</c:v>
                </c:pt>
                <c:pt idx="129">
                  <c:v>-1.170039001249543</c:v>
                </c:pt>
                <c:pt idx="130">
                  <c:v>0.34083260700348017</c:v>
                </c:pt>
                <c:pt idx="131">
                  <c:v>-4.5287028122983325E-2</c:v>
                </c:pt>
                <c:pt idx="132">
                  <c:v>1.9745829686317093</c:v>
                </c:pt>
                <c:pt idx="133">
                  <c:v>3.5036576785989411</c:v>
                </c:pt>
                <c:pt idx="134">
                  <c:v>-3.519776234995255</c:v>
                </c:pt>
                <c:pt idx="135">
                  <c:v>-0.72230664392597965</c:v>
                </c:pt>
                <c:pt idx="136">
                  <c:v>-1.0486766158854288</c:v>
                </c:pt>
                <c:pt idx="137">
                  <c:v>-2.4230057902458024</c:v>
                </c:pt>
                <c:pt idx="138">
                  <c:v>0.53792822363359816</c:v>
                </c:pt>
                <c:pt idx="139">
                  <c:v>0.25905033012277223</c:v>
                </c:pt>
                <c:pt idx="140">
                  <c:v>0.84532618283754535</c:v>
                </c:pt>
                <c:pt idx="141">
                  <c:v>4.7074461822565592</c:v>
                </c:pt>
                <c:pt idx="142">
                  <c:v>0.76559075482487615</c:v>
                </c:pt>
                <c:pt idx="143">
                  <c:v>1.9184648765837884</c:v>
                </c:pt>
                <c:pt idx="144">
                  <c:v>-0.67990966975180456</c:v>
                </c:pt>
                <c:pt idx="145">
                  <c:v>-0.18240921588377207</c:v>
                </c:pt>
                <c:pt idx="146">
                  <c:v>-1.572159416669601E-2</c:v>
                </c:pt>
                <c:pt idx="147">
                  <c:v>1.459857910388386</c:v>
                </c:pt>
                <c:pt idx="148">
                  <c:v>-1.5023684727875948</c:v>
                </c:pt>
                <c:pt idx="149">
                  <c:v>2.2126488327149545</c:v>
                </c:pt>
                <c:pt idx="150">
                  <c:v>-2.7893306526456483</c:v>
                </c:pt>
                <c:pt idx="151">
                  <c:v>1.2456017063991263</c:v>
                </c:pt>
                <c:pt idx="152">
                  <c:v>-2.6599982856521094</c:v>
                </c:pt>
                <c:pt idx="153">
                  <c:v>0.3959608461372669</c:v>
                </c:pt>
                <c:pt idx="154">
                  <c:v>-1.0715291191357039</c:v>
                </c:pt>
                <c:pt idx="155">
                  <c:v>-2.6781887494287471</c:v>
                </c:pt>
                <c:pt idx="156">
                  <c:v>-1.8117766884108448</c:v>
                </c:pt>
                <c:pt idx="157">
                  <c:v>-0.7202525946670344</c:v>
                </c:pt>
                <c:pt idx="158">
                  <c:v>-0.71467461423284417</c:v>
                </c:pt>
                <c:pt idx="159">
                  <c:v>1.3578616398848089</c:v>
                </c:pt>
                <c:pt idx="160">
                  <c:v>-2.5631766850715962</c:v>
                </c:pt>
                <c:pt idx="161">
                  <c:v>3.5104630585524346</c:v>
                </c:pt>
                <c:pt idx="162">
                  <c:v>0.4522455190222458</c:v>
                </c:pt>
                <c:pt idx="163">
                  <c:v>2.2104341500283962</c:v>
                </c:pt>
                <c:pt idx="164">
                  <c:v>2.7512617687317604</c:v>
                </c:pt>
                <c:pt idx="165">
                  <c:v>8.1800947013983216E-2</c:v>
                </c:pt>
                <c:pt idx="166">
                  <c:v>-1.3516352087794181</c:v>
                </c:pt>
                <c:pt idx="167">
                  <c:v>-4.1032355656697064</c:v>
                </c:pt>
                <c:pt idx="168">
                  <c:v>8.0567899552701778</c:v>
                </c:pt>
                <c:pt idx="169">
                  <c:v>-2.4701561922449358</c:v>
                </c:pt>
                <c:pt idx="170">
                  <c:v>0.61529053587363025</c:v>
                </c:pt>
                <c:pt idx="171">
                  <c:v>0.43667784430310341</c:v>
                </c:pt>
                <c:pt idx="172">
                  <c:v>-0.29715251786384156</c:v>
                </c:pt>
                <c:pt idx="173">
                  <c:v>1.7805521489992981</c:v>
                </c:pt>
                <c:pt idx="174">
                  <c:v>1.6170682841481894</c:v>
                </c:pt>
                <c:pt idx="175">
                  <c:v>0.88949323362613963</c:v>
                </c:pt>
                <c:pt idx="176">
                  <c:v>2.2593048131439897</c:v>
                </c:pt>
                <c:pt idx="177">
                  <c:v>-1.7077063914570518</c:v>
                </c:pt>
                <c:pt idx="178">
                  <c:v>0.31430691118836118</c:v>
                </c:pt>
                <c:pt idx="179">
                  <c:v>1.0871116996510124</c:v>
                </c:pt>
                <c:pt idx="180">
                  <c:v>0.88503391981527579</c:v>
                </c:pt>
                <c:pt idx="181">
                  <c:v>-1.9935368578533619</c:v>
                </c:pt>
                <c:pt idx="182">
                  <c:v>4.4827153178738604</c:v>
                </c:pt>
                <c:pt idx="183">
                  <c:v>0.85005854501904543</c:v>
                </c:pt>
                <c:pt idx="184">
                  <c:v>1.0394534239310831</c:v>
                </c:pt>
                <c:pt idx="185">
                  <c:v>1.3474446413744818</c:v>
                </c:pt>
                <c:pt idx="186">
                  <c:v>-2.055111692361411E-2</c:v>
                </c:pt>
                <c:pt idx="187">
                  <c:v>-1.8448661665764772</c:v>
                </c:pt>
                <c:pt idx="188">
                  <c:v>1.9635111695156329</c:v>
                </c:pt>
                <c:pt idx="189">
                  <c:v>-0.54835060071192032</c:v>
                </c:pt>
                <c:pt idx="190">
                  <c:v>1.8718699641222816</c:v>
                </c:pt>
                <c:pt idx="191">
                  <c:v>-0.20131870659035214</c:v>
                </c:pt>
                <c:pt idx="192">
                  <c:v>-0.67362109409213555</c:v>
                </c:pt>
                <c:pt idx="193">
                  <c:v>1.0513520721011562</c:v>
                </c:pt>
                <c:pt idx="194">
                  <c:v>-1.3961036239315647</c:v>
                </c:pt>
                <c:pt idx="195">
                  <c:v>2.3783263082630857</c:v>
                </c:pt>
                <c:pt idx="196">
                  <c:v>-2.1163075602041692</c:v>
                </c:pt>
                <c:pt idx="197">
                  <c:v>0.43383231551255452</c:v>
                </c:pt>
                <c:pt idx="198">
                  <c:v>-0.62642566347317907</c:v>
                </c:pt>
                <c:pt idx="199">
                  <c:v>3.0319229931500074</c:v>
                </c:pt>
                <c:pt idx="200">
                  <c:v>0.95128395543350375</c:v>
                </c:pt>
                <c:pt idx="201">
                  <c:v>1.025627297593777</c:v>
                </c:pt>
                <c:pt idx="202">
                  <c:v>0.53751826082436849</c:v>
                </c:pt>
                <c:pt idx="203">
                  <c:v>3.0678119979865643</c:v>
                </c:pt>
                <c:pt idx="204">
                  <c:v>2.5551393327360308</c:v>
                </c:pt>
                <c:pt idx="205">
                  <c:v>3.2377095061578656</c:v>
                </c:pt>
                <c:pt idx="206">
                  <c:v>-1.5010542055257905</c:v>
                </c:pt>
                <c:pt idx="207">
                  <c:v>2.7797092954541469E-2</c:v>
                </c:pt>
                <c:pt idx="208">
                  <c:v>-3.5703472237472376</c:v>
                </c:pt>
                <c:pt idx="209">
                  <c:v>0.75377476890591977</c:v>
                </c:pt>
                <c:pt idx="210">
                  <c:v>-2.6301140070872342</c:v>
                </c:pt>
                <c:pt idx="211">
                  <c:v>-1.8885704943545303</c:v>
                </c:pt>
                <c:pt idx="212">
                  <c:v>2.3802139853696085</c:v>
                </c:pt>
                <c:pt idx="213">
                  <c:v>-3.7339195225162722</c:v>
                </c:pt>
                <c:pt idx="214">
                  <c:v>0.73980968207046516</c:v>
                </c:pt>
                <c:pt idx="215">
                  <c:v>0.32004875553062939</c:v>
                </c:pt>
                <c:pt idx="216">
                  <c:v>1.3622272548324523</c:v>
                </c:pt>
                <c:pt idx="217">
                  <c:v>1.836736509053202</c:v>
                </c:pt>
                <c:pt idx="218">
                  <c:v>1.241294775028011</c:v>
                </c:pt>
                <c:pt idx="219">
                  <c:v>-0.52157829899874086</c:v>
                </c:pt>
                <c:pt idx="220">
                  <c:v>5.109871698987245E-4</c:v>
                </c:pt>
                <c:pt idx="221">
                  <c:v>-1.856657776175926</c:v>
                </c:pt>
                <c:pt idx="222">
                  <c:v>0.43740357922566286</c:v>
                </c:pt>
                <c:pt idx="223">
                  <c:v>-0.27516895636559147</c:v>
                </c:pt>
                <c:pt idx="224">
                  <c:v>2.4700388399541664</c:v>
                </c:pt>
                <c:pt idx="225">
                  <c:v>-1.1565872554264387</c:v>
                </c:pt>
                <c:pt idx="226">
                  <c:v>1.0554255463025264</c:v>
                </c:pt>
                <c:pt idx="227">
                  <c:v>-1.6114188177784872E-4</c:v>
                </c:pt>
                <c:pt idx="228">
                  <c:v>1.4358284861294073</c:v>
                </c:pt>
                <c:pt idx="229">
                  <c:v>-2.5839775677838714</c:v>
                </c:pt>
                <c:pt idx="230">
                  <c:v>-0.11797951516557603</c:v>
                </c:pt>
                <c:pt idx="231">
                  <c:v>5.5728311714228562</c:v>
                </c:pt>
                <c:pt idx="232">
                  <c:v>1.2642694957687364</c:v>
                </c:pt>
                <c:pt idx="233">
                  <c:v>-3.0713684834211934</c:v>
                </c:pt>
                <c:pt idx="234">
                  <c:v>-0.10948565712203409</c:v>
                </c:pt>
                <c:pt idx="235">
                  <c:v>0.10724269222832383</c:v>
                </c:pt>
                <c:pt idx="236">
                  <c:v>-1.2252418110987786</c:v>
                </c:pt>
                <c:pt idx="237">
                  <c:v>-1.8071699598991091</c:v>
                </c:pt>
                <c:pt idx="238">
                  <c:v>6.2138674836753225</c:v>
                </c:pt>
                <c:pt idx="239">
                  <c:v>-1.8228498055419928</c:v>
                </c:pt>
                <c:pt idx="240">
                  <c:v>4.2596083938306606E-4</c:v>
                </c:pt>
                <c:pt idx="241">
                  <c:v>-3.241590177261374</c:v>
                </c:pt>
                <c:pt idx="242">
                  <c:v>0.10681222283690228</c:v>
                </c:pt>
                <c:pt idx="243">
                  <c:v>-1.8804127477554833</c:v>
                </c:pt>
                <c:pt idx="244">
                  <c:v>1.7516177475481833</c:v>
                </c:pt>
                <c:pt idx="245">
                  <c:v>0.94255268221384414</c:v>
                </c:pt>
                <c:pt idx="246">
                  <c:v>-0.1996024512418661</c:v>
                </c:pt>
                <c:pt idx="247">
                  <c:v>6.7637232067925357</c:v>
                </c:pt>
                <c:pt idx="248">
                  <c:v>-0.37387046659027989</c:v>
                </c:pt>
                <c:pt idx="249">
                  <c:v>-3.1051913221935652</c:v>
                </c:pt>
                <c:pt idx="250">
                  <c:v>5.7529840593996981</c:v>
                </c:pt>
                <c:pt idx="251">
                  <c:v>-4.9292997516194745</c:v>
                </c:pt>
                <c:pt idx="252">
                  <c:v>1.6806936144348716</c:v>
                </c:pt>
                <c:pt idx="253">
                  <c:v>-6.4846959837624016</c:v>
                </c:pt>
                <c:pt idx="254">
                  <c:v>2.3538335314402055</c:v>
                </c:pt>
                <c:pt idx="255">
                  <c:v>1.6828266457147276</c:v>
                </c:pt>
                <c:pt idx="256">
                  <c:v>-0.69272918711206344</c:v>
                </c:pt>
                <c:pt idx="257">
                  <c:v>5.6674924770481674</c:v>
                </c:pt>
                <c:pt idx="258">
                  <c:v>-4.7585080719554149</c:v>
                </c:pt>
                <c:pt idx="259">
                  <c:v>1.219132733065357</c:v>
                </c:pt>
                <c:pt idx="260">
                  <c:v>-2.1124826677786781</c:v>
                </c:pt>
                <c:pt idx="261">
                  <c:v>2.620373068869347</c:v>
                </c:pt>
                <c:pt idx="262">
                  <c:v>4.9538073157483291</c:v>
                </c:pt>
                <c:pt idx="263">
                  <c:v>-3.4852792553528866</c:v>
                </c:pt>
                <c:pt idx="264">
                  <c:v>2.2975625742473973</c:v>
                </c:pt>
                <c:pt idx="265">
                  <c:v>-2.9691042832145702</c:v>
                </c:pt>
                <c:pt idx="266">
                  <c:v>9.7092388658420603</c:v>
                </c:pt>
                <c:pt idx="267">
                  <c:v>-3.8866171907745999</c:v>
                </c:pt>
                <c:pt idx="268">
                  <c:v>-0.58543891619649813</c:v>
                </c:pt>
                <c:pt idx="269">
                  <c:v>0.82010244221365158</c:v>
                </c:pt>
                <c:pt idx="270">
                  <c:v>2.255577197858837</c:v>
                </c:pt>
                <c:pt idx="271">
                  <c:v>-1.6224276291825479</c:v>
                </c:pt>
                <c:pt idx="272">
                  <c:v>-3.5398612830849681</c:v>
                </c:pt>
                <c:pt idx="273">
                  <c:v>7.6583498167221933</c:v>
                </c:pt>
                <c:pt idx="274">
                  <c:v>-1.6854027969736878</c:v>
                </c:pt>
                <c:pt idx="275">
                  <c:v>2.7738087356263201</c:v>
                </c:pt>
                <c:pt idx="276">
                  <c:v>-2.0000023574467902</c:v>
                </c:pt>
                <c:pt idx="277">
                  <c:v>2.9181231205890308</c:v>
                </c:pt>
                <c:pt idx="278">
                  <c:v>0.45180475188014302</c:v>
                </c:pt>
                <c:pt idx="279">
                  <c:v>-5.2640980400829784</c:v>
                </c:pt>
                <c:pt idx="280">
                  <c:v>2.6950739546529081</c:v>
                </c:pt>
                <c:pt idx="281">
                  <c:v>-0.83789761809863417</c:v>
                </c:pt>
                <c:pt idx="282">
                  <c:v>5.3762791909483525</c:v>
                </c:pt>
                <c:pt idx="283">
                  <c:v>-1.6667990321121509</c:v>
                </c:pt>
                <c:pt idx="284">
                  <c:v>-4.8123596497144171E-2</c:v>
                </c:pt>
                <c:pt idx="285">
                  <c:v>-0.8745917313017777</c:v>
                </c:pt>
                <c:pt idx="286">
                  <c:v>-0.48692139694326919</c:v>
                </c:pt>
                <c:pt idx="287">
                  <c:v>1.169886317264653</c:v>
                </c:pt>
                <c:pt idx="288">
                  <c:v>-0.70425542161496235</c:v>
                </c:pt>
                <c:pt idx="289">
                  <c:v>7.4257231980643397</c:v>
                </c:pt>
                <c:pt idx="290">
                  <c:v>-2.1497403940239086</c:v>
                </c:pt>
                <c:pt idx="291">
                  <c:v>4.9778911969455377</c:v>
                </c:pt>
                <c:pt idx="292">
                  <c:v>-4.1807924859262213</c:v>
                </c:pt>
                <c:pt idx="293">
                  <c:v>-0.36610096517040636</c:v>
                </c:pt>
                <c:pt idx="294">
                  <c:v>9.2505173202985258</c:v>
                </c:pt>
                <c:pt idx="295">
                  <c:v>-1.9068180245580892</c:v>
                </c:pt>
                <c:pt idx="296">
                  <c:v>0.75798549570470242</c:v>
                </c:pt>
                <c:pt idx="297">
                  <c:v>-1.8852101821758547</c:v>
                </c:pt>
                <c:pt idx="298">
                  <c:v>0.96288368203699193</c:v>
                </c:pt>
                <c:pt idx="299">
                  <c:v>2.2795294756658118</c:v>
                </c:pt>
                <c:pt idx="300">
                  <c:v>-2.9266351720962671</c:v>
                </c:pt>
                <c:pt idx="301">
                  <c:v>6.1689763892304077</c:v>
                </c:pt>
                <c:pt idx="302">
                  <c:v>-1.9698920154503372</c:v>
                </c:pt>
                <c:pt idx="303">
                  <c:v>9.2700269360450616E-3</c:v>
                </c:pt>
                <c:pt idx="304">
                  <c:v>1.7423790316840653</c:v>
                </c:pt>
                <c:pt idx="305">
                  <c:v>1.7256442036631283</c:v>
                </c:pt>
                <c:pt idx="306">
                  <c:v>1.9978045529051958</c:v>
                </c:pt>
                <c:pt idx="307">
                  <c:v>1.9678158726797876</c:v>
                </c:pt>
                <c:pt idx="308">
                  <c:v>-1.1311055506587899</c:v>
                </c:pt>
                <c:pt idx="309">
                  <c:v>2.0623586306555377</c:v>
                </c:pt>
                <c:pt idx="310">
                  <c:v>-1.5860524437537542</c:v>
                </c:pt>
                <c:pt idx="311">
                  <c:v>5.3558279154764472</c:v>
                </c:pt>
                <c:pt idx="312">
                  <c:v>-0.48460136551849065</c:v>
                </c:pt>
                <c:pt idx="313">
                  <c:v>2.6771098078713282</c:v>
                </c:pt>
                <c:pt idx="314">
                  <c:v>-5.5965153963650751</c:v>
                </c:pt>
                <c:pt idx="315">
                  <c:v>2.6532119963110912</c:v>
                </c:pt>
                <c:pt idx="316">
                  <c:v>-1.3187378344200285</c:v>
                </c:pt>
                <c:pt idx="317">
                  <c:v>-0.23973275522264789</c:v>
                </c:pt>
                <c:pt idx="318">
                  <c:v>-3.0227139090771029</c:v>
                </c:pt>
                <c:pt idx="319">
                  <c:v>-3.2201095789890832</c:v>
                </c:pt>
                <c:pt idx="320">
                  <c:v>5.536004954119397</c:v>
                </c:pt>
                <c:pt idx="321">
                  <c:v>-4.6787254035286399</c:v>
                </c:pt>
                <c:pt idx="322">
                  <c:v>5.3149655620793483</c:v>
                </c:pt>
                <c:pt idx="323">
                  <c:v>-2.619515258002894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809480"/>
        <c:axId val="620810656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cc_high_end!$I$13:$I$336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cc_high_end!$K$13:$K$336</c:f>
              <c:numCache>
                <c:formatCode>General</c:formatCode>
                <c:ptCount val="324"/>
                <c:pt idx="0">
                  <c:v>-1.0940839922270782</c:v>
                </c:pt>
                <c:pt idx="1">
                  <c:v>-1.2340135279546285</c:v>
                </c:pt>
                <c:pt idx="2">
                  <c:v>2.8419404194037945</c:v>
                </c:pt>
                <c:pt idx="3">
                  <c:v>-4.6719972710153916</c:v>
                </c:pt>
                <c:pt idx="4">
                  <c:v>4.9573614578453586</c:v>
                </c:pt>
                <c:pt idx="5">
                  <c:v>-4.2397872782245729</c:v>
                </c:pt>
                <c:pt idx="6">
                  <c:v>2.8448867287252537</c:v>
                </c:pt>
                <c:pt idx="7">
                  <c:v>1.1055742271776942E-2</c:v>
                </c:pt>
                <c:pt idx="8">
                  <c:v>-2.240910000324138</c:v>
                </c:pt>
                <c:pt idx="9">
                  <c:v>4.2217896566583546</c:v>
                </c:pt>
                <c:pt idx="10">
                  <c:v>-5.1787936288078269</c:v>
                </c:pt>
                <c:pt idx="11">
                  <c:v>4.022808300001441</c:v>
                </c:pt>
                <c:pt idx="12">
                  <c:v>-2.3559250661999434</c:v>
                </c:pt>
                <c:pt idx="13">
                  <c:v>-0.55156094076132178</c:v>
                </c:pt>
                <c:pt idx="14">
                  <c:v>3.2469868107781603</c:v>
                </c:pt>
                <c:pt idx="15">
                  <c:v>-4.503558922514606</c:v>
                </c:pt>
                <c:pt idx="16">
                  <c:v>5.0646798169225384</c:v>
                </c:pt>
                <c:pt idx="17">
                  <c:v>-3.4473611785627059</c:v>
                </c:pt>
                <c:pt idx="18">
                  <c:v>1.0713246052424747</c:v>
                </c:pt>
                <c:pt idx="19">
                  <c:v>1.3460213406334898</c:v>
                </c:pt>
                <c:pt idx="20">
                  <c:v>-3.9697072554059343</c:v>
                </c:pt>
                <c:pt idx="21">
                  <c:v>4.7613908861490142</c:v>
                </c:pt>
                <c:pt idx="22">
                  <c:v>-4.7430114805820365</c:v>
                </c:pt>
                <c:pt idx="23">
                  <c:v>3.5821332678598843</c:v>
                </c:pt>
                <c:pt idx="24">
                  <c:v>-1.1144943799203175</c:v>
                </c:pt>
                <c:pt idx="25">
                  <c:v>-0.80966103932207956</c:v>
                </c:pt>
                <c:pt idx="26">
                  <c:v>3.1086702660440051</c:v>
                </c:pt>
                <c:pt idx="27">
                  <c:v>-4.5462329104916144</c:v>
                </c:pt>
                <c:pt idx="28">
                  <c:v>4.787468299325436</c:v>
                </c:pt>
                <c:pt idx="29">
                  <c:v>-4.8799665081841237</c:v>
                </c:pt>
                <c:pt idx="30">
                  <c:v>3.4851847387445494</c:v>
                </c:pt>
                <c:pt idx="31">
                  <c:v>-2.002739198179333</c:v>
                </c:pt>
                <c:pt idx="32">
                  <c:v>0.3926248067335763</c:v>
                </c:pt>
                <c:pt idx="33">
                  <c:v>1.7945878129148816</c:v>
                </c:pt>
                <c:pt idx="34">
                  <c:v>-2.9551996279065573</c:v>
                </c:pt>
                <c:pt idx="35">
                  <c:v>4.3049265211910566</c:v>
                </c:pt>
                <c:pt idx="36">
                  <c:v>-5.0133049942214605</c:v>
                </c:pt>
                <c:pt idx="37">
                  <c:v>4.7369471434405046</c:v>
                </c:pt>
                <c:pt idx="38">
                  <c:v>-4.6456139760864854</c:v>
                </c:pt>
                <c:pt idx="39">
                  <c:v>3.3232863909889776</c:v>
                </c:pt>
                <c:pt idx="40">
                  <c:v>-1.9451910767893394</c:v>
                </c:pt>
                <c:pt idx="41">
                  <c:v>0.50982883933737</c:v>
                </c:pt>
                <c:pt idx="42">
                  <c:v>1.6403507746119494</c:v>
                </c:pt>
                <c:pt idx="43">
                  <c:v>-2.8652687821385721</c:v>
                </c:pt>
                <c:pt idx="44">
                  <c:v>4.2672842352629354</c:v>
                </c:pt>
                <c:pt idx="45">
                  <c:v>-5.0630528060171489</c:v>
                </c:pt>
                <c:pt idx="46">
                  <c:v>4.6537286897108165</c:v>
                </c:pt>
                <c:pt idx="47">
                  <c:v>-4.2306918920271706</c:v>
                </c:pt>
                <c:pt idx="48">
                  <c:v>2.4013689082511451</c:v>
                </c:pt>
                <c:pt idx="49">
                  <c:v>-0.33620282140224378</c:v>
                </c:pt>
                <c:pt idx="50">
                  <c:v>-1.5987302726324615</c:v>
                </c:pt>
                <c:pt idx="51">
                  <c:v>3.9159676590181283</c:v>
                </c:pt>
                <c:pt idx="52">
                  <c:v>-4.6966055160080034</c:v>
                </c:pt>
                <c:pt idx="53">
                  <c:v>4.8458266665577616</c:v>
                </c:pt>
                <c:pt idx="54">
                  <c:v>-3.8333818720519672</c:v>
                </c:pt>
                <c:pt idx="55">
                  <c:v>1.2874251669394701</c:v>
                </c:pt>
                <c:pt idx="56">
                  <c:v>0.92961243828480855</c:v>
                </c:pt>
                <c:pt idx="57">
                  <c:v>-3.5170257977380963</c:v>
                </c:pt>
                <c:pt idx="58">
                  <c:v>4.9359891101172986</c:v>
                </c:pt>
                <c:pt idx="59">
                  <c:v>-4.5669622918874149</c:v>
                </c:pt>
                <c:pt idx="60">
                  <c:v>3.4668088693000541</c:v>
                </c:pt>
                <c:pt idx="61">
                  <c:v>-0.60668928847452641</c:v>
                </c:pt>
                <c:pt idx="62">
                  <c:v>-2.0744138186960033</c:v>
                </c:pt>
                <c:pt idx="63">
                  <c:v>3.989853906446271</c:v>
                </c:pt>
                <c:pt idx="64">
                  <c:v>-5.2196506067622828</c:v>
                </c:pt>
                <c:pt idx="65">
                  <c:v>4.142847524901045</c:v>
                </c:pt>
                <c:pt idx="66">
                  <c:v>-2.3840946703764199</c:v>
                </c:pt>
                <c:pt idx="67">
                  <c:v>-0.13333830759090975</c:v>
                </c:pt>
                <c:pt idx="68">
                  <c:v>2.9639743323876671</c:v>
                </c:pt>
                <c:pt idx="69">
                  <c:v>-4.2563894595805785</c:v>
                </c:pt>
                <c:pt idx="70">
                  <c:v>5.0884446028907631</c:v>
                </c:pt>
                <c:pt idx="71">
                  <c:v>-4.3612904640760686</c:v>
                </c:pt>
                <c:pt idx="72">
                  <c:v>2.4524981850223608</c:v>
                </c:pt>
                <c:pt idx="73">
                  <c:v>-0.67389505049668197</c:v>
                </c:pt>
                <c:pt idx="74">
                  <c:v>-1.9123325838897764</c:v>
                </c:pt>
                <c:pt idx="75">
                  <c:v>3.5652533764179073</c:v>
                </c:pt>
                <c:pt idx="76">
                  <c:v>-4.5482299772408155</c:v>
                </c:pt>
                <c:pt idx="77">
                  <c:v>5.2104135246984278</c:v>
                </c:pt>
                <c:pt idx="78">
                  <c:v>-4.3112405332620529</c:v>
                </c:pt>
                <c:pt idx="79">
                  <c:v>3.4456745139964697</c:v>
                </c:pt>
                <c:pt idx="80">
                  <c:v>-1.8905567311940257</c:v>
                </c:pt>
                <c:pt idx="81">
                  <c:v>-0.15348950013135504</c:v>
                </c:pt>
                <c:pt idx="82">
                  <c:v>1.4683169882385343</c:v>
                </c:pt>
                <c:pt idx="83">
                  <c:v>-3.3168928769450807</c:v>
                </c:pt>
                <c:pt idx="84">
                  <c:v>4.3100995465986189</c:v>
                </c:pt>
                <c:pt idx="85">
                  <c:v>-4.7415427851963132</c:v>
                </c:pt>
                <c:pt idx="86">
                  <c:v>5.1710277093878148</c:v>
                </c:pt>
                <c:pt idx="87">
                  <c:v>-4.2495884584268255</c:v>
                </c:pt>
                <c:pt idx="88">
                  <c:v>3.4401955913344291</c:v>
                </c:pt>
                <c:pt idx="89">
                  <c:v>-2.0361856841951798</c:v>
                </c:pt>
                <c:pt idx="90">
                  <c:v>-2.7684467144007824E-3</c:v>
                </c:pt>
                <c:pt idx="91">
                  <c:v>1.3762362661789955</c:v>
                </c:pt>
                <c:pt idx="92">
                  <c:v>-3.3229854796997227</c:v>
                </c:pt>
                <c:pt idx="93">
                  <c:v>4.4574826112164203</c:v>
                </c:pt>
                <c:pt idx="94">
                  <c:v>-4.8036019945366473</c:v>
                </c:pt>
                <c:pt idx="95">
                  <c:v>4.9617015231498183</c:v>
                </c:pt>
                <c:pt idx="96">
                  <c:v>-3.4919024960893084</c:v>
                </c:pt>
                <c:pt idx="97">
                  <c:v>1.8779203998205232</c:v>
                </c:pt>
                <c:pt idx="98">
                  <c:v>0.25641859091257546</c:v>
                </c:pt>
                <c:pt idx="99">
                  <c:v>-2.8161113879756803</c:v>
                </c:pt>
                <c:pt idx="100">
                  <c:v>4.088896817432695</c:v>
                </c:pt>
                <c:pt idx="101">
                  <c:v>-5.084690956903076</c:v>
                </c:pt>
                <c:pt idx="102">
                  <c:v>4.5125810499197518</c:v>
                </c:pt>
                <c:pt idx="103">
                  <c:v>-2.5215874704189405</c:v>
                </c:pt>
                <c:pt idx="104">
                  <c:v>0.41113374766902516</c:v>
                </c:pt>
                <c:pt idx="105">
                  <c:v>2.5720722246600825</c:v>
                </c:pt>
                <c:pt idx="106">
                  <c:v>-4.3545520903868917</c:v>
                </c:pt>
                <c:pt idx="107">
                  <c:v>4.8481806237125129</c:v>
                </c:pt>
                <c:pt idx="108">
                  <c:v>-4.3211152439533143</c:v>
                </c:pt>
                <c:pt idx="109">
                  <c:v>1.7442911118956204</c:v>
                </c:pt>
                <c:pt idx="110">
                  <c:v>0.76375789045477793</c:v>
                </c:pt>
                <c:pt idx="111">
                  <c:v>-3.2478760523509274</c:v>
                </c:pt>
                <c:pt idx="112">
                  <c:v>5.0022803318164222</c:v>
                </c:pt>
                <c:pt idx="113">
                  <c:v>-4.5951814680701766</c:v>
                </c:pt>
                <c:pt idx="114">
                  <c:v>3.5372188257305601</c:v>
                </c:pt>
                <c:pt idx="115">
                  <c:v>-1.076238234542952</c:v>
                </c:pt>
                <c:pt idx="116">
                  <c:v>-1.7095832165405467</c:v>
                </c:pt>
                <c:pt idx="117">
                  <c:v>3.4671039265780901</c:v>
                </c:pt>
                <c:pt idx="118">
                  <c:v>-5.0350831033731591</c:v>
                </c:pt>
                <c:pt idx="119">
                  <c:v>4.7941035696994314</c:v>
                </c:pt>
                <c:pt idx="120">
                  <c:v>-3.6251560532461267</c:v>
                </c:pt>
                <c:pt idx="121">
                  <c:v>2.0793468394773371</c:v>
                </c:pt>
                <c:pt idx="122">
                  <c:v>0.51869146768618202</c:v>
                </c:pt>
                <c:pt idx="123">
                  <c:v>-2.2540841639093201</c:v>
                </c:pt>
                <c:pt idx="124">
                  <c:v>3.8956570308545655</c:v>
                </c:pt>
                <c:pt idx="125">
                  <c:v>-5.0068430967187521</c:v>
                </c:pt>
                <c:pt idx="126">
                  <c:v>4.7325042462090368</c:v>
                </c:pt>
                <c:pt idx="127">
                  <c:v>-4.5305779289875607</c:v>
                </c:pt>
                <c:pt idx="128">
                  <c:v>3.1853778383714673</c:v>
                </c:pt>
                <c:pt idx="129">
                  <c:v>-1.5322188375576073</c:v>
                </c:pt>
                <c:pt idx="130">
                  <c:v>0.15785145880813106</c:v>
                </c:pt>
                <c:pt idx="131">
                  <c:v>1.9453313839675208</c:v>
                </c:pt>
                <c:pt idx="132">
                  <c:v>-3.1242598429780379</c:v>
                </c:pt>
                <c:pt idx="133">
                  <c:v>4.2339919633346099</c:v>
                </c:pt>
                <c:pt idx="134">
                  <c:v>-5.094169430984663</c:v>
                </c:pt>
                <c:pt idx="135">
                  <c:v>4.7230233162062794</c:v>
                </c:pt>
                <c:pt idx="136">
                  <c:v>-4.5485331269153058</c:v>
                </c:pt>
                <c:pt idx="137">
                  <c:v>3.3253138759719003</c:v>
                </c:pt>
                <c:pt idx="138">
                  <c:v>-1.6537917788967391</c:v>
                </c:pt>
                <c:pt idx="139">
                  <c:v>0.22538075475886352</c:v>
                </c:pt>
                <c:pt idx="140">
                  <c:v>2.0319100135801991</c:v>
                </c:pt>
                <c:pt idx="141">
                  <c:v>-3.4085184112897093</c:v>
                </c:pt>
                <c:pt idx="142">
                  <c:v>4.514308593397649</c:v>
                </c:pt>
                <c:pt idx="143">
                  <c:v>-5.1989055377569589</c:v>
                </c:pt>
                <c:pt idx="144">
                  <c:v>4.2840321547337883</c:v>
                </c:pt>
                <c:pt idx="145">
                  <c:v>-3.2443439927914581</c:v>
                </c:pt>
                <c:pt idx="146">
                  <c:v>1.080196978137818</c:v>
                </c:pt>
                <c:pt idx="147">
                  <c:v>1.4670976807523677</c:v>
                </c:pt>
                <c:pt idx="148">
                  <c:v>-3.1984319907523551</c:v>
                </c:pt>
                <c:pt idx="149">
                  <c:v>4.9302604673599166</c:v>
                </c:pt>
                <c:pt idx="150">
                  <c:v>-4.8523616651513954</c:v>
                </c:pt>
                <c:pt idx="151">
                  <c:v>3.6020443217127642</c:v>
                </c:pt>
                <c:pt idx="152">
                  <c:v>-1.6834103342989564</c:v>
                </c:pt>
                <c:pt idx="153">
                  <c:v>-1.4375063294238195</c:v>
                </c:pt>
                <c:pt idx="154">
                  <c:v>3.4915739555559844</c:v>
                </c:pt>
                <c:pt idx="155">
                  <c:v>-4.8407705672709813</c:v>
                </c:pt>
                <c:pt idx="156">
                  <c:v>4.8643726580989917</c:v>
                </c:pt>
                <c:pt idx="157">
                  <c:v>-2.8015909621909549</c:v>
                </c:pt>
                <c:pt idx="158">
                  <c:v>0.58558715283873419</c:v>
                </c:pt>
                <c:pt idx="159">
                  <c:v>2.3099799206790133</c:v>
                </c:pt>
                <c:pt idx="160">
                  <c:v>-4.4276919039789089</c:v>
                </c:pt>
                <c:pt idx="161">
                  <c:v>4.7792429237800382</c:v>
                </c:pt>
                <c:pt idx="162">
                  <c:v>-4.4354821442050394</c:v>
                </c:pt>
                <c:pt idx="163">
                  <c:v>2.2144068576940286</c:v>
                </c:pt>
                <c:pt idx="164">
                  <c:v>0.30097435815052415</c:v>
                </c:pt>
                <c:pt idx="165">
                  <c:v>-2.448753082512992</c:v>
                </c:pt>
                <c:pt idx="166">
                  <c:v>4.567450337973666</c:v>
                </c:pt>
                <c:pt idx="167">
                  <c:v>-4.8542709962913921</c:v>
                </c:pt>
                <c:pt idx="168">
                  <c:v>4.5199587736622613</c:v>
                </c:pt>
                <c:pt idx="169">
                  <c:v>-3.28666858443317</c:v>
                </c:pt>
                <c:pt idx="170">
                  <c:v>0.9588301392850842</c:v>
                </c:pt>
                <c:pt idx="171">
                  <c:v>0.74109092741182081</c:v>
                </c:pt>
                <c:pt idx="172">
                  <c:v>-2.8720091910320971</c:v>
                </c:pt>
                <c:pt idx="173">
                  <c:v>4.2865221649868275</c:v>
                </c:pt>
                <c:pt idx="174">
                  <c:v>-4.7029636599234976</c:v>
                </c:pt>
                <c:pt idx="175">
                  <c:v>5.1290806163247575</c:v>
                </c:pt>
                <c:pt idx="176">
                  <c:v>-4.1490969412942871</c:v>
                </c:pt>
                <c:pt idx="177">
                  <c:v>3.0715688470417417</c:v>
                </c:pt>
                <c:pt idx="178">
                  <c:v>-1.7457526323065167</c:v>
                </c:pt>
                <c:pt idx="179">
                  <c:v>-0.33337632940974149</c:v>
                </c:pt>
                <c:pt idx="180">
                  <c:v>1.5987511934548777</c:v>
                </c:pt>
                <c:pt idx="181">
                  <c:v>-3.260962963403029</c:v>
                </c:pt>
                <c:pt idx="182">
                  <c:v>4.428342732108848</c:v>
                </c:pt>
                <c:pt idx="183">
                  <c:v>-4.6977967828703671</c:v>
                </c:pt>
                <c:pt idx="184">
                  <c:v>5.1403408464991029</c:v>
                </c:pt>
                <c:pt idx="185">
                  <c:v>-4.2515544027113084</c:v>
                </c:pt>
                <c:pt idx="186">
                  <c:v>3.1468593567556877</c:v>
                </c:pt>
                <c:pt idx="187">
                  <c:v>-1.7702991253031792</c:v>
                </c:pt>
                <c:pt idx="188">
                  <c:v>-0.51980844402035031</c:v>
                </c:pt>
                <c:pt idx="189">
                  <c:v>2.0392695587870193</c:v>
                </c:pt>
                <c:pt idx="190">
                  <c:v>-3.8110173033870378</c:v>
                </c:pt>
                <c:pt idx="191">
                  <c:v>4.9316588720765386</c:v>
                </c:pt>
                <c:pt idx="192">
                  <c:v>-4.7210569587476972</c:v>
                </c:pt>
                <c:pt idx="193">
                  <c:v>4.3086413480586891</c:v>
                </c:pt>
                <c:pt idx="194">
                  <c:v>-2.3148132445453919</c:v>
                </c:pt>
                <c:pt idx="195">
                  <c:v>1.2910854720515688E-2</c:v>
                </c:pt>
                <c:pt idx="196">
                  <c:v>2.1027047564330283</c:v>
                </c:pt>
                <c:pt idx="197">
                  <c:v>-4.3884148606460167</c:v>
                </c:pt>
                <c:pt idx="198">
                  <c:v>4.8503299123330823</c:v>
                </c:pt>
                <c:pt idx="199">
                  <c:v>-4.4456643707170747</c:v>
                </c:pt>
                <c:pt idx="200">
                  <c:v>2.8037411536360346</c:v>
                </c:pt>
                <c:pt idx="201">
                  <c:v>0.17994366696410122</c:v>
                </c:pt>
                <c:pt idx="202">
                  <c:v>-2.4213827691943512</c:v>
                </c:pt>
                <c:pt idx="203">
                  <c:v>4.5320446950254301</c:v>
                </c:pt>
                <c:pt idx="204">
                  <c:v>-5.069646475908149</c:v>
                </c:pt>
                <c:pt idx="205">
                  <c:v>3.7170983948404528</c:v>
                </c:pt>
                <c:pt idx="206">
                  <c:v>-1.8739329541172027</c:v>
                </c:pt>
                <c:pt idx="207">
                  <c:v>-1.2182495431741551</c:v>
                </c:pt>
                <c:pt idx="208">
                  <c:v>3.5411470550830737</c:v>
                </c:pt>
                <c:pt idx="209">
                  <c:v>-4.6791825947891281</c:v>
                </c:pt>
                <c:pt idx="210">
                  <c:v>5.0036044228514998</c:v>
                </c:pt>
                <c:pt idx="211">
                  <c:v>-3.2161206869295871</c:v>
                </c:pt>
                <c:pt idx="212">
                  <c:v>1.1483390225046257</c:v>
                </c:pt>
                <c:pt idx="213">
                  <c:v>1.2680076313888136</c:v>
                </c:pt>
                <c:pt idx="214">
                  <c:v>-3.7082216869736433</c:v>
                </c:pt>
                <c:pt idx="215">
                  <c:v>4.5425569736653593</c:v>
                </c:pt>
                <c:pt idx="216">
                  <c:v>-5.041159065437439</c:v>
                </c:pt>
                <c:pt idx="217">
                  <c:v>4.1952867984131439</c:v>
                </c:pt>
                <c:pt idx="218">
                  <c:v>-2.388699504515615</c:v>
                </c:pt>
                <c:pt idx="219">
                  <c:v>0.82598876068246563</c:v>
                </c:pt>
                <c:pt idx="220">
                  <c:v>1.5564491002403826</c:v>
                </c:pt>
                <c:pt idx="221">
                  <c:v>-3.1238076994061972</c:v>
                </c:pt>
                <c:pt idx="222">
                  <c:v>4.2159738944966891</c:v>
                </c:pt>
                <c:pt idx="223">
                  <c:v>-5.1662092264478989</c:v>
                </c:pt>
                <c:pt idx="224">
                  <c:v>4.6861575019854662</c:v>
                </c:pt>
                <c:pt idx="225">
                  <c:v>-4.2837844123389734</c:v>
                </c:pt>
                <c:pt idx="226">
                  <c:v>3.1254616607814709</c:v>
                </c:pt>
                <c:pt idx="227">
                  <c:v>-1.3426673465802474</c:v>
                </c:pt>
                <c:pt idx="228">
                  <c:v>8.6823286789100368E-2</c:v>
                </c:pt>
                <c:pt idx="229">
                  <c:v>1.9199502726833335</c:v>
                </c:pt>
                <c:pt idx="230">
                  <c:v>-3.2577139214239983</c:v>
                </c:pt>
                <c:pt idx="231">
                  <c:v>4.1785998250447376</c:v>
                </c:pt>
                <c:pt idx="232">
                  <c:v>-5.147488997037053</c:v>
                </c:pt>
                <c:pt idx="233">
                  <c:v>4.7308365887197752</c:v>
                </c:pt>
                <c:pt idx="234">
                  <c:v>-4.3106025956171505</c:v>
                </c:pt>
                <c:pt idx="235">
                  <c:v>3.1046708654972135</c:v>
                </c:pt>
                <c:pt idx="236">
                  <c:v>-1.063705415305229</c:v>
                </c:pt>
                <c:pt idx="237">
                  <c:v>-0.4995994920636373</c:v>
                </c:pt>
                <c:pt idx="238">
                  <c:v>2.7541140166467879</c:v>
                </c:pt>
                <c:pt idx="239">
                  <c:v>-4.2017636724668534</c:v>
                </c:pt>
                <c:pt idx="240">
                  <c:v>4.7732095870755185</c:v>
                </c:pt>
                <c:pt idx="241">
                  <c:v>-4.9769257283423816</c:v>
                </c:pt>
                <c:pt idx="242">
                  <c:v>3.3642701535676856</c:v>
                </c:pt>
                <c:pt idx="243">
                  <c:v>-1.4937929519844912</c:v>
                </c:pt>
                <c:pt idx="244">
                  <c:v>-0.88487350289990696</c:v>
                </c:pt>
                <c:pt idx="245">
                  <c:v>3.4981896960056655</c:v>
                </c:pt>
                <c:pt idx="246">
                  <c:v>-4.5273315972765857</c:v>
                </c:pt>
                <c:pt idx="247">
                  <c:v>4.9831897984706224</c:v>
                </c:pt>
                <c:pt idx="248">
                  <c:v>-3.7080108899729645</c:v>
                </c:pt>
                <c:pt idx="249">
                  <c:v>1.1202211661831458</c:v>
                </c:pt>
                <c:pt idx="250">
                  <c:v>1.2269016624457312</c:v>
                </c:pt>
                <c:pt idx="251">
                  <c:v>-3.9262196184280849</c:v>
                </c:pt>
                <c:pt idx="252">
                  <c:v>4.9375366874773086</c:v>
                </c:pt>
                <c:pt idx="253">
                  <c:v>-4.4299992812866682</c:v>
                </c:pt>
                <c:pt idx="254">
                  <c:v>3.0105649631600073</c:v>
                </c:pt>
                <c:pt idx="255">
                  <c:v>2.5895791597921131E-2</c:v>
                </c:pt>
                <c:pt idx="256">
                  <c:v>-2.4132282769214175</c:v>
                </c:pt>
                <c:pt idx="257">
                  <c:v>4.290009937806551</c:v>
                </c:pt>
                <c:pt idx="258">
                  <c:v>-5.1941989277588982</c:v>
                </c:pt>
                <c:pt idx="259">
                  <c:v>4.0206357347879118</c:v>
                </c:pt>
                <c:pt idx="260">
                  <c:v>-2.5165235487308251</c:v>
                </c:pt>
                <c:pt idx="261">
                  <c:v>9.5025691686234648E-7</c:v>
                </c:pt>
                <c:pt idx="262">
                  <c:v>2.5192509494656266</c:v>
                </c:pt>
                <c:pt idx="263">
                  <c:v>-3.8852117187743667</c:v>
                </c:pt>
                <c:pt idx="264">
                  <c:v>5.1222579115191484</c:v>
                </c:pt>
                <c:pt idx="265">
                  <c:v>-4.7318021842000126</c:v>
                </c:pt>
                <c:pt idx="266">
                  <c:v>3.6328293333555419</c:v>
                </c:pt>
                <c:pt idx="267">
                  <c:v>-2.2954054813628386</c:v>
                </c:pt>
                <c:pt idx="268">
                  <c:v>-6.1687535235739346E-2</c:v>
                </c:pt>
                <c:pt idx="269">
                  <c:v>1.6421499619826569</c:v>
                </c:pt>
                <c:pt idx="270">
                  <c:v>-3.3072244097871226</c:v>
                </c:pt>
                <c:pt idx="271">
                  <c:v>4.6312327986363604</c:v>
                </c:pt>
                <c:pt idx="272">
                  <c:v>-4.7423248614284388</c:v>
                </c:pt>
                <c:pt idx="273">
                  <c:v>5.0213090433805707</c:v>
                </c:pt>
                <c:pt idx="274">
                  <c:v>-4.1526686199124292</c:v>
                </c:pt>
                <c:pt idx="275">
                  <c:v>2.8926346615027767</c:v>
                </c:pt>
                <c:pt idx="276">
                  <c:v>-1.7386460683043443</c:v>
                </c:pt>
                <c:pt idx="277">
                  <c:v>-0.35063910698432499</c:v>
                </c:pt>
                <c:pt idx="278">
                  <c:v>1.725515390770574</c:v>
                </c:pt>
                <c:pt idx="279">
                  <c:v>-3.2195442993661372</c:v>
                </c:pt>
                <c:pt idx="280">
                  <c:v>4.5717530500161345</c:v>
                </c:pt>
                <c:pt idx="281">
                  <c:v>-4.7262808150864482</c:v>
                </c:pt>
                <c:pt idx="282">
                  <c:v>5.0152790255208481</c:v>
                </c:pt>
                <c:pt idx="283">
                  <c:v>-4.1048750030331327</c:v>
                </c:pt>
                <c:pt idx="284">
                  <c:v>2.5598253083489748</c:v>
                </c:pt>
                <c:pt idx="285">
                  <c:v>-1.052236476770229</c:v>
                </c:pt>
                <c:pt idx="286">
                  <c:v>-1.4348175167120605</c:v>
                </c:pt>
                <c:pt idx="287">
                  <c:v>3.0958172724160051</c:v>
                </c:pt>
                <c:pt idx="288">
                  <c:v>-4.438420712958961</c:v>
                </c:pt>
                <c:pt idx="289">
                  <c:v>5.197080742451555</c:v>
                </c:pt>
                <c:pt idx="290">
                  <c:v>-4.1613476062572321</c:v>
                </c:pt>
                <c:pt idx="291">
                  <c:v>2.846562417014709</c:v>
                </c:pt>
                <c:pt idx="292">
                  <c:v>-0.3722313491616317</c:v>
                </c:pt>
                <c:pt idx="293">
                  <c:v>-2.3294378372468567</c:v>
                </c:pt>
                <c:pt idx="294">
                  <c:v>3.9216645525554821</c:v>
                </c:pt>
                <c:pt idx="295">
                  <c:v>-5.1666434105026253</c:v>
                </c:pt>
                <c:pt idx="296">
                  <c:v>4.3532438398026301</c:v>
                </c:pt>
                <c:pt idx="297">
                  <c:v>-2.3733959721859512</c:v>
                </c:pt>
                <c:pt idx="298">
                  <c:v>8.5391927494937736E-3</c:v>
                </c:pt>
                <c:pt idx="299">
                  <c:v>3.0477655257188503</c:v>
                </c:pt>
                <c:pt idx="300">
                  <c:v>-4.4931011081462859</c:v>
                </c:pt>
                <c:pt idx="301">
                  <c:v>4.8844835206652917</c:v>
                </c:pt>
                <c:pt idx="302">
                  <c:v>-3.9212504265128851</c:v>
                </c:pt>
                <c:pt idx="303">
                  <c:v>1.2022399249409741</c:v>
                </c:pt>
                <c:pt idx="304">
                  <c:v>1.1323557645885876</c:v>
                </c:pt>
                <c:pt idx="305">
                  <c:v>-3.6202865259188513</c:v>
                </c:pt>
                <c:pt idx="306">
                  <c:v>4.9925517163937423</c:v>
                </c:pt>
                <c:pt idx="307">
                  <c:v>-4.5732422790748668</c:v>
                </c:pt>
                <c:pt idx="308">
                  <c:v>3.6857142307321578</c:v>
                </c:pt>
                <c:pt idx="309">
                  <c:v>-1.2742091670230926</c:v>
                </c:pt>
                <c:pt idx="310">
                  <c:v>-1.0977971724312694</c:v>
                </c:pt>
                <c:pt idx="311">
                  <c:v>2.9314157940557446</c:v>
                </c:pt>
                <c:pt idx="312">
                  <c:v>-4.7364351854512581</c:v>
                </c:pt>
                <c:pt idx="313">
                  <c:v>4.8549108583963854</c:v>
                </c:pt>
                <c:pt idx="314">
                  <c:v>-4.5609226803658478</c:v>
                </c:pt>
                <c:pt idx="315">
                  <c:v>3.5266865172704951</c:v>
                </c:pt>
                <c:pt idx="316">
                  <c:v>-1.4736524680482006</c:v>
                </c:pt>
                <c:pt idx="317">
                  <c:v>-1.4957863833647833E-4</c:v>
                </c:pt>
                <c:pt idx="318">
                  <c:v>2.0543554662216081</c:v>
                </c:pt>
                <c:pt idx="319">
                  <c:v>-3.5804910639324556</c:v>
                </c:pt>
                <c:pt idx="320">
                  <c:v>4.3100087986085658</c:v>
                </c:pt>
                <c:pt idx="321">
                  <c:v>-5.1896456126797901</c:v>
                </c:pt>
                <c:pt idx="322">
                  <c:v>4.723179279531351</c:v>
                </c:pt>
                <c:pt idx="323">
                  <c:v>-4.1348417527282377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77200"/>
        <c:axId val="620809872"/>
      </c:scatterChart>
      <c:valAx>
        <c:axId val="620809480"/>
        <c:scaling>
          <c:orientation val="minMax"/>
          <c:max val="2000"/>
          <c:min val="180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620810656"/>
        <c:crosses val="autoZero"/>
        <c:crossBetween val="midCat"/>
      </c:valAx>
      <c:valAx>
        <c:axId val="620810656"/>
        <c:scaling>
          <c:orientation val="minMax"/>
          <c:min val="-15"/>
        </c:scaling>
        <c:delete val="0"/>
        <c:axPos val="l"/>
        <c:numFmt formatCode="General" sourceLinked="1"/>
        <c:majorTickMark val="out"/>
        <c:minorTickMark val="none"/>
        <c:tickLblPos val="nextTo"/>
        <c:crossAx val="620809480"/>
        <c:crosses val="autoZero"/>
        <c:crossBetween val="midCat"/>
      </c:valAx>
      <c:valAx>
        <c:axId val="620809872"/>
        <c:scaling>
          <c:orientation val="minMax"/>
          <c:max val="10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478477200"/>
        <c:crosses val="max"/>
        <c:crossBetween val="midCat"/>
      </c:valAx>
      <c:valAx>
        <c:axId val="47847720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20809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696074062791369E-2"/>
          <c:y val="2.8252405949256341E-2"/>
          <c:w val="0.92251084615354284"/>
          <c:h val="0.89719889180519097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trendline>
            <c:trendlineType val="movingAvg"/>
            <c:period val="6"/>
            <c:dispRSqr val="0"/>
            <c:dispEq val="0"/>
          </c:trendline>
          <c:xVal>
            <c:numRef>
              <c:f>cc_law!$E$11:$E$338</c:f>
              <c:numCache>
                <c:formatCode>0.00</c:formatCode>
                <c:ptCount val="328"/>
                <c:pt idx="0">
                  <c:v>1650</c:v>
                </c:pt>
                <c:pt idx="1">
                  <c:v>1651</c:v>
                </c:pt>
                <c:pt idx="2">
                  <c:v>1652</c:v>
                </c:pt>
                <c:pt idx="3">
                  <c:v>1653</c:v>
                </c:pt>
                <c:pt idx="4">
                  <c:v>1654</c:v>
                </c:pt>
                <c:pt idx="5">
                  <c:v>1655</c:v>
                </c:pt>
                <c:pt idx="6">
                  <c:v>1656</c:v>
                </c:pt>
                <c:pt idx="7">
                  <c:v>1657</c:v>
                </c:pt>
                <c:pt idx="8">
                  <c:v>1658</c:v>
                </c:pt>
                <c:pt idx="9">
                  <c:v>1659</c:v>
                </c:pt>
                <c:pt idx="10">
                  <c:v>1660</c:v>
                </c:pt>
                <c:pt idx="11">
                  <c:v>1661</c:v>
                </c:pt>
                <c:pt idx="12">
                  <c:v>1662</c:v>
                </c:pt>
                <c:pt idx="13">
                  <c:v>1663</c:v>
                </c:pt>
                <c:pt idx="14">
                  <c:v>1664</c:v>
                </c:pt>
                <c:pt idx="15">
                  <c:v>1665</c:v>
                </c:pt>
                <c:pt idx="16">
                  <c:v>1666</c:v>
                </c:pt>
                <c:pt idx="17">
                  <c:v>1667</c:v>
                </c:pt>
                <c:pt idx="18">
                  <c:v>1668</c:v>
                </c:pt>
                <c:pt idx="19">
                  <c:v>1669</c:v>
                </c:pt>
                <c:pt idx="20">
                  <c:v>1670</c:v>
                </c:pt>
                <c:pt idx="21">
                  <c:v>1671</c:v>
                </c:pt>
                <c:pt idx="22">
                  <c:v>1672</c:v>
                </c:pt>
                <c:pt idx="23">
                  <c:v>1673</c:v>
                </c:pt>
                <c:pt idx="24">
                  <c:v>1674</c:v>
                </c:pt>
                <c:pt idx="25">
                  <c:v>1675</c:v>
                </c:pt>
                <c:pt idx="26">
                  <c:v>1676</c:v>
                </c:pt>
                <c:pt idx="27">
                  <c:v>1677</c:v>
                </c:pt>
                <c:pt idx="28">
                  <c:v>1678</c:v>
                </c:pt>
                <c:pt idx="29">
                  <c:v>1679</c:v>
                </c:pt>
                <c:pt idx="30">
                  <c:v>1680</c:v>
                </c:pt>
                <c:pt idx="31">
                  <c:v>1681</c:v>
                </c:pt>
                <c:pt idx="32">
                  <c:v>1682</c:v>
                </c:pt>
                <c:pt idx="33">
                  <c:v>1683</c:v>
                </c:pt>
                <c:pt idx="34">
                  <c:v>1684</c:v>
                </c:pt>
                <c:pt idx="35">
                  <c:v>1685</c:v>
                </c:pt>
                <c:pt idx="36">
                  <c:v>1686</c:v>
                </c:pt>
                <c:pt idx="37">
                  <c:v>1687</c:v>
                </c:pt>
                <c:pt idx="38">
                  <c:v>1688</c:v>
                </c:pt>
                <c:pt idx="39">
                  <c:v>1689</c:v>
                </c:pt>
                <c:pt idx="40">
                  <c:v>1690</c:v>
                </c:pt>
                <c:pt idx="41">
                  <c:v>1691</c:v>
                </c:pt>
                <c:pt idx="42">
                  <c:v>1692</c:v>
                </c:pt>
                <c:pt idx="43">
                  <c:v>1693</c:v>
                </c:pt>
                <c:pt idx="44">
                  <c:v>1694</c:v>
                </c:pt>
                <c:pt idx="45">
                  <c:v>1695</c:v>
                </c:pt>
                <c:pt idx="46">
                  <c:v>1696</c:v>
                </c:pt>
                <c:pt idx="47">
                  <c:v>1697</c:v>
                </c:pt>
                <c:pt idx="48">
                  <c:v>1698</c:v>
                </c:pt>
                <c:pt idx="49">
                  <c:v>1699</c:v>
                </c:pt>
                <c:pt idx="50">
                  <c:v>1700</c:v>
                </c:pt>
                <c:pt idx="51">
                  <c:v>1701</c:v>
                </c:pt>
                <c:pt idx="52">
                  <c:v>1702</c:v>
                </c:pt>
                <c:pt idx="53">
                  <c:v>1703</c:v>
                </c:pt>
                <c:pt idx="54">
                  <c:v>1704</c:v>
                </c:pt>
                <c:pt idx="55">
                  <c:v>1705</c:v>
                </c:pt>
                <c:pt idx="56">
                  <c:v>1706</c:v>
                </c:pt>
                <c:pt idx="57">
                  <c:v>1707</c:v>
                </c:pt>
                <c:pt idx="58">
                  <c:v>1708</c:v>
                </c:pt>
                <c:pt idx="59">
                  <c:v>1709</c:v>
                </c:pt>
                <c:pt idx="60">
                  <c:v>1710</c:v>
                </c:pt>
                <c:pt idx="61">
                  <c:v>1711</c:v>
                </c:pt>
                <c:pt idx="62">
                  <c:v>1712</c:v>
                </c:pt>
                <c:pt idx="63">
                  <c:v>1713</c:v>
                </c:pt>
                <c:pt idx="64">
                  <c:v>1714</c:v>
                </c:pt>
                <c:pt idx="65">
                  <c:v>1715</c:v>
                </c:pt>
                <c:pt idx="66">
                  <c:v>1716</c:v>
                </c:pt>
                <c:pt idx="67">
                  <c:v>1717</c:v>
                </c:pt>
                <c:pt idx="68">
                  <c:v>1718</c:v>
                </c:pt>
                <c:pt idx="69">
                  <c:v>1719</c:v>
                </c:pt>
                <c:pt idx="70">
                  <c:v>1720</c:v>
                </c:pt>
                <c:pt idx="71">
                  <c:v>1721</c:v>
                </c:pt>
                <c:pt idx="72">
                  <c:v>1722</c:v>
                </c:pt>
                <c:pt idx="73">
                  <c:v>1723</c:v>
                </c:pt>
                <c:pt idx="74">
                  <c:v>1724</c:v>
                </c:pt>
                <c:pt idx="75">
                  <c:v>1725</c:v>
                </c:pt>
                <c:pt idx="76">
                  <c:v>1726</c:v>
                </c:pt>
                <c:pt idx="77">
                  <c:v>1727</c:v>
                </c:pt>
                <c:pt idx="78">
                  <c:v>1728</c:v>
                </c:pt>
                <c:pt idx="79">
                  <c:v>1729</c:v>
                </c:pt>
                <c:pt idx="80">
                  <c:v>1730</c:v>
                </c:pt>
                <c:pt idx="81">
                  <c:v>1731</c:v>
                </c:pt>
                <c:pt idx="82">
                  <c:v>1732</c:v>
                </c:pt>
                <c:pt idx="83">
                  <c:v>1733</c:v>
                </c:pt>
                <c:pt idx="84">
                  <c:v>1734</c:v>
                </c:pt>
                <c:pt idx="85">
                  <c:v>1735</c:v>
                </c:pt>
                <c:pt idx="86">
                  <c:v>1736</c:v>
                </c:pt>
                <c:pt idx="87">
                  <c:v>1737</c:v>
                </c:pt>
                <c:pt idx="88">
                  <c:v>1738</c:v>
                </c:pt>
                <c:pt idx="89">
                  <c:v>1739</c:v>
                </c:pt>
                <c:pt idx="90">
                  <c:v>1740</c:v>
                </c:pt>
                <c:pt idx="91">
                  <c:v>1741</c:v>
                </c:pt>
                <c:pt idx="92">
                  <c:v>1742</c:v>
                </c:pt>
                <c:pt idx="93">
                  <c:v>1743</c:v>
                </c:pt>
                <c:pt idx="94">
                  <c:v>1744</c:v>
                </c:pt>
                <c:pt idx="95">
                  <c:v>1745</c:v>
                </c:pt>
                <c:pt idx="96">
                  <c:v>1746</c:v>
                </c:pt>
                <c:pt idx="97">
                  <c:v>1747</c:v>
                </c:pt>
                <c:pt idx="98">
                  <c:v>1748</c:v>
                </c:pt>
                <c:pt idx="99">
                  <c:v>1749</c:v>
                </c:pt>
                <c:pt idx="100">
                  <c:v>1750</c:v>
                </c:pt>
                <c:pt idx="101">
                  <c:v>1751</c:v>
                </c:pt>
                <c:pt idx="102">
                  <c:v>1752</c:v>
                </c:pt>
                <c:pt idx="103">
                  <c:v>1753</c:v>
                </c:pt>
                <c:pt idx="104">
                  <c:v>1754</c:v>
                </c:pt>
                <c:pt idx="105">
                  <c:v>1755</c:v>
                </c:pt>
                <c:pt idx="106">
                  <c:v>1756</c:v>
                </c:pt>
                <c:pt idx="107">
                  <c:v>1757</c:v>
                </c:pt>
                <c:pt idx="108">
                  <c:v>1758</c:v>
                </c:pt>
                <c:pt idx="109">
                  <c:v>1759</c:v>
                </c:pt>
                <c:pt idx="110">
                  <c:v>1760</c:v>
                </c:pt>
                <c:pt idx="111">
                  <c:v>1761</c:v>
                </c:pt>
                <c:pt idx="112">
                  <c:v>1762</c:v>
                </c:pt>
                <c:pt idx="113">
                  <c:v>1763</c:v>
                </c:pt>
                <c:pt idx="114">
                  <c:v>1764</c:v>
                </c:pt>
                <c:pt idx="115">
                  <c:v>1765</c:v>
                </c:pt>
                <c:pt idx="116">
                  <c:v>1766</c:v>
                </c:pt>
                <c:pt idx="117">
                  <c:v>1767</c:v>
                </c:pt>
                <c:pt idx="118">
                  <c:v>1768</c:v>
                </c:pt>
                <c:pt idx="119">
                  <c:v>1769</c:v>
                </c:pt>
                <c:pt idx="120">
                  <c:v>1770</c:v>
                </c:pt>
                <c:pt idx="121">
                  <c:v>1771</c:v>
                </c:pt>
                <c:pt idx="122">
                  <c:v>1772</c:v>
                </c:pt>
                <c:pt idx="123">
                  <c:v>1773</c:v>
                </c:pt>
                <c:pt idx="124">
                  <c:v>1774</c:v>
                </c:pt>
                <c:pt idx="125">
                  <c:v>1775</c:v>
                </c:pt>
                <c:pt idx="126">
                  <c:v>1776</c:v>
                </c:pt>
                <c:pt idx="127">
                  <c:v>1777</c:v>
                </c:pt>
                <c:pt idx="128">
                  <c:v>1778</c:v>
                </c:pt>
                <c:pt idx="129">
                  <c:v>1779</c:v>
                </c:pt>
                <c:pt idx="130">
                  <c:v>1780</c:v>
                </c:pt>
                <c:pt idx="131">
                  <c:v>1781</c:v>
                </c:pt>
                <c:pt idx="132">
                  <c:v>1782</c:v>
                </c:pt>
                <c:pt idx="133">
                  <c:v>1783</c:v>
                </c:pt>
                <c:pt idx="134">
                  <c:v>1784</c:v>
                </c:pt>
                <c:pt idx="135">
                  <c:v>1785</c:v>
                </c:pt>
                <c:pt idx="136">
                  <c:v>1786</c:v>
                </c:pt>
                <c:pt idx="137">
                  <c:v>1787</c:v>
                </c:pt>
                <c:pt idx="138">
                  <c:v>1788</c:v>
                </c:pt>
                <c:pt idx="139">
                  <c:v>1789</c:v>
                </c:pt>
                <c:pt idx="140">
                  <c:v>1790</c:v>
                </c:pt>
                <c:pt idx="141">
                  <c:v>1791</c:v>
                </c:pt>
                <c:pt idx="142">
                  <c:v>1792</c:v>
                </c:pt>
                <c:pt idx="143">
                  <c:v>1793</c:v>
                </c:pt>
                <c:pt idx="144">
                  <c:v>1794</c:v>
                </c:pt>
                <c:pt idx="145">
                  <c:v>1795</c:v>
                </c:pt>
                <c:pt idx="146">
                  <c:v>1796</c:v>
                </c:pt>
                <c:pt idx="147">
                  <c:v>1797</c:v>
                </c:pt>
                <c:pt idx="148">
                  <c:v>1798</c:v>
                </c:pt>
                <c:pt idx="149">
                  <c:v>1799</c:v>
                </c:pt>
                <c:pt idx="150">
                  <c:v>1800</c:v>
                </c:pt>
                <c:pt idx="151">
                  <c:v>1801</c:v>
                </c:pt>
                <c:pt idx="152">
                  <c:v>1802</c:v>
                </c:pt>
                <c:pt idx="153">
                  <c:v>1803</c:v>
                </c:pt>
                <c:pt idx="154">
                  <c:v>1804</c:v>
                </c:pt>
                <c:pt idx="155">
                  <c:v>1805</c:v>
                </c:pt>
                <c:pt idx="156">
                  <c:v>1806</c:v>
                </c:pt>
                <c:pt idx="157">
                  <c:v>1807</c:v>
                </c:pt>
                <c:pt idx="158">
                  <c:v>1808</c:v>
                </c:pt>
                <c:pt idx="159">
                  <c:v>1809</c:v>
                </c:pt>
                <c:pt idx="160">
                  <c:v>1810</c:v>
                </c:pt>
                <c:pt idx="161">
                  <c:v>1811</c:v>
                </c:pt>
                <c:pt idx="162">
                  <c:v>1812</c:v>
                </c:pt>
                <c:pt idx="163">
                  <c:v>1813</c:v>
                </c:pt>
                <c:pt idx="164">
                  <c:v>1814</c:v>
                </c:pt>
                <c:pt idx="165">
                  <c:v>1815</c:v>
                </c:pt>
                <c:pt idx="166">
                  <c:v>1816</c:v>
                </c:pt>
                <c:pt idx="167">
                  <c:v>1817</c:v>
                </c:pt>
                <c:pt idx="168">
                  <c:v>1818</c:v>
                </c:pt>
                <c:pt idx="169">
                  <c:v>1819</c:v>
                </c:pt>
                <c:pt idx="170">
                  <c:v>1820</c:v>
                </c:pt>
                <c:pt idx="171">
                  <c:v>1821</c:v>
                </c:pt>
                <c:pt idx="172">
                  <c:v>1822</c:v>
                </c:pt>
                <c:pt idx="173">
                  <c:v>1823</c:v>
                </c:pt>
                <c:pt idx="174">
                  <c:v>1824</c:v>
                </c:pt>
                <c:pt idx="175">
                  <c:v>1825</c:v>
                </c:pt>
                <c:pt idx="176">
                  <c:v>1826</c:v>
                </c:pt>
                <c:pt idx="177">
                  <c:v>1827</c:v>
                </c:pt>
                <c:pt idx="178">
                  <c:v>1828</c:v>
                </c:pt>
                <c:pt idx="179">
                  <c:v>1829</c:v>
                </c:pt>
                <c:pt idx="180">
                  <c:v>1830</c:v>
                </c:pt>
                <c:pt idx="181">
                  <c:v>1831</c:v>
                </c:pt>
                <c:pt idx="182">
                  <c:v>1832</c:v>
                </c:pt>
                <c:pt idx="183">
                  <c:v>1833</c:v>
                </c:pt>
                <c:pt idx="184">
                  <c:v>1834</c:v>
                </c:pt>
                <c:pt idx="185">
                  <c:v>1835</c:v>
                </c:pt>
                <c:pt idx="186">
                  <c:v>1836</c:v>
                </c:pt>
                <c:pt idx="187">
                  <c:v>1837</c:v>
                </c:pt>
                <c:pt idx="188">
                  <c:v>1838</c:v>
                </c:pt>
                <c:pt idx="189">
                  <c:v>1839</c:v>
                </c:pt>
                <c:pt idx="190">
                  <c:v>1840</c:v>
                </c:pt>
                <c:pt idx="191">
                  <c:v>1841</c:v>
                </c:pt>
                <c:pt idx="192">
                  <c:v>1842</c:v>
                </c:pt>
                <c:pt idx="193">
                  <c:v>1843</c:v>
                </c:pt>
                <c:pt idx="194">
                  <c:v>1844</c:v>
                </c:pt>
                <c:pt idx="195">
                  <c:v>1845</c:v>
                </c:pt>
                <c:pt idx="196">
                  <c:v>1846</c:v>
                </c:pt>
                <c:pt idx="197">
                  <c:v>1847</c:v>
                </c:pt>
                <c:pt idx="198">
                  <c:v>1848</c:v>
                </c:pt>
                <c:pt idx="199">
                  <c:v>1849</c:v>
                </c:pt>
                <c:pt idx="200">
                  <c:v>1850</c:v>
                </c:pt>
                <c:pt idx="201">
                  <c:v>1851</c:v>
                </c:pt>
                <c:pt idx="202">
                  <c:v>1852</c:v>
                </c:pt>
                <c:pt idx="203">
                  <c:v>1853</c:v>
                </c:pt>
                <c:pt idx="204">
                  <c:v>1854</c:v>
                </c:pt>
                <c:pt idx="205">
                  <c:v>1855</c:v>
                </c:pt>
                <c:pt idx="206">
                  <c:v>1856</c:v>
                </c:pt>
                <c:pt idx="207">
                  <c:v>1857</c:v>
                </c:pt>
                <c:pt idx="208">
                  <c:v>1858</c:v>
                </c:pt>
                <c:pt idx="209">
                  <c:v>1859</c:v>
                </c:pt>
                <c:pt idx="210">
                  <c:v>1860</c:v>
                </c:pt>
                <c:pt idx="211">
                  <c:v>1861</c:v>
                </c:pt>
                <c:pt idx="212">
                  <c:v>1862</c:v>
                </c:pt>
                <c:pt idx="213">
                  <c:v>1863</c:v>
                </c:pt>
                <c:pt idx="214">
                  <c:v>1864</c:v>
                </c:pt>
                <c:pt idx="215">
                  <c:v>1865</c:v>
                </c:pt>
                <c:pt idx="216">
                  <c:v>1866</c:v>
                </c:pt>
                <c:pt idx="217">
                  <c:v>1867</c:v>
                </c:pt>
                <c:pt idx="218">
                  <c:v>1868</c:v>
                </c:pt>
                <c:pt idx="219">
                  <c:v>1869</c:v>
                </c:pt>
                <c:pt idx="220">
                  <c:v>1870</c:v>
                </c:pt>
                <c:pt idx="221">
                  <c:v>1871</c:v>
                </c:pt>
                <c:pt idx="222">
                  <c:v>1872</c:v>
                </c:pt>
                <c:pt idx="223">
                  <c:v>1873</c:v>
                </c:pt>
                <c:pt idx="224">
                  <c:v>1874</c:v>
                </c:pt>
                <c:pt idx="225">
                  <c:v>1875</c:v>
                </c:pt>
                <c:pt idx="226">
                  <c:v>1876</c:v>
                </c:pt>
                <c:pt idx="227">
                  <c:v>1877</c:v>
                </c:pt>
                <c:pt idx="228">
                  <c:v>1878</c:v>
                </c:pt>
                <c:pt idx="229">
                  <c:v>1879</c:v>
                </c:pt>
                <c:pt idx="230">
                  <c:v>1880</c:v>
                </c:pt>
                <c:pt idx="231">
                  <c:v>1881</c:v>
                </c:pt>
                <c:pt idx="232">
                  <c:v>1882</c:v>
                </c:pt>
                <c:pt idx="233">
                  <c:v>1883</c:v>
                </c:pt>
                <c:pt idx="234">
                  <c:v>1884</c:v>
                </c:pt>
                <c:pt idx="235">
                  <c:v>1885</c:v>
                </c:pt>
                <c:pt idx="236">
                  <c:v>1886</c:v>
                </c:pt>
                <c:pt idx="237">
                  <c:v>1887</c:v>
                </c:pt>
                <c:pt idx="238">
                  <c:v>1888</c:v>
                </c:pt>
                <c:pt idx="239">
                  <c:v>1889</c:v>
                </c:pt>
                <c:pt idx="240">
                  <c:v>1890</c:v>
                </c:pt>
                <c:pt idx="241">
                  <c:v>1891</c:v>
                </c:pt>
                <c:pt idx="242">
                  <c:v>1892</c:v>
                </c:pt>
                <c:pt idx="243">
                  <c:v>1893</c:v>
                </c:pt>
                <c:pt idx="244">
                  <c:v>1894</c:v>
                </c:pt>
                <c:pt idx="245">
                  <c:v>1895</c:v>
                </c:pt>
                <c:pt idx="246">
                  <c:v>1896</c:v>
                </c:pt>
                <c:pt idx="247">
                  <c:v>1897</c:v>
                </c:pt>
                <c:pt idx="248">
                  <c:v>1898</c:v>
                </c:pt>
                <c:pt idx="249">
                  <c:v>1899</c:v>
                </c:pt>
                <c:pt idx="250">
                  <c:v>1900</c:v>
                </c:pt>
                <c:pt idx="251">
                  <c:v>1901</c:v>
                </c:pt>
                <c:pt idx="252">
                  <c:v>1902</c:v>
                </c:pt>
                <c:pt idx="253">
                  <c:v>1903</c:v>
                </c:pt>
                <c:pt idx="254">
                  <c:v>1904</c:v>
                </c:pt>
                <c:pt idx="255">
                  <c:v>1905</c:v>
                </c:pt>
                <c:pt idx="256">
                  <c:v>1906</c:v>
                </c:pt>
                <c:pt idx="257">
                  <c:v>1907</c:v>
                </c:pt>
                <c:pt idx="258">
                  <c:v>1908</c:v>
                </c:pt>
                <c:pt idx="259">
                  <c:v>1909</c:v>
                </c:pt>
                <c:pt idx="260">
                  <c:v>1910</c:v>
                </c:pt>
                <c:pt idx="261">
                  <c:v>1911</c:v>
                </c:pt>
                <c:pt idx="262">
                  <c:v>1912</c:v>
                </c:pt>
                <c:pt idx="263">
                  <c:v>1913</c:v>
                </c:pt>
                <c:pt idx="264">
                  <c:v>1914</c:v>
                </c:pt>
                <c:pt idx="265">
                  <c:v>1915</c:v>
                </c:pt>
                <c:pt idx="266">
                  <c:v>1916</c:v>
                </c:pt>
                <c:pt idx="267">
                  <c:v>1917</c:v>
                </c:pt>
                <c:pt idx="268">
                  <c:v>1918</c:v>
                </c:pt>
                <c:pt idx="269">
                  <c:v>1919</c:v>
                </c:pt>
                <c:pt idx="270">
                  <c:v>1920</c:v>
                </c:pt>
                <c:pt idx="271">
                  <c:v>1921</c:v>
                </c:pt>
                <c:pt idx="272">
                  <c:v>1922</c:v>
                </c:pt>
                <c:pt idx="273">
                  <c:v>1923</c:v>
                </c:pt>
                <c:pt idx="274">
                  <c:v>1924</c:v>
                </c:pt>
                <c:pt idx="275">
                  <c:v>1925</c:v>
                </c:pt>
                <c:pt idx="276">
                  <c:v>1926</c:v>
                </c:pt>
                <c:pt idx="277">
                  <c:v>1927</c:v>
                </c:pt>
                <c:pt idx="278">
                  <c:v>1928</c:v>
                </c:pt>
                <c:pt idx="279">
                  <c:v>1929</c:v>
                </c:pt>
                <c:pt idx="280">
                  <c:v>1930</c:v>
                </c:pt>
                <c:pt idx="281">
                  <c:v>1931</c:v>
                </c:pt>
                <c:pt idx="282">
                  <c:v>1932</c:v>
                </c:pt>
                <c:pt idx="283">
                  <c:v>1933</c:v>
                </c:pt>
                <c:pt idx="284">
                  <c:v>1934</c:v>
                </c:pt>
                <c:pt idx="285">
                  <c:v>1935</c:v>
                </c:pt>
                <c:pt idx="286">
                  <c:v>1936</c:v>
                </c:pt>
                <c:pt idx="287">
                  <c:v>1937</c:v>
                </c:pt>
                <c:pt idx="288">
                  <c:v>1938</c:v>
                </c:pt>
                <c:pt idx="289">
                  <c:v>1939</c:v>
                </c:pt>
                <c:pt idx="290">
                  <c:v>1940</c:v>
                </c:pt>
                <c:pt idx="291">
                  <c:v>1941</c:v>
                </c:pt>
                <c:pt idx="292">
                  <c:v>1942</c:v>
                </c:pt>
                <c:pt idx="293">
                  <c:v>1943</c:v>
                </c:pt>
                <c:pt idx="294">
                  <c:v>1944</c:v>
                </c:pt>
                <c:pt idx="295">
                  <c:v>1945</c:v>
                </c:pt>
                <c:pt idx="296">
                  <c:v>1946</c:v>
                </c:pt>
                <c:pt idx="297">
                  <c:v>1947</c:v>
                </c:pt>
                <c:pt idx="298">
                  <c:v>1948</c:v>
                </c:pt>
                <c:pt idx="299">
                  <c:v>1949</c:v>
                </c:pt>
                <c:pt idx="300">
                  <c:v>1950</c:v>
                </c:pt>
                <c:pt idx="301">
                  <c:v>1951</c:v>
                </c:pt>
                <c:pt idx="302">
                  <c:v>1952</c:v>
                </c:pt>
                <c:pt idx="303">
                  <c:v>1953</c:v>
                </c:pt>
                <c:pt idx="304">
                  <c:v>1954</c:v>
                </c:pt>
                <c:pt idx="305">
                  <c:v>1955</c:v>
                </c:pt>
                <c:pt idx="306">
                  <c:v>1956</c:v>
                </c:pt>
                <c:pt idx="307">
                  <c:v>1957</c:v>
                </c:pt>
                <c:pt idx="308">
                  <c:v>1958</c:v>
                </c:pt>
                <c:pt idx="309">
                  <c:v>1959</c:v>
                </c:pt>
                <c:pt idx="310">
                  <c:v>1960</c:v>
                </c:pt>
                <c:pt idx="311">
                  <c:v>1961</c:v>
                </c:pt>
                <c:pt idx="312">
                  <c:v>1962</c:v>
                </c:pt>
                <c:pt idx="313">
                  <c:v>1963</c:v>
                </c:pt>
                <c:pt idx="314">
                  <c:v>1964</c:v>
                </c:pt>
                <c:pt idx="315">
                  <c:v>1965</c:v>
                </c:pt>
                <c:pt idx="316">
                  <c:v>1966</c:v>
                </c:pt>
                <c:pt idx="317">
                  <c:v>1967</c:v>
                </c:pt>
                <c:pt idx="318">
                  <c:v>1968</c:v>
                </c:pt>
                <c:pt idx="319">
                  <c:v>1969</c:v>
                </c:pt>
                <c:pt idx="320">
                  <c:v>1970</c:v>
                </c:pt>
                <c:pt idx="321">
                  <c:v>1971</c:v>
                </c:pt>
                <c:pt idx="322">
                  <c:v>1972</c:v>
                </c:pt>
                <c:pt idx="323">
                  <c:v>1973</c:v>
                </c:pt>
                <c:pt idx="324">
                  <c:v>1974</c:v>
                </c:pt>
                <c:pt idx="325">
                  <c:v>1975</c:v>
                </c:pt>
                <c:pt idx="326">
                  <c:v>1976</c:v>
                </c:pt>
                <c:pt idx="327">
                  <c:v>1977</c:v>
                </c:pt>
              </c:numCache>
            </c:numRef>
          </c:xVal>
          <c:yVal>
            <c:numRef>
              <c:f>cc_law!$F$11:$F$338</c:f>
              <c:numCache>
                <c:formatCode>General</c:formatCode>
                <c:ptCount val="328"/>
                <c:pt idx="0">
                  <c:v>0.34445999999999999</c:v>
                </c:pt>
                <c:pt idx="1">
                  <c:v>1.25427</c:v>
                </c:pt>
                <c:pt idx="2">
                  <c:v>0.69240000000000002</c:v>
                </c:pt>
                <c:pt idx="3">
                  <c:v>-0.5988</c:v>
                </c:pt>
                <c:pt idx="4">
                  <c:v>-0.59628999999999999</c:v>
                </c:pt>
                <c:pt idx="5">
                  <c:v>0.16352</c:v>
                </c:pt>
                <c:pt idx="6">
                  <c:v>1.02657</c:v>
                </c:pt>
                <c:pt idx="7">
                  <c:v>0.17119000000000001</c:v>
                </c:pt>
                <c:pt idx="8">
                  <c:v>0.46254000000000001</c:v>
                </c:pt>
                <c:pt idx="9">
                  <c:v>-2.4629999999999999E-2</c:v>
                </c:pt>
                <c:pt idx="10">
                  <c:v>0.19894999999999999</c:v>
                </c:pt>
                <c:pt idx="11">
                  <c:v>0.56230999999999998</c:v>
                </c:pt>
                <c:pt idx="12">
                  <c:v>0.13136</c:v>
                </c:pt>
                <c:pt idx="13">
                  <c:v>-0.37497999999999998</c:v>
                </c:pt>
                <c:pt idx="14">
                  <c:v>-0.98011999999999999</c:v>
                </c:pt>
                <c:pt idx="15">
                  <c:v>-0.42092000000000002</c:v>
                </c:pt>
                <c:pt idx="16">
                  <c:v>-0.25003999999999998</c:v>
                </c:pt>
                <c:pt idx="17">
                  <c:v>-0.24875</c:v>
                </c:pt>
                <c:pt idx="18">
                  <c:v>-0.53400000000000003</c:v>
                </c:pt>
                <c:pt idx="19">
                  <c:v>-0.26948</c:v>
                </c:pt>
                <c:pt idx="20">
                  <c:v>-0.28366000000000002</c:v>
                </c:pt>
                <c:pt idx="21">
                  <c:v>0.40261000000000002</c:v>
                </c:pt>
                <c:pt idx="22">
                  <c:v>-0.35426000000000002</c:v>
                </c:pt>
                <c:pt idx="23">
                  <c:v>-0.23749999999999999</c:v>
                </c:pt>
                <c:pt idx="24">
                  <c:v>0.61148000000000002</c:v>
                </c:pt>
                <c:pt idx="25">
                  <c:v>-0.11777</c:v>
                </c:pt>
                <c:pt idx="26">
                  <c:v>-0.73226000000000002</c:v>
                </c:pt>
                <c:pt idx="27">
                  <c:v>0.41489999999999999</c:v>
                </c:pt>
                <c:pt idx="28">
                  <c:v>-0.26340999999999998</c:v>
                </c:pt>
                <c:pt idx="29">
                  <c:v>-0.61716000000000004</c:v>
                </c:pt>
                <c:pt idx="30">
                  <c:v>0.18273</c:v>
                </c:pt>
                <c:pt idx="31">
                  <c:v>0.26873999999999998</c:v>
                </c:pt>
                <c:pt idx="32">
                  <c:v>0.73989000000000005</c:v>
                </c:pt>
                <c:pt idx="33">
                  <c:v>0.19533</c:v>
                </c:pt>
                <c:pt idx="34">
                  <c:v>-0.10222000000000001</c:v>
                </c:pt>
                <c:pt idx="35">
                  <c:v>-1.13442</c:v>
                </c:pt>
                <c:pt idx="36">
                  <c:v>0.26591999999999999</c:v>
                </c:pt>
                <c:pt idx="37">
                  <c:v>0.98451999999999995</c:v>
                </c:pt>
                <c:pt idx="38">
                  <c:v>0.19986000000000001</c:v>
                </c:pt>
                <c:pt idx="39">
                  <c:v>0.55893000000000004</c:v>
                </c:pt>
                <c:pt idx="40">
                  <c:v>0.36702000000000001</c:v>
                </c:pt>
                <c:pt idx="41">
                  <c:v>-5.1180000000000003E-2</c:v>
                </c:pt>
                <c:pt idx="42">
                  <c:v>0.62229000000000001</c:v>
                </c:pt>
                <c:pt idx="43">
                  <c:v>0.47972999999999999</c:v>
                </c:pt>
                <c:pt idx="44">
                  <c:v>0.67313000000000001</c:v>
                </c:pt>
                <c:pt idx="45">
                  <c:v>1.0379400000000001</c:v>
                </c:pt>
                <c:pt idx="46">
                  <c:v>-1.0860399999999999</c:v>
                </c:pt>
                <c:pt idx="47">
                  <c:v>-0.52830999999999995</c:v>
                </c:pt>
                <c:pt idx="48">
                  <c:v>-1.1008199999999999</c:v>
                </c:pt>
                <c:pt idx="49">
                  <c:v>-0.22040999999999999</c:v>
                </c:pt>
                <c:pt idx="50">
                  <c:v>-1.159E-2</c:v>
                </c:pt>
                <c:pt idx="51">
                  <c:v>0.42464000000000002</c:v>
                </c:pt>
                <c:pt idx="52">
                  <c:v>0.25956000000000001</c:v>
                </c:pt>
                <c:pt idx="53">
                  <c:v>-0.71711999999999998</c:v>
                </c:pt>
                <c:pt idx="54">
                  <c:v>-0.69467999999999996</c:v>
                </c:pt>
                <c:pt idx="55">
                  <c:v>-0.50090999999999997</c:v>
                </c:pt>
                <c:pt idx="56">
                  <c:v>-3.2829999999999998E-2</c:v>
                </c:pt>
                <c:pt idx="57">
                  <c:v>-0.55389999999999995</c:v>
                </c:pt>
                <c:pt idx="58">
                  <c:v>-4.2540000000000001E-2</c:v>
                </c:pt>
                <c:pt idx="59">
                  <c:v>-0.53747999999999996</c:v>
                </c:pt>
                <c:pt idx="60">
                  <c:v>1.12208</c:v>
                </c:pt>
                <c:pt idx="61">
                  <c:v>0.20127999999999999</c:v>
                </c:pt>
                <c:pt idx="62">
                  <c:v>0.52234999999999998</c:v>
                </c:pt>
                <c:pt idx="63">
                  <c:v>0.51917000000000002</c:v>
                </c:pt>
                <c:pt idx="64">
                  <c:v>-0.10391</c:v>
                </c:pt>
                <c:pt idx="65">
                  <c:v>-0.78198999999999996</c:v>
                </c:pt>
                <c:pt idx="66">
                  <c:v>-1.19594</c:v>
                </c:pt>
                <c:pt idx="67">
                  <c:v>-0.53366999999999998</c:v>
                </c:pt>
                <c:pt idx="68">
                  <c:v>0.98624999999999996</c:v>
                </c:pt>
                <c:pt idx="69">
                  <c:v>0.69142999999999999</c:v>
                </c:pt>
                <c:pt idx="70">
                  <c:v>0.63593999999999995</c:v>
                </c:pt>
                <c:pt idx="71">
                  <c:v>0.84379999999999999</c:v>
                </c:pt>
                <c:pt idx="72">
                  <c:v>0.5917</c:v>
                </c:pt>
                <c:pt idx="73">
                  <c:v>1.4093</c:v>
                </c:pt>
                <c:pt idx="74">
                  <c:v>0.22391</c:v>
                </c:pt>
                <c:pt idx="75">
                  <c:v>-1.22801</c:v>
                </c:pt>
                <c:pt idx="76">
                  <c:v>1.3270900000000001</c:v>
                </c:pt>
                <c:pt idx="77">
                  <c:v>1.0857000000000001</c:v>
                </c:pt>
                <c:pt idx="78">
                  <c:v>-0.48310999999999998</c:v>
                </c:pt>
                <c:pt idx="79">
                  <c:v>-0.56962000000000002</c:v>
                </c:pt>
                <c:pt idx="80">
                  <c:v>-0.60290999999999995</c:v>
                </c:pt>
                <c:pt idx="81">
                  <c:v>-0.37286000000000002</c:v>
                </c:pt>
                <c:pt idx="82">
                  <c:v>-0.41774</c:v>
                </c:pt>
                <c:pt idx="83">
                  <c:v>-1.4997400000000001</c:v>
                </c:pt>
                <c:pt idx="84">
                  <c:v>6.7570000000000005E-2</c:v>
                </c:pt>
                <c:pt idx="85">
                  <c:v>-4.3450000000000003E-2</c:v>
                </c:pt>
                <c:pt idx="86">
                  <c:v>0.24676999999999999</c:v>
                </c:pt>
                <c:pt idx="87">
                  <c:v>0.92313000000000001</c:v>
                </c:pt>
                <c:pt idx="88">
                  <c:v>1.11832</c:v>
                </c:pt>
                <c:pt idx="89">
                  <c:v>-0.66017999999999999</c:v>
                </c:pt>
                <c:pt idx="90">
                  <c:v>3.6000000000000002E-4</c:v>
                </c:pt>
                <c:pt idx="91">
                  <c:v>0.22439000000000001</c:v>
                </c:pt>
                <c:pt idx="92">
                  <c:v>-1.6000099999999999</c:v>
                </c:pt>
                <c:pt idx="93">
                  <c:v>-0.51302000000000003</c:v>
                </c:pt>
                <c:pt idx="94">
                  <c:v>0.26235999999999998</c:v>
                </c:pt>
                <c:pt idx="95">
                  <c:v>1.1347799999999999</c:v>
                </c:pt>
                <c:pt idx="96">
                  <c:v>1.5781799999999999</c:v>
                </c:pt>
                <c:pt idx="97">
                  <c:v>1.8057799999999999</c:v>
                </c:pt>
                <c:pt idx="98">
                  <c:v>-0.99582000000000004</c:v>
                </c:pt>
                <c:pt idx="99">
                  <c:v>1.0962400000000001</c:v>
                </c:pt>
                <c:pt idx="100">
                  <c:v>0.71860999999999997</c:v>
                </c:pt>
                <c:pt idx="101">
                  <c:v>0.28666000000000003</c:v>
                </c:pt>
                <c:pt idx="102">
                  <c:v>-1.8843300000000001</c:v>
                </c:pt>
                <c:pt idx="103">
                  <c:v>-1.15266</c:v>
                </c:pt>
                <c:pt idx="104">
                  <c:v>-0.73924000000000001</c:v>
                </c:pt>
                <c:pt idx="105">
                  <c:v>-1.0521499999999999</c:v>
                </c:pt>
                <c:pt idx="106">
                  <c:v>-0.21088999999999999</c:v>
                </c:pt>
                <c:pt idx="107">
                  <c:v>-1.7000599999999999</c:v>
                </c:pt>
                <c:pt idx="108">
                  <c:v>-0.62509000000000003</c:v>
                </c:pt>
                <c:pt idx="109">
                  <c:v>0.42080000000000001</c:v>
                </c:pt>
                <c:pt idx="110">
                  <c:v>5.3440000000000001E-2</c:v>
                </c:pt>
                <c:pt idx="111">
                  <c:v>-0.83013000000000003</c:v>
                </c:pt>
                <c:pt idx="112">
                  <c:v>0.53942000000000001</c:v>
                </c:pt>
                <c:pt idx="113">
                  <c:v>-0.77231000000000005</c:v>
                </c:pt>
                <c:pt idx="114">
                  <c:v>-6.3219999999999998E-2</c:v>
                </c:pt>
                <c:pt idx="115">
                  <c:v>-0.26777000000000001</c:v>
                </c:pt>
                <c:pt idx="116">
                  <c:v>0.67461000000000004</c:v>
                </c:pt>
                <c:pt idx="117">
                  <c:v>0.39495000000000002</c:v>
                </c:pt>
                <c:pt idx="118">
                  <c:v>-6.9699999999999998E-2</c:v>
                </c:pt>
                <c:pt idx="119">
                  <c:v>0.32727000000000001</c:v>
                </c:pt>
                <c:pt idx="120">
                  <c:v>0.84555999999999998</c:v>
                </c:pt>
                <c:pt idx="121">
                  <c:v>0.68544000000000005</c:v>
                </c:pt>
                <c:pt idx="122">
                  <c:v>-0.67301999999999995</c:v>
                </c:pt>
                <c:pt idx="123">
                  <c:v>-1.4125700000000001</c:v>
                </c:pt>
                <c:pt idx="124">
                  <c:v>-0.20832000000000001</c:v>
                </c:pt>
                <c:pt idx="125">
                  <c:v>-6.8239999999999995E-2</c:v>
                </c:pt>
                <c:pt idx="126">
                  <c:v>-0.45022000000000001</c:v>
                </c:pt>
                <c:pt idx="127">
                  <c:v>-0.54706999999999995</c:v>
                </c:pt>
                <c:pt idx="128">
                  <c:v>-0.87973000000000001</c:v>
                </c:pt>
                <c:pt idx="129">
                  <c:v>-0.62212999999999996</c:v>
                </c:pt>
                <c:pt idx="130">
                  <c:v>-6.0429999999999998E-2</c:v>
                </c:pt>
                <c:pt idx="131">
                  <c:v>-0.80945</c:v>
                </c:pt>
                <c:pt idx="132">
                  <c:v>-1.07429</c:v>
                </c:pt>
                <c:pt idx="133">
                  <c:v>0.82423999999999997</c:v>
                </c:pt>
                <c:pt idx="134">
                  <c:v>1.51735</c:v>
                </c:pt>
                <c:pt idx="135">
                  <c:v>-0.55728999999999995</c:v>
                </c:pt>
                <c:pt idx="136">
                  <c:v>-1.07233</c:v>
                </c:pt>
                <c:pt idx="137">
                  <c:v>-7.4130000000000001E-2</c:v>
                </c:pt>
                <c:pt idx="138">
                  <c:v>0.11168</c:v>
                </c:pt>
                <c:pt idx="139">
                  <c:v>-0.92642999999999998</c:v>
                </c:pt>
                <c:pt idx="140">
                  <c:v>-1.45756</c:v>
                </c:pt>
                <c:pt idx="141">
                  <c:v>1.3060799999999999</c:v>
                </c:pt>
                <c:pt idx="142">
                  <c:v>2.1839900000000001</c:v>
                </c:pt>
                <c:pt idx="143">
                  <c:v>1.6748000000000001</c:v>
                </c:pt>
                <c:pt idx="144">
                  <c:v>0.26229000000000002</c:v>
                </c:pt>
                <c:pt idx="145">
                  <c:v>0.61475000000000002</c:v>
                </c:pt>
                <c:pt idx="146">
                  <c:v>0.19006000000000001</c:v>
                </c:pt>
                <c:pt idx="147">
                  <c:v>-0.80827000000000004</c:v>
                </c:pt>
                <c:pt idx="148">
                  <c:v>-0.80789</c:v>
                </c:pt>
                <c:pt idx="149">
                  <c:v>0.87180999999999997</c:v>
                </c:pt>
                <c:pt idx="150">
                  <c:v>1.00691</c:v>
                </c:pt>
                <c:pt idx="151">
                  <c:v>-1.1279999999999999</c:v>
                </c:pt>
                <c:pt idx="152">
                  <c:v>-0.84469000000000005</c:v>
                </c:pt>
                <c:pt idx="153">
                  <c:v>-0.23111999999999999</c:v>
                </c:pt>
                <c:pt idx="154">
                  <c:v>1.1305799999999999</c:v>
                </c:pt>
                <c:pt idx="155">
                  <c:v>-1.10161</c:v>
                </c:pt>
                <c:pt idx="156">
                  <c:v>-0.93593999999999999</c:v>
                </c:pt>
                <c:pt idx="157">
                  <c:v>0.36529</c:v>
                </c:pt>
                <c:pt idx="158">
                  <c:v>-0.87217</c:v>
                </c:pt>
                <c:pt idx="159">
                  <c:v>-0.21523</c:v>
                </c:pt>
                <c:pt idx="160">
                  <c:v>-6.7000000000000002E-4</c:v>
                </c:pt>
                <c:pt idx="161">
                  <c:v>-0.49992999999999999</c:v>
                </c:pt>
                <c:pt idx="162">
                  <c:v>-0.53520999999999996</c:v>
                </c:pt>
                <c:pt idx="163">
                  <c:v>-0.72346999999999995</c:v>
                </c:pt>
                <c:pt idx="164">
                  <c:v>0.52873999999999999</c:v>
                </c:pt>
                <c:pt idx="165">
                  <c:v>1.1735500000000001</c:v>
                </c:pt>
                <c:pt idx="166">
                  <c:v>1.71018</c:v>
                </c:pt>
                <c:pt idx="167">
                  <c:v>0.29603000000000002</c:v>
                </c:pt>
                <c:pt idx="168">
                  <c:v>-1.12622</c:v>
                </c:pt>
                <c:pt idx="169">
                  <c:v>-1.4398299999999999</c:v>
                </c:pt>
                <c:pt idx="170">
                  <c:v>-1.9720599999999999</c:v>
                </c:pt>
                <c:pt idx="171">
                  <c:v>0.39283000000000001</c:v>
                </c:pt>
                <c:pt idx="172">
                  <c:v>-0.56689000000000001</c:v>
                </c:pt>
                <c:pt idx="173">
                  <c:v>-0.63661999999999996</c:v>
                </c:pt>
                <c:pt idx="174">
                  <c:v>0.20705000000000001</c:v>
                </c:pt>
                <c:pt idx="175">
                  <c:v>0.61867000000000005</c:v>
                </c:pt>
                <c:pt idx="176">
                  <c:v>5.3099999999999996E-3</c:v>
                </c:pt>
                <c:pt idx="177">
                  <c:v>1.0108699999999999</c:v>
                </c:pt>
                <c:pt idx="178">
                  <c:v>1.2137</c:v>
                </c:pt>
                <c:pt idx="179">
                  <c:v>0.86111000000000004</c:v>
                </c:pt>
                <c:pt idx="180">
                  <c:v>5.0360000000000002E-2</c:v>
                </c:pt>
                <c:pt idx="181">
                  <c:v>-0.47738000000000003</c:v>
                </c:pt>
                <c:pt idx="182">
                  <c:v>0.67940999999999996</c:v>
                </c:pt>
                <c:pt idx="183">
                  <c:v>2.1455899999999999</c:v>
                </c:pt>
                <c:pt idx="184">
                  <c:v>0.90192000000000005</c:v>
                </c:pt>
                <c:pt idx="185">
                  <c:v>2.6780000000000002E-2</c:v>
                </c:pt>
                <c:pt idx="186">
                  <c:v>8.6199999999999992E-3</c:v>
                </c:pt>
                <c:pt idx="187">
                  <c:v>1.0198</c:v>
                </c:pt>
                <c:pt idx="188">
                  <c:v>0.86238000000000004</c:v>
                </c:pt>
                <c:pt idx="189">
                  <c:v>2.1694100000000001</c:v>
                </c:pt>
                <c:pt idx="190">
                  <c:v>0.37686999999999998</c:v>
                </c:pt>
                <c:pt idx="191">
                  <c:v>6.5110000000000001E-2</c:v>
                </c:pt>
                <c:pt idx="192">
                  <c:v>-0.86482000000000003</c:v>
                </c:pt>
                <c:pt idx="193">
                  <c:v>3.9710000000000002E-2</c:v>
                </c:pt>
                <c:pt idx="194">
                  <c:v>0.55939000000000005</c:v>
                </c:pt>
                <c:pt idx="195">
                  <c:v>0.41731000000000001</c:v>
                </c:pt>
                <c:pt idx="196">
                  <c:v>1.00552</c:v>
                </c:pt>
                <c:pt idx="197">
                  <c:v>-1.0339799999999999</c:v>
                </c:pt>
                <c:pt idx="198">
                  <c:v>0.28494999999999998</c:v>
                </c:pt>
                <c:pt idx="199">
                  <c:v>0.19645000000000001</c:v>
                </c:pt>
                <c:pt idx="200">
                  <c:v>1.311E-2</c:v>
                </c:pt>
                <c:pt idx="201">
                  <c:v>-0.81511999999999996</c:v>
                </c:pt>
                <c:pt idx="202">
                  <c:v>1.3898200000000001</c:v>
                </c:pt>
                <c:pt idx="203">
                  <c:v>0.79200000000000004</c:v>
                </c:pt>
                <c:pt idx="204">
                  <c:v>-0.22139</c:v>
                </c:pt>
                <c:pt idx="205">
                  <c:v>-0.37125000000000002</c:v>
                </c:pt>
                <c:pt idx="206">
                  <c:v>1.5207999999999999</c:v>
                </c:pt>
                <c:pt idx="207">
                  <c:v>-0.30016999999999999</c:v>
                </c:pt>
                <c:pt idx="208">
                  <c:v>0.41785</c:v>
                </c:pt>
                <c:pt idx="209">
                  <c:v>-0.70570999999999995</c:v>
                </c:pt>
                <c:pt idx="210">
                  <c:v>-1.1175900000000001</c:v>
                </c:pt>
                <c:pt idx="211">
                  <c:v>-1.0009600000000001</c:v>
                </c:pt>
                <c:pt idx="212">
                  <c:v>-1.0362800000000001</c:v>
                </c:pt>
                <c:pt idx="213">
                  <c:v>-1.2143200000000001</c:v>
                </c:pt>
                <c:pt idx="214">
                  <c:v>-1.6611899999999999</c:v>
                </c:pt>
                <c:pt idx="215">
                  <c:v>0.53008</c:v>
                </c:pt>
                <c:pt idx="216">
                  <c:v>0.16422999999999999</c:v>
                </c:pt>
                <c:pt idx="217">
                  <c:v>1.9460000000000002E-2</c:v>
                </c:pt>
                <c:pt idx="218">
                  <c:v>0.21243999999999999</c:v>
                </c:pt>
                <c:pt idx="219">
                  <c:v>1.68716</c:v>
                </c:pt>
                <c:pt idx="220">
                  <c:v>-0.67420000000000002</c:v>
                </c:pt>
                <c:pt idx="221">
                  <c:v>-1.22858</c:v>
                </c:pt>
                <c:pt idx="222">
                  <c:v>-0.93688000000000005</c:v>
                </c:pt>
                <c:pt idx="223">
                  <c:v>-0.82884000000000002</c:v>
                </c:pt>
                <c:pt idx="224">
                  <c:v>-0.16267000000000001</c:v>
                </c:pt>
                <c:pt idx="225">
                  <c:v>0.22872000000000001</c:v>
                </c:pt>
                <c:pt idx="226">
                  <c:v>-0.45012999999999997</c:v>
                </c:pt>
                <c:pt idx="227">
                  <c:v>1.1607499999999999</c:v>
                </c:pt>
                <c:pt idx="228">
                  <c:v>1.17709</c:v>
                </c:pt>
                <c:pt idx="229">
                  <c:v>-0.92954000000000003</c:v>
                </c:pt>
                <c:pt idx="230">
                  <c:v>-1.82396</c:v>
                </c:pt>
                <c:pt idx="231">
                  <c:v>0.38571</c:v>
                </c:pt>
                <c:pt idx="232">
                  <c:v>0.27065</c:v>
                </c:pt>
                <c:pt idx="233">
                  <c:v>-0.78154999999999997</c:v>
                </c:pt>
                <c:pt idx="234">
                  <c:v>0.31241999999999998</c:v>
                </c:pt>
                <c:pt idx="235">
                  <c:v>1.6692899999999999</c:v>
                </c:pt>
                <c:pt idx="236">
                  <c:v>1.6420000000000001E-2</c:v>
                </c:pt>
                <c:pt idx="237">
                  <c:v>-1.74847</c:v>
                </c:pt>
                <c:pt idx="238">
                  <c:v>1.2333400000000001</c:v>
                </c:pt>
                <c:pt idx="239">
                  <c:v>1.35467</c:v>
                </c:pt>
                <c:pt idx="240">
                  <c:v>-1.4476500000000001</c:v>
                </c:pt>
                <c:pt idx="241">
                  <c:v>-1.8620000000000001E-2</c:v>
                </c:pt>
                <c:pt idx="242">
                  <c:v>-0.34538999999999997</c:v>
                </c:pt>
                <c:pt idx="243">
                  <c:v>-2.2351800000000002</c:v>
                </c:pt>
                <c:pt idx="244">
                  <c:v>-1.74248</c:v>
                </c:pt>
                <c:pt idx="245">
                  <c:v>-0.28303</c:v>
                </c:pt>
                <c:pt idx="246">
                  <c:v>-0.38662999999999997</c:v>
                </c:pt>
                <c:pt idx="247">
                  <c:v>1.3972899999999999</c:v>
                </c:pt>
                <c:pt idx="248">
                  <c:v>0.15118000000000001</c:v>
                </c:pt>
                <c:pt idx="249">
                  <c:v>-1.4335500000000001</c:v>
                </c:pt>
                <c:pt idx="250">
                  <c:v>0.43902999999999998</c:v>
                </c:pt>
                <c:pt idx="251">
                  <c:v>1.0373300000000001</c:v>
                </c:pt>
                <c:pt idx="252">
                  <c:v>-0.97658</c:v>
                </c:pt>
                <c:pt idx="253">
                  <c:v>1.6731199999999999</c:v>
                </c:pt>
                <c:pt idx="254">
                  <c:v>-1.85778</c:v>
                </c:pt>
                <c:pt idx="255">
                  <c:v>2.4171399999999998</c:v>
                </c:pt>
                <c:pt idx="256">
                  <c:v>2.0920299999999998</c:v>
                </c:pt>
                <c:pt idx="257">
                  <c:v>0.46054</c:v>
                </c:pt>
                <c:pt idx="258">
                  <c:v>0.30431000000000002</c:v>
                </c:pt>
                <c:pt idx="259">
                  <c:v>-1.13828</c:v>
                </c:pt>
                <c:pt idx="260">
                  <c:v>-2.0983499999999999</c:v>
                </c:pt>
                <c:pt idx="261">
                  <c:v>-0.40449000000000002</c:v>
                </c:pt>
                <c:pt idx="262">
                  <c:v>1.9485699999999999</c:v>
                </c:pt>
                <c:pt idx="263">
                  <c:v>0.90081999999999995</c:v>
                </c:pt>
                <c:pt idx="264">
                  <c:v>1.82067</c:v>
                </c:pt>
                <c:pt idx="265">
                  <c:v>2.0701999999999998</c:v>
                </c:pt>
                <c:pt idx="266">
                  <c:v>-0.54429000000000005</c:v>
                </c:pt>
                <c:pt idx="267">
                  <c:v>-1.1666799999999999</c:v>
                </c:pt>
                <c:pt idx="268">
                  <c:v>-1.6897200000000001</c:v>
                </c:pt>
                <c:pt idx="269">
                  <c:v>2.3497300000000001</c:v>
                </c:pt>
                <c:pt idx="270">
                  <c:v>1.4830700000000001</c:v>
                </c:pt>
                <c:pt idx="271">
                  <c:v>-0.70609999999999995</c:v>
                </c:pt>
                <c:pt idx="272">
                  <c:v>-1.2549399999999999</c:v>
                </c:pt>
                <c:pt idx="273">
                  <c:v>-0.53086</c:v>
                </c:pt>
                <c:pt idx="274">
                  <c:v>0.56272</c:v>
                </c:pt>
                <c:pt idx="275">
                  <c:v>-1.75325</c:v>
                </c:pt>
                <c:pt idx="276">
                  <c:v>1.8874</c:v>
                </c:pt>
                <c:pt idx="277">
                  <c:v>-0.14127000000000001</c:v>
                </c:pt>
                <c:pt idx="278">
                  <c:v>0.26690999999999998</c:v>
                </c:pt>
                <c:pt idx="279">
                  <c:v>-1.3113999999999999</c:v>
                </c:pt>
                <c:pt idx="280">
                  <c:v>0.72741</c:v>
                </c:pt>
                <c:pt idx="281">
                  <c:v>2.2183999999999999</c:v>
                </c:pt>
                <c:pt idx="282">
                  <c:v>0.44727</c:v>
                </c:pt>
                <c:pt idx="283">
                  <c:v>-0.19650000000000001</c:v>
                </c:pt>
                <c:pt idx="284">
                  <c:v>-1.68916</c:v>
                </c:pt>
                <c:pt idx="285">
                  <c:v>-0.30126999999999998</c:v>
                </c:pt>
                <c:pt idx="286">
                  <c:v>4.521E-2</c:v>
                </c:pt>
                <c:pt idx="287">
                  <c:v>0.43990000000000001</c:v>
                </c:pt>
                <c:pt idx="288">
                  <c:v>0.19994999999999999</c:v>
                </c:pt>
                <c:pt idx="289">
                  <c:v>-0.66230999999999995</c:v>
                </c:pt>
                <c:pt idx="290">
                  <c:v>0.88392999999999999</c:v>
                </c:pt>
                <c:pt idx="291">
                  <c:v>3.03105</c:v>
                </c:pt>
                <c:pt idx="292">
                  <c:v>2.7496</c:v>
                </c:pt>
                <c:pt idx="293">
                  <c:v>-0.33511999999999997</c:v>
                </c:pt>
                <c:pt idx="294">
                  <c:v>1.28556</c:v>
                </c:pt>
                <c:pt idx="295">
                  <c:v>0.24992</c:v>
                </c:pt>
                <c:pt idx="296">
                  <c:v>-1.6547700000000001</c:v>
                </c:pt>
                <c:pt idx="297">
                  <c:v>0.45356000000000002</c:v>
                </c:pt>
                <c:pt idx="298">
                  <c:v>0.26117000000000001</c:v>
                </c:pt>
                <c:pt idx="299">
                  <c:v>0.29265999999999998</c:v>
                </c:pt>
                <c:pt idx="300">
                  <c:v>-1.64276</c:v>
                </c:pt>
                <c:pt idx="301">
                  <c:v>-2.0174799999999999</c:v>
                </c:pt>
                <c:pt idx="302">
                  <c:v>0.71897999999999995</c:v>
                </c:pt>
                <c:pt idx="303">
                  <c:v>-1.0074399999999999</c:v>
                </c:pt>
                <c:pt idx="304">
                  <c:v>-1.11591</c:v>
                </c:pt>
                <c:pt idx="305">
                  <c:v>-1.24593</c:v>
                </c:pt>
                <c:pt idx="306">
                  <c:v>-2.0183800000000001</c:v>
                </c:pt>
                <c:pt idx="307">
                  <c:v>-0.75405</c:v>
                </c:pt>
                <c:pt idx="308">
                  <c:v>1.6166199999999999</c:v>
                </c:pt>
                <c:pt idx="309">
                  <c:v>-8.4760000000000002E-2</c:v>
                </c:pt>
                <c:pt idx="310">
                  <c:v>0.11076</c:v>
                </c:pt>
                <c:pt idx="311">
                  <c:v>-0.82967999999999997</c:v>
                </c:pt>
                <c:pt idx="312">
                  <c:v>7.535E-2</c:v>
                </c:pt>
                <c:pt idx="313">
                  <c:v>-0.67964999999999998</c:v>
                </c:pt>
                <c:pt idx="314">
                  <c:v>1.22532</c:v>
                </c:pt>
                <c:pt idx="315">
                  <c:v>0.22287000000000001</c:v>
                </c:pt>
                <c:pt idx="316">
                  <c:v>1.80742</c:v>
                </c:pt>
                <c:pt idx="317">
                  <c:v>-0.55845999999999996</c:v>
                </c:pt>
                <c:pt idx="318">
                  <c:v>1.00569</c:v>
                </c:pt>
                <c:pt idx="319">
                  <c:v>0.79996999999999996</c:v>
                </c:pt>
                <c:pt idx="320">
                  <c:v>0.16564999999999999</c:v>
                </c:pt>
                <c:pt idx="321">
                  <c:v>-3.09876</c:v>
                </c:pt>
                <c:pt idx="322">
                  <c:v>-1.02152</c:v>
                </c:pt>
                <c:pt idx="323">
                  <c:v>1.8776999999999999</c:v>
                </c:pt>
                <c:pt idx="324">
                  <c:v>-3.0666500000000001</c:v>
                </c:pt>
                <c:pt idx="325">
                  <c:v>-0.42232999999999998</c:v>
                </c:pt>
                <c:pt idx="326">
                  <c:v>-0.74739999999999995</c:v>
                </c:pt>
                <c:pt idx="327">
                  <c:v>0.64995999999999998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81120"/>
        <c:axId val="478480728"/>
      </c:scatterChart>
      <c:valAx>
        <c:axId val="478481120"/>
        <c:scaling>
          <c:orientation val="minMax"/>
          <c:min val="1650"/>
        </c:scaling>
        <c:delete val="0"/>
        <c:axPos val="b"/>
        <c:numFmt formatCode="0.00" sourceLinked="1"/>
        <c:majorTickMark val="out"/>
        <c:minorTickMark val="none"/>
        <c:tickLblPos val="low"/>
        <c:crossAx val="478480728"/>
        <c:crosses val="autoZero"/>
        <c:crossBetween val="midCat"/>
      </c:valAx>
      <c:valAx>
        <c:axId val="478480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78481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891960563178976"/>
          <c:y val="7.369021580635754E-2"/>
          <c:w val="0.20354486345313227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cc_law!$I$13:$I$336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cc_law!$J$13:$J$336</c:f>
              <c:numCache>
                <c:formatCode>General</c:formatCode>
                <c:ptCount val="324"/>
                <c:pt idx="0">
                  <c:v>72.592973777991432</c:v>
                </c:pt>
                <c:pt idx="1">
                  <c:v>-80.177669856155944</c:v>
                </c:pt>
                <c:pt idx="2">
                  <c:v>-104.9346023134445</c:v>
                </c:pt>
                <c:pt idx="3">
                  <c:v>-21.66980361482813</c:v>
                </c:pt>
                <c:pt idx="4">
                  <c:v>-63.7565078361433</c:v>
                </c:pt>
                <c:pt idx="5">
                  <c:v>35.741932615264986</c:v>
                </c:pt>
                <c:pt idx="6">
                  <c:v>38.398925532188272</c:v>
                </c:pt>
                <c:pt idx="7">
                  <c:v>-2.2709015570147848</c:v>
                </c:pt>
                <c:pt idx="8">
                  <c:v>28.003779263755938</c:v>
                </c:pt>
                <c:pt idx="9">
                  <c:v>-85.989108924046946</c:v>
                </c:pt>
                <c:pt idx="10">
                  <c:v>-2.9225222224304446</c:v>
                </c:pt>
                <c:pt idx="11">
                  <c:v>-86.188656746152887</c:v>
                </c:pt>
                <c:pt idx="12">
                  <c:v>-82.873764289700048</c:v>
                </c:pt>
                <c:pt idx="13">
                  <c:v>-55.011826958632355</c:v>
                </c:pt>
                <c:pt idx="14">
                  <c:v>-25.35029187901344</c:v>
                </c:pt>
                <c:pt idx="15">
                  <c:v>44.154616743130028</c:v>
                </c:pt>
                <c:pt idx="16">
                  <c:v>-13.778508380504494</c:v>
                </c:pt>
                <c:pt idx="17">
                  <c:v>-32.857829199613697</c:v>
                </c:pt>
                <c:pt idx="18">
                  <c:v>-13.659381517004165</c:v>
                </c:pt>
                <c:pt idx="19">
                  <c:v>115.0713429907663</c:v>
                </c:pt>
                <c:pt idx="20">
                  <c:v>-22.807050349480136</c:v>
                </c:pt>
                <c:pt idx="21">
                  <c:v>-7.7149382312549113</c:v>
                </c:pt>
                <c:pt idx="22">
                  <c:v>27.725817288939524</c:v>
                </c:pt>
                <c:pt idx="23">
                  <c:v>21.520494186655533</c:v>
                </c:pt>
                <c:pt idx="24">
                  <c:v>-48.267951629610067</c:v>
                </c:pt>
                <c:pt idx="25">
                  <c:v>-31.697040156911278</c:v>
                </c:pt>
                <c:pt idx="26">
                  <c:v>-28.083541622115085</c:v>
                </c:pt>
                <c:pt idx="27">
                  <c:v>-102.59787811672672</c:v>
                </c:pt>
                <c:pt idx="28">
                  <c:v>15.062857092577701</c:v>
                </c:pt>
                <c:pt idx="29">
                  <c:v>80.505339389543664</c:v>
                </c:pt>
                <c:pt idx="30">
                  <c:v>12.417732293434437</c:v>
                </c:pt>
                <c:pt idx="31">
                  <c:v>33.357907444317483</c:v>
                </c:pt>
                <c:pt idx="32">
                  <c:v>3.0344317057635042</c:v>
                </c:pt>
                <c:pt idx="33">
                  <c:v>68.896179826065833</c:v>
                </c:pt>
                <c:pt idx="34">
                  <c:v>1.3635505414797979</c:v>
                </c:pt>
                <c:pt idx="35">
                  <c:v>-155.76193534964924</c:v>
                </c:pt>
                <c:pt idx="36">
                  <c:v>28.986057788585079</c:v>
                </c:pt>
                <c:pt idx="37">
                  <c:v>18.857729362949751</c:v>
                </c:pt>
                <c:pt idx="38">
                  <c:v>63.775410703179077</c:v>
                </c:pt>
                <c:pt idx="39">
                  <c:v>-11.090385660410206</c:v>
                </c:pt>
                <c:pt idx="40">
                  <c:v>-18.362036192507979</c:v>
                </c:pt>
                <c:pt idx="41">
                  <c:v>44.080684573294185</c:v>
                </c:pt>
                <c:pt idx="42">
                  <c:v>-51.800301126295047</c:v>
                </c:pt>
                <c:pt idx="43">
                  <c:v>-127.52878195658602</c:v>
                </c:pt>
                <c:pt idx="44">
                  <c:v>-205.17126711889765</c:v>
                </c:pt>
                <c:pt idx="45">
                  <c:v>-59.889117634095243</c:v>
                </c:pt>
                <c:pt idx="46">
                  <c:v>-103.17885525162485</c:v>
                </c:pt>
                <c:pt idx="47">
                  <c:v>-33.195688730390501</c:v>
                </c:pt>
                <c:pt idx="48">
                  <c:v>1.8478800544542209</c:v>
                </c:pt>
                <c:pt idx="49">
                  <c:v>-35.633091800847978</c:v>
                </c:pt>
                <c:pt idx="50">
                  <c:v>55.585999497394369</c:v>
                </c:pt>
                <c:pt idx="51">
                  <c:v>-65.43880740822631</c:v>
                </c:pt>
                <c:pt idx="52">
                  <c:v>-45.039413374411808</c:v>
                </c:pt>
                <c:pt idx="53">
                  <c:v>-54.713867188385827</c:v>
                </c:pt>
                <c:pt idx="54">
                  <c:v>3.9055316698664586</c:v>
                </c:pt>
                <c:pt idx="55">
                  <c:v>22.037223066078404</c:v>
                </c:pt>
                <c:pt idx="56">
                  <c:v>-11.080376437282665</c:v>
                </c:pt>
                <c:pt idx="57">
                  <c:v>-41.667363532393367</c:v>
                </c:pt>
                <c:pt idx="58">
                  <c:v>96.248356056502928</c:v>
                </c:pt>
                <c:pt idx="59">
                  <c:v>18.050998568970215</c:v>
                </c:pt>
                <c:pt idx="60">
                  <c:v>-100.29237268644322</c:v>
                </c:pt>
                <c:pt idx="61">
                  <c:v>5.2612751125687431</c:v>
                </c:pt>
                <c:pt idx="62">
                  <c:v>-11.432624843526384</c:v>
                </c:pt>
                <c:pt idx="63">
                  <c:v>-27.837503605926798</c:v>
                </c:pt>
                <c:pt idx="64">
                  <c:v>-330.93094604022747</c:v>
                </c:pt>
                <c:pt idx="65">
                  <c:v>-27.225705759135227</c:v>
                </c:pt>
                <c:pt idx="66">
                  <c:v>43.144187375911351</c:v>
                </c:pt>
                <c:pt idx="67">
                  <c:v>22.928123137548141</c:v>
                </c:pt>
                <c:pt idx="68">
                  <c:v>-119.08405392154739</c:v>
                </c:pt>
                <c:pt idx="69">
                  <c:v>41.860487796125696</c:v>
                </c:pt>
                <c:pt idx="70">
                  <c:v>-70.156598524313523</c:v>
                </c:pt>
                <c:pt idx="71">
                  <c:v>127.82038037287569</c:v>
                </c:pt>
                <c:pt idx="72">
                  <c:v>24.72170481568628</c:v>
                </c:pt>
                <c:pt idx="73">
                  <c:v>-95.893969476709131</c:v>
                </c:pt>
                <c:pt idx="74">
                  <c:v>366.54433319702304</c:v>
                </c:pt>
                <c:pt idx="75">
                  <c:v>19.297044743746213</c:v>
                </c:pt>
                <c:pt idx="76">
                  <c:v>-90.064784311708891</c:v>
                </c:pt>
                <c:pt idx="77">
                  <c:v>28.035659619073158</c:v>
                </c:pt>
                <c:pt idx="78">
                  <c:v>24.488644390323849</c:v>
                </c:pt>
                <c:pt idx="79">
                  <c:v>7.3739271338836279</c:v>
                </c:pt>
                <c:pt idx="80">
                  <c:v>71.476246991450765</c:v>
                </c:pt>
                <c:pt idx="81">
                  <c:v>-171.40610926097156</c:v>
                </c:pt>
                <c:pt idx="82">
                  <c:v>-1.3142495662756684</c:v>
                </c:pt>
                <c:pt idx="83">
                  <c:v>-6.7003832101532748</c:v>
                </c:pt>
                <c:pt idx="84">
                  <c:v>55.481739169570425</c:v>
                </c:pt>
                <c:pt idx="85">
                  <c:v>-40.707603519052242</c:v>
                </c:pt>
                <c:pt idx="86">
                  <c:v>76.064061707243638</c:v>
                </c:pt>
                <c:pt idx="87">
                  <c:v>57.795395445064528</c:v>
                </c:pt>
                <c:pt idx="88">
                  <c:v>-0.48478339929842257</c:v>
                </c:pt>
                <c:pt idx="89">
                  <c:v>40.089264667148328</c:v>
                </c:pt>
                <c:pt idx="90">
                  <c:v>-185.82325112742558</c:v>
                </c:pt>
                <c:pt idx="91">
                  <c:v>-26.34780568362704</c:v>
                </c:pt>
                <c:pt idx="92">
                  <c:v>29.978204827974935</c:v>
                </c:pt>
                <c:pt idx="93">
                  <c:v>-159.16313795380321</c:v>
                </c:pt>
                <c:pt idx="94">
                  <c:v>-157.74877730144146</c:v>
                </c:pt>
                <c:pt idx="95">
                  <c:v>405.87472403374159</c:v>
                </c:pt>
                <c:pt idx="96">
                  <c:v>-93.652016630121878</c:v>
                </c:pt>
                <c:pt idx="97">
                  <c:v>7.4250637903724268</c:v>
                </c:pt>
                <c:pt idx="98">
                  <c:v>55.789745363104913</c:v>
                </c:pt>
                <c:pt idx="99">
                  <c:v>-42.140631181831317</c:v>
                </c:pt>
                <c:pt idx="100">
                  <c:v>100.40440029769152</c:v>
                </c:pt>
                <c:pt idx="101">
                  <c:v>-274.71064040196768</c:v>
                </c:pt>
                <c:pt idx="102">
                  <c:v>-56.780867048596008</c:v>
                </c:pt>
                <c:pt idx="103">
                  <c:v>-51.35441066569885</c:v>
                </c:pt>
                <c:pt idx="104">
                  <c:v>-16.391287017639225</c:v>
                </c:pt>
                <c:pt idx="105">
                  <c:v>349.12260312333308</c:v>
                </c:pt>
                <c:pt idx="106">
                  <c:v>2.274888148997988</c:v>
                </c:pt>
                <c:pt idx="107">
                  <c:v>37.848227626962554</c:v>
                </c:pt>
                <c:pt idx="108">
                  <c:v>0.60154396035877999</c:v>
                </c:pt>
                <c:pt idx="109">
                  <c:v>-218.60491577228868</c:v>
                </c:pt>
                <c:pt idx="110">
                  <c:v>17.929735957206614</c:v>
                </c:pt>
                <c:pt idx="111">
                  <c:v>-44.197138300471195</c:v>
                </c:pt>
                <c:pt idx="112">
                  <c:v>-2.04105279603082</c:v>
                </c:pt>
                <c:pt idx="113">
                  <c:v>51.345698461350892</c:v>
                </c:pt>
                <c:pt idx="114">
                  <c:v>20.146234053164278</c:v>
                </c:pt>
                <c:pt idx="115">
                  <c:v>-65.272223014055569</c:v>
                </c:pt>
                <c:pt idx="116">
                  <c:v>-4.3383474095164791</c:v>
                </c:pt>
                <c:pt idx="117">
                  <c:v>16.976628357698544</c:v>
                </c:pt>
                <c:pt idx="118">
                  <c:v>62.46411869254716</c:v>
                </c:pt>
                <c:pt idx="119">
                  <c:v>169.72660742358585</c:v>
                </c:pt>
                <c:pt idx="120">
                  <c:v>-12.985514448327775</c:v>
                </c:pt>
                <c:pt idx="121">
                  <c:v>-284.90024952727424</c:v>
                </c:pt>
                <c:pt idx="122">
                  <c:v>11.211854417246141</c:v>
                </c:pt>
                <c:pt idx="123">
                  <c:v>0.99868777516316642</c:v>
                </c:pt>
                <c:pt idx="124">
                  <c:v>21.031612016481745</c:v>
                </c:pt>
                <c:pt idx="125">
                  <c:v>102.39664956189148</c:v>
                </c:pt>
                <c:pt idx="126">
                  <c:v>-82.007255924537617</c:v>
                </c:pt>
                <c:pt idx="127">
                  <c:v>12.690271885409416</c:v>
                </c:pt>
                <c:pt idx="128">
                  <c:v>-10.426426974667475</c:v>
                </c:pt>
                <c:pt idx="129">
                  <c:v>-169.02794269494217</c:v>
                </c:pt>
                <c:pt idx="130">
                  <c:v>68.133116766576734</c:v>
                </c:pt>
                <c:pt idx="131">
                  <c:v>35.60182692760872</c:v>
                </c:pt>
                <c:pt idx="132">
                  <c:v>-135.81685017184179</c:v>
                </c:pt>
                <c:pt idx="133">
                  <c:v>82.741255703924708</c:v>
                </c:pt>
                <c:pt idx="134">
                  <c:v>-194.82541189539947</c:v>
                </c:pt>
                <c:pt idx="135">
                  <c:v>-10.086517479442231</c:v>
                </c:pt>
                <c:pt idx="136">
                  <c:v>-0.76934254378296663</c:v>
                </c:pt>
                <c:pt idx="137">
                  <c:v>-70.407957801573247</c:v>
                </c:pt>
                <c:pt idx="138">
                  <c:v>197.51682615757878</c:v>
                </c:pt>
                <c:pt idx="139">
                  <c:v>-147.9850897998522</c:v>
                </c:pt>
                <c:pt idx="140">
                  <c:v>497.08655512221821</c:v>
                </c:pt>
                <c:pt idx="141">
                  <c:v>171.01499575329998</c:v>
                </c:pt>
                <c:pt idx="142">
                  <c:v>-10.066416613826068</c:v>
                </c:pt>
                <c:pt idx="143">
                  <c:v>26.791448718056394</c:v>
                </c:pt>
                <c:pt idx="144">
                  <c:v>-25.070655292515593</c:v>
                </c:pt>
                <c:pt idx="145">
                  <c:v>52.414121377693867</c:v>
                </c:pt>
                <c:pt idx="146">
                  <c:v>-187.37218919755915</c:v>
                </c:pt>
                <c:pt idx="147">
                  <c:v>58.264211158218856</c:v>
                </c:pt>
                <c:pt idx="148">
                  <c:v>13.714950430411886</c:v>
                </c:pt>
                <c:pt idx="149">
                  <c:v>-54.435431181200272</c:v>
                </c:pt>
                <c:pt idx="150">
                  <c:v>183.40709749616255</c:v>
                </c:pt>
                <c:pt idx="151">
                  <c:v>4.9622804346557823</c:v>
                </c:pt>
                <c:pt idx="152">
                  <c:v>78.158927867667799</c:v>
                </c:pt>
                <c:pt idx="153">
                  <c:v>-3.7404543092154707</c:v>
                </c:pt>
                <c:pt idx="154">
                  <c:v>-236.42524430225234</c:v>
                </c:pt>
                <c:pt idx="155">
                  <c:v>6.0670091075219723</c:v>
                </c:pt>
                <c:pt idx="156">
                  <c:v>-65.799529476550504</c:v>
                </c:pt>
                <c:pt idx="157">
                  <c:v>-1.1046863180136968</c:v>
                </c:pt>
                <c:pt idx="158">
                  <c:v>-0.59298483707625771</c:v>
                </c:pt>
                <c:pt idx="159">
                  <c:v>-6.0580637802367168</c:v>
                </c:pt>
                <c:pt idx="160">
                  <c:v>108.57607049685446</c:v>
                </c:pt>
                <c:pt idx="161">
                  <c:v>-38.606215790488626</c:v>
                </c:pt>
                <c:pt idx="162">
                  <c:v>-5.8847189531125856</c:v>
                </c:pt>
                <c:pt idx="163">
                  <c:v>77.310621714255632</c:v>
                </c:pt>
                <c:pt idx="164">
                  <c:v>361.38942575277832</c:v>
                </c:pt>
                <c:pt idx="165">
                  <c:v>6.2200416450911256</c:v>
                </c:pt>
                <c:pt idx="166">
                  <c:v>-235.18333073353426</c:v>
                </c:pt>
                <c:pt idx="167">
                  <c:v>96.172335116120621</c:v>
                </c:pt>
                <c:pt idx="168">
                  <c:v>15.42458222744348</c:v>
                </c:pt>
                <c:pt idx="169">
                  <c:v>-30.481308743127098</c:v>
                </c:pt>
                <c:pt idx="170">
                  <c:v>114.19794460337404</c:v>
                </c:pt>
                <c:pt idx="171">
                  <c:v>-45.719784874528784</c:v>
                </c:pt>
                <c:pt idx="172">
                  <c:v>-8.9506114851478795</c:v>
                </c:pt>
                <c:pt idx="173">
                  <c:v>83.592337773242377</c:v>
                </c:pt>
                <c:pt idx="174">
                  <c:v>2.6620572498788229</c:v>
                </c:pt>
                <c:pt idx="175">
                  <c:v>-83.170062768858642</c:v>
                </c:pt>
                <c:pt idx="176">
                  <c:v>18.709235907525791</c:v>
                </c:pt>
                <c:pt idx="177">
                  <c:v>-76.547565841243795</c:v>
                </c:pt>
                <c:pt idx="178">
                  <c:v>-7.4896991094687539</c:v>
                </c:pt>
                <c:pt idx="179">
                  <c:v>-82.39202497305287</c:v>
                </c:pt>
                <c:pt idx="180">
                  <c:v>89.613312510734914</c:v>
                </c:pt>
                <c:pt idx="181">
                  <c:v>-96.494610803988536</c:v>
                </c:pt>
                <c:pt idx="182">
                  <c:v>33.016251563505648</c:v>
                </c:pt>
                <c:pt idx="183">
                  <c:v>-2.3673366676434622</c:v>
                </c:pt>
                <c:pt idx="184">
                  <c:v>7.9981708405703067E-3</c:v>
                </c:pt>
                <c:pt idx="185">
                  <c:v>225.13897384793472</c:v>
                </c:pt>
                <c:pt idx="186">
                  <c:v>90.254467457873119</c:v>
                </c:pt>
                <c:pt idx="187">
                  <c:v>-210.54189118188907</c:v>
                </c:pt>
                <c:pt idx="188">
                  <c:v>6.0479337158414861</c:v>
                </c:pt>
                <c:pt idx="189">
                  <c:v>-8.0953934739944788</c:v>
                </c:pt>
                <c:pt idx="190">
                  <c:v>65.902580146561647</c:v>
                </c:pt>
                <c:pt idx="191">
                  <c:v>8.5759610273329816</c:v>
                </c:pt>
                <c:pt idx="192">
                  <c:v>32.860985725789064</c:v>
                </c:pt>
                <c:pt idx="193">
                  <c:v>-4.9719413170965439</c:v>
                </c:pt>
                <c:pt idx="194">
                  <c:v>32.416046035240377</c:v>
                </c:pt>
                <c:pt idx="195">
                  <c:v>241.63853351178821</c:v>
                </c:pt>
                <c:pt idx="196">
                  <c:v>-10.611855364752319</c:v>
                </c:pt>
                <c:pt idx="197">
                  <c:v>9.0417121221078425</c:v>
                </c:pt>
                <c:pt idx="198">
                  <c:v>-0.77684610403445808</c:v>
                </c:pt>
                <c:pt idx="199">
                  <c:v>-192.43627584161612</c:v>
                </c:pt>
                <c:pt idx="200">
                  <c:v>9.1835757521017385</c:v>
                </c:pt>
                <c:pt idx="201">
                  <c:v>77.033618931728938</c:v>
                </c:pt>
                <c:pt idx="202">
                  <c:v>3.3793705497837161</c:v>
                </c:pt>
                <c:pt idx="203">
                  <c:v>63.671713720816015</c:v>
                </c:pt>
                <c:pt idx="204">
                  <c:v>-12.126773596707903</c:v>
                </c:pt>
                <c:pt idx="205">
                  <c:v>72.659811954646401</c:v>
                </c:pt>
                <c:pt idx="206">
                  <c:v>12.599597814376526</c:v>
                </c:pt>
                <c:pt idx="207">
                  <c:v>50.459195731971647</c:v>
                </c:pt>
                <c:pt idx="208">
                  <c:v>-61.010759770011703</c:v>
                </c:pt>
                <c:pt idx="209">
                  <c:v>-169.59262169131475</c:v>
                </c:pt>
                <c:pt idx="210">
                  <c:v>-21.714775058323447</c:v>
                </c:pt>
                <c:pt idx="211">
                  <c:v>-255.16795567805951</c:v>
                </c:pt>
                <c:pt idx="212">
                  <c:v>125.35884400825043</c:v>
                </c:pt>
                <c:pt idx="213">
                  <c:v>0.90546479882744624</c:v>
                </c:pt>
                <c:pt idx="214">
                  <c:v>-14.546406630129193</c:v>
                </c:pt>
                <c:pt idx="215">
                  <c:v>-3.7767270142492348</c:v>
                </c:pt>
                <c:pt idx="216">
                  <c:v>12.84903014696649</c:v>
                </c:pt>
                <c:pt idx="217">
                  <c:v>-102.23840013323371</c:v>
                </c:pt>
                <c:pt idx="218">
                  <c:v>-79.954322944506842</c:v>
                </c:pt>
                <c:pt idx="219">
                  <c:v>-225.33973167546085</c:v>
                </c:pt>
                <c:pt idx="220">
                  <c:v>96.737971338316157</c:v>
                </c:pt>
                <c:pt idx="221">
                  <c:v>14.139232642411525</c:v>
                </c:pt>
                <c:pt idx="222">
                  <c:v>13.65202034500617</c:v>
                </c:pt>
                <c:pt idx="223">
                  <c:v>-37.502180023985453</c:v>
                </c:pt>
                <c:pt idx="224">
                  <c:v>-72.280075887416501</c:v>
                </c:pt>
                <c:pt idx="225">
                  <c:v>155.80962574890074</c:v>
                </c:pt>
                <c:pt idx="226">
                  <c:v>-109.24774781009252</c:v>
                </c:pt>
                <c:pt idx="227">
                  <c:v>6.9072045245110258</c:v>
                </c:pt>
                <c:pt idx="228">
                  <c:v>189.79436201871005</c:v>
                </c:pt>
                <c:pt idx="229">
                  <c:v>-48.604048804043146</c:v>
                </c:pt>
                <c:pt idx="230">
                  <c:v>55.181912088478796</c:v>
                </c:pt>
                <c:pt idx="231">
                  <c:v>-75.56872217206238</c:v>
                </c:pt>
                <c:pt idx="232">
                  <c:v>-43.872853654855625</c:v>
                </c:pt>
                <c:pt idx="233">
                  <c:v>-35.830394505824472</c:v>
                </c:pt>
                <c:pt idx="234">
                  <c:v>-1.7631098740748357</c:v>
                </c:pt>
                <c:pt idx="235">
                  <c:v>151.15694583042389</c:v>
                </c:pt>
                <c:pt idx="236">
                  <c:v>261.1971970293572</c:v>
                </c:pt>
                <c:pt idx="237">
                  <c:v>64.706001185037891</c:v>
                </c:pt>
                <c:pt idx="238">
                  <c:v>60.032400020175004</c:v>
                </c:pt>
                <c:pt idx="239">
                  <c:v>-2.1305737634827757</c:v>
                </c:pt>
                <c:pt idx="240">
                  <c:v>83.093916641359996</c:v>
                </c:pt>
                <c:pt idx="241">
                  <c:v>104.83843512732923</c:v>
                </c:pt>
                <c:pt idx="242">
                  <c:v>-26.773740359452862</c:v>
                </c:pt>
                <c:pt idx="243">
                  <c:v>5.77867623287709</c:v>
                </c:pt>
                <c:pt idx="244">
                  <c:v>-84.234437066404041</c:v>
                </c:pt>
                <c:pt idx="245">
                  <c:v>-12.294804560922238</c:v>
                </c:pt>
                <c:pt idx="246">
                  <c:v>17.629498457232874</c:v>
                </c:pt>
                <c:pt idx="247">
                  <c:v>39.895047540316149</c:v>
                </c:pt>
                <c:pt idx="248">
                  <c:v>-64.819726709595173</c:v>
                </c:pt>
                <c:pt idx="249">
                  <c:v>-27.342729722883249</c:v>
                </c:pt>
                <c:pt idx="250">
                  <c:v>253.5260276846152</c:v>
                </c:pt>
                <c:pt idx="251">
                  <c:v>14.820495948521778</c:v>
                </c:pt>
                <c:pt idx="252">
                  <c:v>245.18785520068565</c:v>
                </c:pt>
                <c:pt idx="253">
                  <c:v>96.846125048390775</c:v>
                </c:pt>
                <c:pt idx="254">
                  <c:v>253.59920410521127</c:v>
                </c:pt>
                <c:pt idx="255">
                  <c:v>10.253692605131258</c:v>
                </c:pt>
                <c:pt idx="256">
                  <c:v>60.807740717486269</c:v>
                </c:pt>
                <c:pt idx="257">
                  <c:v>91.983067471643977</c:v>
                </c:pt>
                <c:pt idx="258">
                  <c:v>-30.175489586335335</c:v>
                </c:pt>
                <c:pt idx="259">
                  <c:v>44.655531447794999</c:v>
                </c:pt>
                <c:pt idx="260">
                  <c:v>-438.18094411752156</c:v>
                </c:pt>
                <c:pt idx="261">
                  <c:v>35.904392463302436</c:v>
                </c:pt>
                <c:pt idx="262">
                  <c:v>-130.77736720748203</c:v>
                </c:pt>
                <c:pt idx="263">
                  <c:v>212.98204566770966</c:v>
                </c:pt>
                <c:pt idx="264">
                  <c:v>-91.571320055405636</c:v>
                </c:pt>
                <c:pt idx="265">
                  <c:v>148.05778442178234</c:v>
                </c:pt>
                <c:pt idx="266">
                  <c:v>92.005036903533608</c:v>
                </c:pt>
                <c:pt idx="267">
                  <c:v>-191.34533949230979</c:v>
                </c:pt>
                <c:pt idx="268">
                  <c:v>-238.37152837033739</c:v>
                </c:pt>
                <c:pt idx="269">
                  <c:v>-104.71545222328616</c:v>
                </c:pt>
                <c:pt idx="270">
                  <c:v>-169.65080943750388</c:v>
                </c:pt>
                <c:pt idx="271">
                  <c:v>72.603921380010419</c:v>
                </c:pt>
                <c:pt idx="272">
                  <c:v>-31.061461047596428</c:v>
                </c:pt>
                <c:pt idx="273">
                  <c:v>147.27870541673596</c:v>
                </c:pt>
                <c:pt idx="274">
                  <c:v>-226.59818774291571</c:v>
                </c:pt>
                <c:pt idx="275">
                  <c:v>-23.708813469812618</c:v>
                </c:pt>
                <c:pt idx="276">
                  <c:v>22.561447959388889</c:v>
                </c:pt>
                <c:pt idx="277">
                  <c:v>241.43535471031527</c:v>
                </c:pt>
                <c:pt idx="278">
                  <c:v>-36.829844635992245</c:v>
                </c:pt>
                <c:pt idx="279">
                  <c:v>-197.48069433722773</c:v>
                </c:pt>
                <c:pt idx="280">
                  <c:v>-40.525069853950754</c:v>
                </c:pt>
                <c:pt idx="281">
                  <c:v>-40.232944848475995</c:v>
                </c:pt>
                <c:pt idx="282">
                  <c:v>-62.544661983169874</c:v>
                </c:pt>
                <c:pt idx="283">
                  <c:v>16.646893059640188</c:v>
                </c:pt>
                <c:pt idx="284">
                  <c:v>0.33257183070420848</c:v>
                </c:pt>
                <c:pt idx="285">
                  <c:v>-115.24682101904008</c:v>
                </c:pt>
                <c:pt idx="286">
                  <c:v>-12.369908245566947</c:v>
                </c:pt>
                <c:pt idx="287">
                  <c:v>15.207361640563297</c:v>
                </c:pt>
                <c:pt idx="288">
                  <c:v>-36.493082011005825</c:v>
                </c:pt>
                <c:pt idx="289">
                  <c:v>607.92346265497565</c:v>
                </c:pt>
                <c:pt idx="290">
                  <c:v>-63.920813167498899</c:v>
                </c:pt>
                <c:pt idx="291">
                  <c:v>-41.855365460723817</c:v>
                </c:pt>
                <c:pt idx="292">
                  <c:v>-52.844634012089259</c:v>
                </c:pt>
                <c:pt idx="293">
                  <c:v>-30.240350131440863</c:v>
                </c:pt>
                <c:pt idx="294">
                  <c:v>72.955672084784169</c:v>
                </c:pt>
                <c:pt idx="295">
                  <c:v>-123.03646479326669</c:v>
                </c:pt>
                <c:pt idx="296">
                  <c:v>-2.4535585131002415</c:v>
                </c:pt>
                <c:pt idx="297">
                  <c:v>-54.624742270899802</c:v>
                </c:pt>
                <c:pt idx="298">
                  <c:v>-42.571944356161644</c:v>
                </c:pt>
                <c:pt idx="299">
                  <c:v>-142.69345430299441</c:v>
                </c:pt>
                <c:pt idx="300">
                  <c:v>6.6643219498807262</c:v>
                </c:pt>
                <c:pt idx="301">
                  <c:v>-193.07897485992885</c:v>
                </c:pt>
                <c:pt idx="302">
                  <c:v>97.137619677545985</c:v>
                </c:pt>
                <c:pt idx="303">
                  <c:v>-26.280133047816381</c:v>
                </c:pt>
                <c:pt idx="304">
                  <c:v>256.38064120910769</c:v>
                </c:pt>
                <c:pt idx="305">
                  <c:v>178.761083273184</c:v>
                </c:pt>
                <c:pt idx="306">
                  <c:v>33.121196674724104</c:v>
                </c:pt>
                <c:pt idx="307">
                  <c:v>8.7229911188486913</c:v>
                </c:pt>
                <c:pt idx="308">
                  <c:v>8.3395628475070183</c:v>
                </c:pt>
                <c:pt idx="309">
                  <c:v>-130.19346742155508</c:v>
                </c:pt>
                <c:pt idx="310">
                  <c:v>-13.032568130092724</c:v>
                </c:pt>
                <c:pt idx="311">
                  <c:v>63.55919463531859</c:v>
                </c:pt>
                <c:pt idx="312">
                  <c:v>-88.329185159070079</c:v>
                </c:pt>
                <c:pt idx="313">
                  <c:v>-32.090485655743279</c:v>
                </c:pt>
                <c:pt idx="314">
                  <c:v>231.27502323650862</c:v>
                </c:pt>
                <c:pt idx="315">
                  <c:v>-69.760442792865206</c:v>
                </c:pt>
                <c:pt idx="316">
                  <c:v>-179.93256688249363</c:v>
                </c:pt>
                <c:pt idx="317">
                  <c:v>-73.561333138978611</c:v>
                </c:pt>
                <c:pt idx="318">
                  <c:v>-12.064138956550607</c:v>
                </c:pt>
                <c:pt idx="319">
                  <c:v>348.40186796456862</c:v>
                </c:pt>
                <c:pt idx="320">
                  <c:v>-158.71585648070223</c:v>
                </c:pt>
                <c:pt idx="321">
                  <c:v>143.82027023568457</c:v>
                </c:pt>
                <c:pt idx="322">
                  <c:v>669.00139835763594</c:v>
                </c:pt>
                <c:pt idx="323">
                  <c:v>30.026786906511767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78768"/>
        <c:axId val="478474456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cc_law!$I$13:$I$336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cc_law!$K$13:$K$336</c:f>
              <c:numCache>
                <c:formatCode>General</c:formatCode>
                <c:ptCount val="324"/>
                <c:pt idx="0">
                  <c:v>1.2725876664329694</c:v>
                </c:pt>
                <c:pt idx="1">
                  <c:v>2.6759536835694657</c:v>
                </c:pt>
                <c:pt idx="2">
                  <c:v>-3.0312483467086193</c:v>
                </c:pt>
                <c:pt idx="3">
                  <c:v>1.5005303055940216</c:v>
                </c:pt>
                <c:pt idx="4">
                  <c:v>-2.3802571286432457</c:v>
                </c:pt>
                <c:pt idx="5">
                  <c:v>3.4732002702956608</c:v>
                </c:pt>
                <c:pt idx="6">
                  <c:v>-0.84326963458461124</c:v>
                </c:pt>
                <c:pt idx="7">
                  <c:v>-2.5654387029872177</c:v>
                </c:pt>
                <c:pt idx="8">
                  <c:v>2.416272407444886</c:v>
                </c:pt>
                <c:pt idx="9">
                  <c:v>-1.327896653418583</c:v>
                </c:pt>
                <c:pt idx="10">
                  <c:v>2.902069117868348</c:v>
                </c:pt>
                <c:pt idx="11">
                  <c:v>-3.890669038224567</c:v>
                </c:pt>
                <c:pt idx="12">
                  <c:v>0.82023862787400048</c:v>
                </c:pt>
                <c:pt idx="13">
                  <c:v>2.5400499902532774</c:v>
                </c:pt>
                <c:pt idx="14">
                  <c:v>-2.2861190034691226</c:v>
                </c:pt>
                <c:pt idx="15">
                  <c:v>1.4496248103923097</c:v>
                </c:pt>
                <c:pt idx="16">
                  <c:v>-2.695669438289757</c:v>
                </c:pt>
                <c:pt idx="17">
                  <c:v>2.237921526766065</c:v>
                </c:pt>
                <c:pt idx="18">
                  <c:v>1.9661448331784281</c:v>
                </c:pt>
                <c:pt idx="19">
                  <c:v>-4.5852247281874181</c:v>
                </c:pt>
                <c:pt idx="20">
                  <c:v>2.0517224133857281</c:v>
                </c:pt>
                <c:pt idx="21">
                  <c:v>1.29316036676698</c:v>
                </c:pt>
                <c:pt idx="22">
                  <c:v>-1.688288326518314</c:v>
                </c:pt>
                <c:pt idx="23">
                  <c:v>1.5041871166733121</c:v>
                </c:pt>
                <c:pt idx="24">
                  <c:v>-1.8709719058792356</c:v>
                </c:pt>
                <c:pt idx="25">
                  <c:v>-0.27932200982574584</c:v>
                </c:pt>
                <c:pt idx="26">
                  <c:v>3.8559964837432887</c:v>
                </c:pt>
                <c:pt idx="27">
                  <c:v>-2.8361349721950435</c:v>
                </c:pt>
                <c:pt idx="28">
                  <c:v>-2.529694798944516</c:v>
                </c:pt>
                <c:pt idx="29">
                  <c:v>4.4226360279408388</c:v>
                </c:pt>
                <c:pt idx="30">
                  <c:v>-0.42595760807742378</c:v>
                </c:pt>
                <c:pt idx="31">
                  <c:v>-2.9471651956063014</c:v>
                </c:pt>
                <c:pt idx="32">
                  <c:v>2.0111765887344291</c:v>
                </c:pt>
                <c:pt idx="33">
                  <c:v>-0.3246314318353074</c:v>
                </c:pt>
                <c:pt idx="34">
                  <c:v>-0.25239096697996288</c:v>
                </c:pt>
                <c:pt idx="35">
                  <c:v>1.9244857614502184</c:v>
                </c:pt>
                <c:pt idx="36">
                  <c:v>-3.3622078220746436</c:v>
                </c:pt>
                <c:pt idx="37">
                  <c:v>0.62736638127727651</c:v>
                </c:pt>
                <c:pt idx="38">
                  <c:v>3.8881228738021969</c:v>
                </c:pt>
                <c:pt idx="39">
                  <c:v>-3.9284981010017006</c:v>
                </c:pt>
                <c:pt idx="40">
                  <c:v>0.19132001775168916</c:v>
                </c:pt>
                <c:pt idx="41">
                  <c:v>1.5113882351629937</c:v>
                </c:pt>
                <c:pt idx="42">
                  <c:v>-1.0240827718238685</c:v>
                </c:pt>
                <c:pt idx="43">
                  <c:v>2.3214708013606344</c:v>
                </c:pt>
                <c:pt idx="44">
                  <c:v>-3.9331447913225119</c:v>
                </c:pt>
                <c:pt idx="45">
                  <c:v>1.640858992940426</c:v>
                </c:pt>
                <c:pt idx="46">
                  <c:v>2.2527548472325054</c:v>
                </c:pt>
                <c:pt idx="47">
                  <c:v>-2.7083907905633233</c:v>
                </c:pt>
                <c:pt idx="48">
                  <c:v>1.4011607941498199</c:v>
                </c:pt>
                <c:pt idx="49">
                  <c:v>-2.5606873509727301</c:v>
                </c:pt>
                <c:pt idx="50">
                  <c:v>3.9106945558886137</c:v>
                </c:pt>
                <c:pt idx="51">
                  <c:v>-1.4364262766531013</c:v>
                </c:pt>
                <c:pt idx="52">
                  <c:v>-1.9680905150213559</c:v>
                </c:pt>
                <c:pt idx="53">
                  <c:v>1.9631610266325923</c:v>
                </c:pt>
                <c:pt idx="54">
                  <c:v>-1.120390342219425</c:v>
                </c:pt>
                <c:pt idx="55">
                  <c:v>2.9731595252183625</c:v>
                </c:pt>
                <c:pt idx="56">
                  <c:v>-4.1920939511199409</c:v>
                </c:pt>
                <c:pt idx="57">
                  <c:v>1.2253318967151849</c:v>
                </c:pt>
                <c:pt idx="58">
                  <c:v>2.1896913172697938</c:v>
                </c:pt>
                <c:pt idx="59">
                  <c:v>-2.101114666001815</c:v>
                </c:pt>
                <c:pt idx="60">
                  <c:v>1.4366206385662064</c:v>
                </c:pt>
                <c:pt idx="61">
                  <c:v>-2.7651569969447554</c:v>
                </c:pt>
                <c:pt idx="62">
                  <c:v>2.2737717156796706</c:v>
                </c:pt>
                <c:pt idx="63">
                  <c:v>2.0068955287968304</c:v>
                </c:pt>
                <c:pt idx="64">
                  <c:v>-4.6135209598057303</c:v>
                </c:pt>
                <c:pt idx="65">
                  <c:v>1.9207350075697802</c:v>
                </c:pt>
                <c:pt idx="66">
                  <c:v>1.5946160032279413</c:v>
                </c:pt>
                <c:pt idx="67">
                  <c:v>-1.9271225892649551</c:v>
                </c:pt>
                <c:pt idx="68">
                  <c:v>1.3852823025783749</c:v>
                </c:pt>
                <c:pt idx="69">
                  <c:v>-1.3963546553315231</c:v>
                </c:pt>
                <c:pt idx="70">
                  <c:v>-0.69708185226281261</c:v>
                </c:pt>
                <c:pt idx="71">
                  <c:v>3.7687750525986132</c:v>
                </c:pt>
                <c:pt idx="72">
                  <c:v>-2.2770406165386481</c:v>
                </c:pt>
                <c:pt idx="73">
                  <c:v>-3.0125151547281579</c:v>
                </c:pt>
                <c:pt idx="74">
                  <c:v>4.3337481776835673</c:v>
                </c:pt>
                <c:pt idx="75">
                  <c:v>0.13497079269436485</c:v>
                </c:pt>
                <c:pt idx="76">
                  <c:v>-3.4053975739895002</c:v>
                </c:pt>
                <c:pt idx="77">
                  <c:v>1.946355933594059</c:v>
                </c:pt>
                <c:pt idx="78">
                  <c:v>0.12838181245117242</c:v>
                </c:pt>
                <c:pt idx="79">
                  <c:v>-0.63239541605734639</c:v>
                </c:pt>
                <c:pt idx="80">
                  <c:v>1.9489482813895957</c:v>
                </c:pt>
                <c:pt idx="81">
                  <c:v>-3.1317269974103716</c:v>
                </c:pt>
                <c:pt idx="82">
                  <c:v>0.40850257749541474</c:v>
                </c:pt>
                <c:pt idx="83">
                  <c:v>3.9597919455552977</c:v>
                </c:pt>
                <c:pt idx="84">
                  <c:v>-3.916650173732541</c:v>
                </c:pt>
                <c:pt idx="85">
                  <c:v>0.22133168667454828</c:v>
                </c:pt>
                <c:pt idx="86">
                  <c:v>1.3962603461665222</c:v>
                </c:pt>
                <c:pt idx="87">
                  <c:v>-0.8966429342689457</c:v>
                </c:pt>
                <c:pt idx="88">
                  <c:v>2.3106417537408559</c:v>
                </c:pt>
                <c:pt idx="89">
                  <c:v>-4.1309914802279613</c:v>
                </c:pt>
                <c:pt idx="90">
                  <c:v>2.0357879224812963</c:v>
                </c:pt>
                <c:pt idx="91">
                  <c:v>1.7743305599463042</c:v>
                </c:pt>
                <c:pt idx="92">
                  <c:v>-2.3014573160817244</c:v>
                </c:pt>
                <c:pt idx="93">
                  <c:v>1.1978060006061331</c:v>
                </c:pt>
                <c:pt idx="94">
                  <c:v>-2.6356387471639047</c:v>
                </c:pt>
                <c:pt idx="95">
                  <c:v>4.2639331261294533</c:v>
                </c:pt>
                <c:pt idx="96">
                  <c:v>-1.9857374501279041</c:v>
                </c:pt>
                <c:pt idx="97">
                  <c:v>-1.3653526286776998</c:v>
                </c:pt>
                <c:pt idx="98">
                  <c:v>1.4598743931850355</c:v>
                </c:pt>
                <c:pt idx="99">
                  <c:v>-0.83342861900001242</c:v>
                </c:pt>
                <c:pt idx="100">
                  <c:v>2.9556560407832801</c:v>
                </c:pt>
                <c:pt idx="101">
                  <c:v>-4.4128954145077355</c:v>
                </c:pt>
                <c:pt idx="102">
                  <c:v>1.5670071812878215</c:v>
                </c:pt>
                <c:pt idx="103">
                  <c:v>1.8831007087044256</c:v>
                </c:pt>
                <c:pt idx="104">
                  <c:v>-1.9384650831673207</c:v>
                </c:pt>
                <c:pt idx="105">
                  <c:v>1.4187303097897248</c:v>
                </c:pt>
                <c:pt idx="106">
                  <c:v>-2.7973047128394697</c:v>
                </c:pt>
                <c:pt idx="107">
                  <c:v>2.2493987378803784</c:v>
                </c:pt>
                <c:pt idx="108">
                  <c:v>2.0978258337419038</c:v>
                </c:pt>
                <c:pt idx="109">
                  <c:v>-4.6431374720812739</c:v>
                </c:pt>
                <c:pt idx="110">
                  <c:v>1.7383049446870857</c:v>
                </c:pt>
                <c:pt idx="111">
                  <c:v>1.9476715433512193</c:v>
                </c:pt>
                <c:pt idx="112">
                  <c:v>-2.1514260100808196</c:v>
                </c:pt>
                <c:pt idx="113">
                  <c:v>1.1877142691641296</c:v>
                </c:pt>
                <c:pt idx="114">
                  <c:v>-0.86878735215758085</c:v>
                </c:pt>
                <c:pt idx="115">
                  <c:v>-1.0626519524405758</c:v>
                </c:pt>
                <c:pt idx="116">
                  <c:v>3.5676403127365193</c:v>
                </c:pt>
                <c:pt idx="117">
                  <c:v>-1.6744522388292431</c:v>
                </c:pt>
                <c:pt idx="118">
                  <c:v>-3.4103971423764508</c:v>
                </c:pt>
                <c:pt idx="119">
                  <c:v>4.1280118408629853</c:v>
                </c:pt>
                <c:pt idx="120">
                  <c:v>0.71248751312751746</c:v>
                </c:pt>
                <c:pt idx="121">
                  <c:v>-3.7738833360245581</c:v>
                </c:pt>
                <c:pt idx="122">
                  <c:v>1.7990675792197188</c:v>
                </c:pt>
                <c:pt idx="123">
                  <c:v>0.57151469422179391</c:v>
                </c:pt>
                <c:pt idx="124">
                  <c:v>-0.94261627472261766</c:v>
                </c:pt>
                <c:pt idx="125">
                  <c:v>1.9326893602508621</c:v>
                </c:pt>
                <c:pt idx="126">
                  <c:v>-2.9289416682242049</c:v>
                </c:pt>
                <c:pt idx="127">
                  <c:v>0.24939311902646433</c:v>
                </c:pt>
                <c:pt idx="128">
                  <c:v>3.9973546146732337</c:v>
                </c:pt>
                <c:pt idx="129">
                  <c:v>-3.9208730713969566</c:v>
                </c:pt>
                <c:pt idx="130">
                  <c:v>0.30298997555851082</c:v>
                </c:pt>
                <c:pt idx="131">
                  <c:v>1.2211034606077846</c:v>
                </c:pt>
                <c:pt idx="132">
                  <c:v>-0.71847457802599268</c:v>
                </c:pt>
                <c:pt idx="133">
                  <c:v>2.2643527195028268</c:v>
                </c:pt>
                <c:pt idx="134">
                  <c:v>-4.3118599632494092</c:v>
                </c:pt>
                <c:pt idx="135">
                  <c:v>2.4388891417064738</c:v>
                </c:pt>
                <c:pt idx="136">
                  <c:v>1.2544185192639767</c:v>
                </c:pt>
                <c:pt idx="137">
                  <c:v>-1.816736545361433</c:v>
                </c:pt>
                <c:pt idx="138">
                  <c:v>0.88784788135719594</c:v>
                </c:pt>
                <c:pt idx="139">
                  <c:v>-2.5932785573315158</c:v>
                </c:pt>
                <c:pt idx="140">
                  <c:v>4.5128223141827659</c:v>
                </c:pt>
                <c:pt idx="141">
                  <c:v>-2.4650779815077017</c:v>
                </c:pt>
                <c:pt idx="142">
                  <c:v>-0.78620753730795867</c:v>
                </c:pt>
                <c:pt idx="143">
                  <c:v>0.93473382762034318</c:v>
                </c:pt>
                <c:pt idx="144">
                  <c:v>-0.49137504813059696</c:v>
                </c:pt>
                <c:pt idx="145">
                  <c:v>2.8672041632181879</c:v>
                </c:pt>
                <c:pt idx="146">
                  <c:v>-4.5619875685149101</c:v>
                </c:pt>
                <c:pt idx="147">
                  <c:v>1.844731731989258</c:v>
                </c:pt>
                <c:pt idx="148">
                  <c:v>1.6286350889934753</c:v>
                </c:pt>
                <c:pt idx="149">
                  <c:v>-1.8097505144598092</c:v>
                </c:pt>
                <c:pt idx="150">
                  <c:v>1.4046948424294288</c:v>
                </c:pt>
                <c:pt idx="151">
                  <c:v>-2.7947544036755154</c:v>
                </c:pt>
                <c:pt idx="152">
                  <c:v>2.1647194841401971</c:v>
                </c:pt>
                <c:pt idx="153">
                  <c:v>2.2341946782397013</c:v>
                </c:pt>
                <c:pt idx="154">
                  <c:v>-4.6626112078076209</c:v>
                </c:pt>
                <c:pt idx="155">
                  <c:v>1.4967866961218479</c:v>
                </c:pt>
                <c:pt idx="156">
                  <c:v>2.3428898437060539</c:v>
                </c:pt>
                <c:pt idx="157">
                  <c:v>-2.3392018746233076</c:v>
                </c:pt>
                <c:pt idx="158">
                  <c:v>0.90180453921202264</c:v>
                </c:pt>
                <c:pt idx="159">
                  <c:v>-0.30661324033956056</c:v>
                </c:pt>
                <c:pt idx="160">
                  <c:v>-1.3498656524040302</c:v>
                </c:pt>
                <c:pt idx="161">
                  <c:v>3.2535264437019613</c:v>
                </c:pt>
                <c:pt idx="162">
                  <c:v>-1.0574294519922642</c:v>
                </c:pt>
                <c:pt idx="163">
                  <c:v>-3.7041153058798768</c:v>
                </c:pt>
                <c:pt idx="164">
                  <c:v>3.8212157974248404</c:v>
                </c:pt>
                <c:pt idx="165">
                  <c:v>1.2778739247627127</c:v>
                </c:pt>
                <c:pt idx="166">
                  <c:v>-4.0478857579637557</c:v>
                </c:pt>
                <c:pt idx="167">
                  <c:v>1.5912153381438991</c:v>
                </c:pt>
                <c:pt idx="168">
                  <c:v>0.98541331013835887</c:v>
                </c:pt>
                <c:pt idx="169">
                  <c:v>-1.1862445690196508</c:v>
                </c:pt>
                <c:pt idx="170">
                  <c:v>1.8925217748413146</c:v>
                </c:pt>
                <c:pt idx="171">
                  <c:v>-2.7652066908420538</c:v>
                </c:pt>
                <c:pt idx="172">
                  <c:v>0.14995315405646958</c:v>
                </c:pt>
                <c:pt idx="173">
                  <c:v>4.0045208613999099</c:v>
                </c:pt>
                <c:pt idx="174">
                  <c:v>-3.9407233561262034</c:v>
                </c:pt>
                <c:pt idx="175">
                  <c:v>0.43241151946375034</c:v>
                </c:pt>
                <c:pt idx="176">
                  <c:v>0.98690945578684897</c:v>
                </c:pt>
                <c:pt idx="177">
                  <c:v>-0.4825423677205769</c:v>
                </c:pt>
                <c:pt idx="178">
                  <c:v>2.1669742553383982</c:v>
                </c:pt>
                <c:pt idx="179">
                  <c:v>-4.4545671726229266</c:v>
                </c:pt>
                <c:pt idx="180">
                  <c:v>2.8276685101176033</c:v>
                </c:pt>
                <c:pt idx="181">
                  <c:v>0.71293802450331978</c:v>
                </c:pt>
                <c:pt idx="182">
                  <c:v>-1.2684724960589557</c:v>
                </c:pt>
                <c:pt idx="183">
                  <c:v>0.47757617458033397</c:v>
                </c:pt>
                <c:pt idx="184">
                  <c:v>-2.4306706592994884</c:v>
                </c:pt>
                <c:pt idx="185">
                  <c:v>4.6452406304987743</c:v>
                </c:pt>
                <c:pt idx="186">
                  <c:v>-2.8546005767128428</c:v>
                </c:pt>
                <c:pt idx="187">
                  <c:v>-0.25562351695961438</c:v>
                </c:pt>
                <c:pt idx="188">
                  <c:v>0.4145980734989092</c:v>
                </c:pt>
                <c:pt idx="189">
                  <c:v>-0.11957381010749302</c:v>
                </c:pt>
                <c:pt idx="190">
                  <c:v>2.7282917619215081</c:v>
                </c:pt>
                <c:pt idx="191">
                  <c:v>-4.6520433173115991</c:v>
                </c:pt>
                <c:pt idx="192">
                  <c:v>2.0617355371608381</c:v>
                </c:pt>
                <c:pt idx="193">
                  <c:v>1.4312482942353864</c:v>
                </c:pt>
                <c:pt idx="194">
                  <c:v>-1.7232162498252084</c:v>
                </c:pt>
                <c:pt idx="195">
                  <c:v>1.3997892973221957</c:v>
                </c:pt>
                <c:pt idx="196">
                  <c:v>-2.757509493544172</c:v>
                </c:pt>
                <c:pt idx="197">
                  <c:v>2.0196782840727221</c:v>
                </c:pt>
                <c:pt idx="198">
                  <c:v>2.4082842764374282</c:v>
                </c:pt>
                <c:pt idx="199">
                  <c:v>-4.6578026338832039</c:v>
                </c:pt>
                <c:pt idx="200">
                  <c:v>1.1902112640295415</c:v>
                </c:pt>
                <c:pt idx="201">
                  <c:v>2.7660745728114762</c:v>
                </c:pt>
                <c:pt idx="202">
                  <c:v>-2.4676598740202396</c:v>
                </c:pt>
                <c:pt idx="203">
                  <c:v>0.52431744980909079</c:v>
                </c:pt>
                <c:pt idx="204">
                  <c:v>0.26583392296858122</c:v>
                </c:pt>
                <c:pt idx="205">
                  <c:v>-1.536325282071656</c:v>
                </c:pt>
                <c:pt idx="206">
                  <c:v>2.836827184853286</c:v>
                </c:pt>
                <c:pt idx="207">
                  <c:v>-0.4568357821442286</c:v>
                </c:pt>
                <c:pt idx="208">
                  <c:v>-3.8830756417514296</c:v>
                </c:pt>
                <c:pt idx="209">
                  <c:v>3.4358930322771313</c:v>
                </c:pt>
                <c:pt idx="210">
                  <c:v>1.8064466971161668</c:v>
                </c:pt>
                <c:pt idx="211">
                  <c:v>-4.2307696402644073</c:v>
                </c:pt>
                <c:pt idx="212">
                  <c:v>1.3461362212083814</c:v>
                </c:pt>
                <c:pt idx="213">
                  <c:v>1.3558232541647308</c:v>
                </c:pt>
                <c:pt idx="214">
                  <c:v>-1.3700664463710113</c:v>
                </c:pt>
                <c:pt idx="215">
                  <c:v>1.8435703553973637</c:v>
                </c:pt>
                <c:pt idx="216">
                  <c:v>-2.6485410542827199</c:v>
                </c:pt>
                <c:pt idx="217">
                  <c:v>0.10963482894935717</c:v>
                </c:pt>
                <c:pt idx="218">
                  <c:v>3.9821894852990241</c:v>
                </c:pt>
                <c:pt idx="219">
                  <c:v>-3.9720576244509482</c:v>
                </c:pt>
                <c:pt idx="220">
                  <c:v>0.6028890680837824</c:v>
                </c:pt>
                <c:pt idx="221">
                  <c:v>0.69654367946465578</c:v>
                </c:pt>
                <c:pt idx="222">
                  <c:v>-0.18320995323720091</c:v>
                </c:pt>
                <c:pt idx="223">
                  <c:v>2.0036895476485626</c:v>
                </c:pt>
                <c:pt idx="224">
                  <c:v>-4.5374042386677225</c:v>
                </c:pt>
                <c:pt idx="225">
                  <c:v>3.1769782579040973</c:v>
                </c:pt>
                <c:pt idx="226">
                  <c:v>0.17491404158151647</c:v>
                </c:pt>
                <c:pt idx="227">
                  <c:v>-0.67821891715186378</c:v>
                </c:pt>
                <c:pt idx="228">
                  <c:v>-1.7864688688108421E-2</c:v>
                </c:pt>
                <c:pt idx="229">
                  <c:v>-2.1544189290859936</c:v>
                </c:pt>
                <c:pt idx="230">
                  <c:v>4.6583784372255401</c:v>
                </c:pt>
                <c:pt idx="231">
                  <c:v>-3.1426598922313183</c:v>
                </c:pt>
                <c:pt idx="232">
                  <c:v>0.20775483943260076</c:v>
                </c:pt>
                <c:pt idx="233">
                  <c:v>-7.7596753264410234E-2</c:v>
                </c:pt>
                <c:pt idx="234">
                  <c:v>0.25805592226251273</c:v>
                </c:pt>
                <c:pt idx="235">
                  <c:v>2.5600282954796061</c:v>
                </c:pt>
                <c:pt idx="236">
                  <c:v>-4.6975385718036158</c:v>
                </c:pt>
                <c:pt idx="237">
                  <c:v>2.2234434416622513</c:v>
                </c:pt>
                <c:pt idx="238">
                  <c:v>1.2934613266587873</c:v>
                </c:pt>
                <c:pt idx="239">
                  <c:v>-1.6840175262264336</c:v>
                </c:pt>
                <c:pt idx="240">
                  <c:v>1.4056127681768542</c:v>
                </c:pt>
                <c:pt idx="241">
                  <c:v>-2.6829284814610292</c:v>
                </c:pt>
                <c:pt idx="242">
                  <c:v>1.8147750198588581</c:v>
                </c:pt>
                <c:pt idx="243">
                  <c:v>2.609067937735873</c:v>
                </c:pt>
                <c:pt idx="244">
                  <c:v>-4.6128362603915001</c:v>
                </c:pt>
                <c:pt idx="245">
                  <c:v>0.8159641922486075</c:v>
                </c:pt>
                <c:pt idx="246">
                  <c:v>3.198131450651998</c:v>
                </c:pt>
                <c:pt idx="247">
                  <c:v>-2.5153454651086369</c:v>
                </c:pt>
                <c:pt idx="248">
                  <c:v>5.9905615523323519E-2</c:v>
                </c:pt>
                <c:pt idx="249">
                  <c:v>0.82016163709217205</c:v>
                </c:pt>
                <c:pt idx="250">
                  <c:v>-1.6062156170340196</c:v>
                </c:pt>
                <c:pt idx="251">
                  <c:v>2.3366083704074292</c:v>
                </c:pt>
                <c:pt idx="252">
                  <c:v>9.8114463237449767E-2</c:v>
                </c:pt>
                <c:pt idx="253">
                  <c:v>-3.9462004969996145</c:v>
                </c:pt>
                <c:pt idx="254">
                  <c:v>2.9985045828469827</c:v>
                </c:pt>
                <c:pt idx="255">
                  <c:v>2.2795961181715674</c:v>
                </c:pt>
                <c:pt idx="256">
                  <c:v>-4.3325795667148146</c:v>
                </c:pt>
                <c:pt idx="257">
                  <c:v>1.08639063621579</c:v>
                </c:pt>
                <c:pt idx="258">
                  <c:v>1.6734821256974921</c:v>
                </c:pt>
                <c:pt idx="259">
                  <c:v>-1.5027307566742971</c:v>
                </c:pt>
                <c:pt idx="260">
                  <c:v>1.7983105696838391</c:v>
                </c:pt>
                <c:pt idx="261">
                  <c:v>-2.5840389678709048</c:v>
                </c:pt>
                <c:pt idx="262">
                  <c:v>0.12807811892054266</c:v>
                </c:pt>
                <c:pt idx="263">
                  <c:v>3.9283499469220491</c:v>
                </c:pt>
                <c:pt idx="264">
                  <c:v>-4.0071515270073501</c:v>
                </c:pt>
                <c:pt idx="265">
                  <c:v>0.80454535315219999</c:v>
                </c:pt>
                <c:pt idx="266">
                  <c:v>0.35581380827228049</c:v>
                </c:pt>
                <c:pt idx="267">
                  <c:v>0.18214142976834102</c:v>
                </c:pt>
                <c:pt idx="268">
                  <c:v>1.762409038756682</c:v>
                </c:pt>
                <c:pt idx="269">
                  <c:v>-4.5401991830731996</c:v>
                </c:pt>
                <c:pt idx="270">
                  <c:v>3.4611380079394882</c:v>
                </c:pt>
                <c:pt idx="271">
                  <c:v>-0.33157120070321966</c:v>
                </c:pt>
                <c:pt idx="272">
                  <c:v>-7.3059905576508322E-2</c:v>
                </c:pt>
                <c:pt idx="273">
                  <c:v>-0.57577260320643742</c:v>
                </c:pt>
                <c:pt idx="274">
                  <c:v>-1.7800163064371535</c:v>
                </c:pt>
                <c:pt idx="275">
                  <c:v>4.5588003412437645</c:v>
                </c:pt>
                <c:pt idx="276">
                  <c:v>-3.3265425120239023</c:v>
                </c:pt>
                <c:pt idx="277">
                  <c:v>0.59286133058121138</c:v>
                </c:pt>
                <c:pt idx="278">
                  <c:v>-0.52442633047139853</c:v>
                </c:pt>
                <c:pt idx="279">
                  <c:v>0.62077444263495307</c:v>
                </c:pt>
                <c:pt idx="280">
                  <c:v>2.3823350885629613</c:v>
                </c:pt>
                <c:pt idx="281">
                  <c:v>-4.7129882881966889</c:v>
                </c:pt>
                <c:pt idx="282">
                  <c:v>2.3359621511381539</c:v>
                </c:pt>
                <c:pt idx="283">
                  <c:v>1.2163125182047971</c:v>
                </c:pt>
                <c:pt idx="284">
                  <c:v>-1.6944680914388861</c:v>
                </c:pt>
                <c:pt idx="285">
                  <c:v>1.4200282202069983</c:v>
                </c:pt>
                <c:pt idx="286">
                  <c:v>-2.5660770811162168</c:v>
                </c:pt>
                <c:pt idx="287">
                  <c:v>1.5519000198530268</c:v>
                </c:pt>
                <c:pt idx="288">
                  <c:v>2.8220133841406909</c:v>
                </c:pt>
                <c:pt idx="289">
                  <c:v>-4.5114591319043917</c:v>
                </c:pt>
                <c:pt idx="290">
                  <c:v>0.37638233802167542</c:v>
                </c:pt>
                <c:pt idx="291">
                  <c:v>3.6157056450896152</c:v>
                </c:pt>
                <c:pt idx="292">
                  <c:v>-2.4646164873275378</c:v>
                </c:pt>
                <c:pt idx="293">
                  <c:v>-0.47832834304856053</c:v>
                </c:pt>
                <c:pt idx="294">
                  <c:v>1.3267153682658501</c:v>
                </c:pt>
                <c:pt idx="295">
                  <c:v>-1.5524362341829943</c:v>
                </c:pt>
                <c:pt idx="296">
                  <c:v>1.7785897397640227</c:v>
                </c:pt>
                <c:pt idx="297">
                  <c:v>0.5830465394759925</c:v>
                </c:pt>
                <c:pt idx="298">
                  <c:v>-3.9015087985294432</c:v>
                </c:pt>
                <c:pt idx="299">
                  <c:v>2.5364122935681088</c:v>
                </c:pt>
                <c:pt idx="300">
                  <c:v>2.6857638431165847</c:v>
                </c:pt>
                <c:pt idx="301">
                  <c:v>-4.3680564914900728</c:v>
                </c:pt>
                <c:pt idx="302">
                  <c:v>0.83213733902967257</c:v>
                </c:pt>
                <c:pt idx="303">
                  <c:v>1.9333935900075319</c:v>
                </c:pt>
                <c:pt idx="304">
                  <c:v>-1.5931416946649626</c:v>
                </c:pt>
                <c:pt idx="305">
                  <c:v>1.7659893200054049</c:v>
                </c:pt>
                <c:pt idx="306">
                  <c:v>-2.5742674364342033</c:v>
                </c:pt>
                <c:pt idx="307">
                  <c:v>0.20539420375534168</c:v>
                </c:pt>
                <c:pt idx="308">
                  <c:v>3.8383231559806621</c:v>
                </c:pt>
                <c:pt idx="309">
                  <c:v>-4.0349774405892473</c:v>
                </c:pt>
                <c:pt idx="310">
                  <c:v>1.0240662258074134</c:v>
                </c:pt>
                <c:pt idx="311">
                  <c:v>-2.5547677164838412E-2</c:v>
                </c:pt>
                <c:pt idx="312">
                  <c:v>0.61154257809015833</c:v>
                </c:pt>
                <c:pt idx="313">
                  <c:v>1.4357792043530848</c:v>
                </c:pt>
                <c:pt idx="314">
                  <c:v>-4.4466877275555374</c:v>
                </c:pt>
                <c:pt idx="315">
                  <c:v>3.6565958128629799</c:v>
                </c:pt>
                <c:pt idx="316">
                  <c:v>-0.77818488361633653</c:v>
                </c:pt>
                <c:pt idx="317">
                  <c:v>0.51711900079519302</c:v>
                </c:pt>
                <c:pt idx="318">
                  <c:v>-1.1682870709372566</c:v>
                </c:pt>
                <c:pt idx="319">
                  <c:v>-1.3299916561894936</c:v>
                </c:pt>
                <c:pt idx="320">
                  <c:v>4.3612689111205665</c:v>
                </c:pt>
                <c:pt idx="321">
                  <c:v>-3.4119864945145646</c:v>
                </c:pt>
                <c:pt idx="322">
                  <c:v>0.89633980389344803</c:v>
                </c:pt>
                <c:pt idx="323">
                  <c:v>-0.91458663402814744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80336"/>
        <c:axId val="478475240"/>
      </c:scatterChart>
      <c:valAx>
        <c:axId val="478478768"/>
        <c:scaling>
          <c:orientation val="minMax"/>
          <c:max val="1850"/>
          <c:min val="165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78474456"/>
        <c:crosses val="autoZero"/>
        <c:crossBetween val="midCat"/>
      </c:valAx>
      <c:valAx>
        <c:axId val="478474456"/>
        <c:scaling>
          <c:orientation val="minMax"/>
          <c:max val="250"/>
        </c:scaling>
        <c:delete val="0"/>
        <c:axPos val="l"/>
        <c:numFmt formatCode="General" sourceLinked="1"/>
        <c:majorTickMark val="out"/>
        <c:minorTickMark val="none"/>
        <c:tickLblPos val="nextTo"/>
        <c:crossAx val="478478768"/>
        <c:crosses val="autoZero"/>
        <c:crossBetween val="midCat"/>
      </c:valAx>
      <c:valAx>
        <c:axId val="478475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78480336"/>
        <c:crosses val="max"/>
        <c:crossBetween val="midCat"/>
      </c:valAx>
      <c:valAx>
        <c:axId val="47848033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784752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659381116759619E-2"/>
          <c:y val="2.8252405949256341E-2"/>
          <c:w val="0.9182913218650216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Hill</c:v>
          </c:tx>
          <c:marker>
            <c:symbol val="none"/>
          </c:marker>
          <c:xVal>
            <c:numRef>
              <c:f>cc_law!$I$13:$I$336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cc_law!$J$13:$J$336</c:f>
              <c:numCache>
                <c:formatCode>General</c:formatCode>
                <c:ptCount val="324"/>
                <c:pt idx="0">
                  <c:v>72.592973777991432</c:v>
                </c:pt>
                <c:pt idx="1">
                  <c:v>-80.177669856155944</c:v>
                </c:pt>
                <c:pt idx="2">
                  <c:v>-104.9346023134445</c:v>
                </c:pt>
                <c:pt idx="3">
                  <c:v>-21.66980361482813</c:v>
                </c:pt>
                <c:pt idx="4">
                  <c:v>-63.7565078361433</c:v>
                </c:pt>
                <c:pt idx="5">
                  <c:v>35.741932615264986</c:v>
                </c:pt>
                <c:pt idx="6">
                  <c:v>38.398925532188272</c:v>
                </c:pt>
                <c:pt idx="7">
                  <c:v>-2.2709015570147848</c:v>
                </c:pt>
                <c:pt idx="8">
                  <c:v>28.003779263755938</c:v>
                </c:pt>
                <c:pt idx="9">
                  <c:v>-85.989108924046946</c:v>
                </c:pt>
                <c:pt idx="10">
                  <c:v>-2.9225222224304446</c:v>
                </c:pt>
                <c:pt idx="11">
                  <c:v>-86.188656746152887</c:v>
                </c:pt>
                <c:pt idx="12">
                  <c:v>-82.873764289700048</c:v>
                </c:pt>
                <c:pt idx="13">
                  <c:v>-55.011826958632355</c:v>
                </c:pt>
                <c:pt idx="14">
                  <c:v>-25.35029187901344</c:v>
                </c:pt>
                <c:pt idx="15">
                  <c:v>44.154616743130028</c:v>
                </c:pt>
                <c:pt idx="16">
                  <c:v>-13.778508380504494</c:v>
                </c:pt>
                <c:pt idx="17">
                  <c:v>-32.857829199613697</c:v>
                </c:pt>
                <c:pt idx="18">
                  <c:v>-13.659381517004165</c:v>
                </c:pt>
                <c:pt idx="19">
                  <c:v>115.0713429907663</c:v>
                </c:pt>
                <c:pt idx="20">
                  <c:v>-22.807050349480136</c:v>
                </c:pt>
                <c:pt idx="21">
                  <c:v>-7.7149382312549113</c:v>
                </c:pt>
                <c:pt idx="22">
                  <c:v>27.725817288939524</c:v>
                </c:pt>
                <c:pt idx="23">
                  <c:v>21.520494186655533</c:v>
                </c:pt>
                <c:pt idx="24">
                  <c:v>-48.267951629610067</c:v>
                </c:pt>
                <c:pt idx="25">
                  <c:v>-31.697040156911278</c:v>
                </c:pt>
                <c:pt idx="26">
                  <c:v>-28.083541622115085</c:v>
                </c:pt>
                <c:pt idx="27">
                  <c:v>-102.59787811672672</c:v>
                </c:pt>
                <c:pt idx="28">
                  <c:v>15.062857092577701</c:v>
                </c:pt>
                <c:pt idx="29">
                  <c:v>80.505339389543664</c:v>
                </c:pt>
                <c:pt idx="30">
                  <c:v>12.417732293434437</c:v>
                </c:pt>
                <c:pt idx="31">
                  <c:v>33.357907444317483</c:v>
                </c:pt>
                <c:pt idx="32">
                  <c:v>3.0344317057635042</c:v>
                </c:pt>
                <c:pt idx="33">
                  <c:v>68.896179826065833</c:v>
                </c:pt>
                <c:pt idx="34">
                  <c:v>1.3635505414797979</c:v>
                </c:pt>
                <c:pt idx="35">
                  <c:v>-155.76193534964924</c:v>
                </c:pt>
                <c:pt idx="36">
                  <c:v>28.986057788585079</c:v>
                </c:pt>
                <c:pt idx="37">
                  <c:v>18.857729362949751</c:v>
                </c:pt>
                <c:pt idx="38">
                  <c:v>63.775410703179077</c:v>
                </c:pt>
                <c:pt idx="39">
                  <c:v>-11.090385660410206</c:v>
                </c:pt>
                <c:pt idx="40">
                  <c:v>-18.362036192507979</c:v>
                </c:pt>
                <c:pt idx="41">
                  <c:v>44.080684573294185</c:v>
                </c:pt>
                <c:pt idx="42">
                  <c:v>-51.800301126295047</c:v>
                </c:pt>
                <c:pt idx="43">
                  <c:v>-127.52878195658602</c:v>
                </c:pt>
                <c:pt idx="44">
                  <c:v>-205.17126711889765</c:v>
                </c:pt>
                <c:pt idx="45">
                  <c:v>-59.889117634095243</c:v>
                </c:pt>
                <c:pt idx="46">
                  <c:v>-103.17885525162485</c:v>
                </c:pt>
                <c:pt idx="47">
                  <c:v>-33.195688730390501</c:v>
                </c:pt>
                <c:pt idx="48">
                  <c:v>1.8478800544542209</c:v>
                </c:pt>
                <c:pt idx="49">
                  <c:v>-35.633091800847978</c:v>
                </c:pt>
                <c:pt idx="50">
                  <c:v>55.585999497394369</c:v>
                </c:pt>
                <c:pt idx="51">
                  <c:v>-65.43880740822631</c:v>
                </c:pt>
                <c:pt idx="52">
                  <c:v>-45.039413374411808</c:v>
                </c:pt>
                <c:pt idx="53">
                  <c:v>-54.713867188385827</c:v>
                </c:pt>
                <c:pt idx="54">
                  <c:v>3.9055316698664586</c:v>
                </c:pt>
                <c:pt idx="55">
                  <c:v>22.037223066078404</c:v>
                </c:pt>
                <c:pt idx="56">
                  <c:v>-11.080376437282665</c:v>
                </c:pt>
                <c:pt idx="57">
                  <c:v>-41.667363532393367</c:v>
                </c:pt>
                <c:pt idx="58">
                  <c:v>96.248356056502928</c:v>
                </c:pt>
                <c:pt idx="59">
                  <c:v>18.050998568970215</c:v>
                </c:pt>
                <c:pt idx="60">
                  <c:v>-100.29237268644322</c:v>
                </c:pt>
                <c:pt idx="61">
                  <c:v>5.2612751125687431</c:v>
                </c:pt>
                <c:pt idx="62">
                  <c:v>-11.432624843526384</c:v>
                </c:pt>
                <c:pt idx="63">
                  <c:v>-27.837503605926798</c:v>
                </c:pt>
                <c:pt idx="64">
                  <c:v>-330.93094604022747</c:v>
                </c:pt>
                <c:pt idx="65">
                  <c:v>-27.225705759135227</c:v>
                </c:pt>
                <c:pt idx="66">
                  <c:v>43.144187375911351</c:v>
                </c:pt>
                <c:pt idx="67">
                  <c:v>22.928123137548141</c:v>
                </c:pt>
                <c:pt idx="68">
                  <c:v>-119.08405392154739</c:v>
                </c:pt>
                <c:pt idx="69">
                  <c:v>41.860487796125696</c:v>
                </c:pt>
                <c:pt idx="70">
                  <c:v>-70.156598524313523</c:v>
                </c:pt>
                <c:pt idx="71">
                  <c:v>127.82038037287569</c:v>
                </c:pt>
                <c:pt idx="72">
                  <c:v>24.72170481568628</c:v>
                </c:pt>
                <c:pt idx="73">
                  <c:v>-95.893969476709131</c:v>
                </c:pt>
                <c:pt idx="74">
                  <c:v>366.54433319702304</c:v>
                </c:pt>
                <c:pt idx="75">
                  <c:v>19.297044743746213</c:v>
                </c:pt>
                <c:pt idx="76">
                  <c:v>-90.064784311708891</c:v>
                </c:pt>
                <c:pt idx="77">
                  <c:v>28.035659619073158</c:v>
                </c:pt>
                <c:pt idx="78">
                  <c:v>24.488644390323849</c:v>
                </c:pt>
                <c:pt idx="79">
                  <c:v>7.3739271338836279</c:v>
                </c:pt>
                <c:pt idx="80">
                  <c:v>71.476246991450765</c:v>
                </c:pt>
                <c:pt idx="81">
                  <c:v>-171.40610926097156</c:v>
                </c:pt>
                <c:pt idx="82">
                  <c:v>-1.3142495662756684</c:v>
                </c:pt>
                <c:pt idx="83">
                  <c:v>-6.7003832101532748</c:v>
                </c:pt>
                <c:pt idx="84">
                  <c:v>55.481739169570425</c:v>
                </c:pt>
                <c:pt idx="85">
                  <c:v>-40.707603519052242</c:v>
                </c:pt>
                <c:pt idx="86">
                  <c:v>76.064061707243638</c:v>
                </c:pt>
                <c:pt idx="87">
                  <c:v>57.795395445064528</c:v>
                </c:pt>
                <c:pt idx="88">
                  <c:v>-0.48478339929842257</c:v>
                </c:pt>
                <c:pt idx="89">
                  <c:v>40.089264667148328</c:v>
                </c:pt>
                <c:pt idx="90">
                  <c:v>-185.82325112742558</c:v>
                </c:pt>
                <c:pt idx="91">
                  <c:v>-26.34780568362704</c:v>
                </c:pt>
                <c:pt idx="92">
                  <c:v>29.978204827974935</c:v>
                </c:pt>
                <c:pt idx="93">
                  <c:v>-159.16313795380321</c:v>
                </c:pt>
                <c:pt idx="94">
                  <c:v>-157.74877730144146</c:v>
                </c:pt>
                <c:pt idx="95">
                  <c:v>405.87472403374159</c:v>
                </c:pt>
                <c:pt idx="96">
                  <c:v>-93.652016630121878</c:v>
                </c:pt>
                <c:pt idx="97">
                  <c:v>7.4250637903724268</c:v>
                </c:pt>
                <c:pt idx="98">
                  <c:v>55.789745363104913</c:v>
                </c:pt>
                <c:pt idx="99">
                  <c:v>-42.140631181831317</c:v>
                </c:pt>
                <c:pt idx="100">
                  <c:v>100.40440029769152</c:v>
                </c:pt>
                <c:pt idx="101">
                  <c:v>-274.71064040196768</c:v>
                </c:pt>
                <c:pt idx="102">
                  <c:v>-56.780867048596008</c:v>
                </c:pt>
                <c:pt idx="103">
                  <c:v>-51.35441066569885</c:v>
                </c:pt>
                <c:pt idx="104">
                  <c:v>-16.391287017639225</c:v>
                </c:pt>
                <c:pt idx="105">
                  <c:v>349.12260312333308</c:v>
                </c:pt>
                <c:pt idx="106">
                  <c:v>2.274888148997988</c:v>
                </c:pt>
                <c:pt idx="107">
                  <c:v>37.848227626962554</c:v>
                </c:pt>
                <c:pt idx="108">
                  <c:v>0.60154396035877999</c:v>
                </c:pt>
                <c:pt idx="109">
                  <c:v>-218.60491577228868</c:v>
                </c:pt>
                <c:pt idx="110">
                  <c:v>17.929735957206614</c:v>
                </c:pt>
                <c:pt idx="111">
                  <c:v>-44.197138300471195</c:v>
                </c:pt>
                <c:pt idx="112">
                  <c:v>-2.04105279603082</c:v>
                </c:pt>
                <c:pt idx="113">
                  <c:v>51.345698461350892</c:v>
                </c:pt>
                <c:pt idx="114">
                  <c:v>20.146234053164278</c:v>
                </c:pt>
                <c:pt idx="115">
                  <c:v>-65.272223014055569</c:v>
                </c:pt>
                <c:pt idx="116">
                  <c:v>-4.3383474095164791</c:v>
                </c:pt>
                <c:pt idx="117">
                  <c:v>16.976628357698544</c:v>
                </c:pt>
                <c:pt idx="118">
                  <c:v>62.46411869254716</c:v>
                </c:pt>
                <c:pt idx="119">
                  <c:v>169.72660742358585</c:v>
                </c:pt>
                <c:pt idx="120">
                  <c:v>-12.985514448327775</c:v>
                </c:pt>
                <c:pt idx="121">
                  <c:v>-284.90024952727424</c:v>
                </c:pt>
                <c:pt idx="122">
                  <c:v>11.211854417246141</c:v>
                </c:pt>
                <c:pt idx="123">
                  <c:v>0.99868777516316642</c:v>
                </c:pt>
                <c:pt idx="124">
                  <c:v>21.031612016481745</c:v>
                </c:pt>
                <c:pt idx="125">
                  <c:v>102.39664956189148</c:v>
                </c:pt>
                <c:pt idx="126">
                  <c:v>-82.007255924537617</c:v>
                </c:pt>
                <c:pt idx="127">
                  <c:v>12.690271885409416</c:v>
                </c:pt>
                <c:pt idx="128">
                  <c:v>-10.426426974667475</c:v>
                </c:pt>
                <c:pt idx="129">
                  <c:v>-169.02794269494217</c:v>
                </c:pt>
                <c:pt idx="130">
                  <c:v>68.133116766576734</c:v>
                </c:pt>
                <c:pt idx="131">
                  <c:v>35.60182692760872</c:v>
                </c:pt>
                <c:pt idx="132">
                  <c:v>-135.81685017184179</c:v>
                </c:pt>
                <c:pt idx="133">
                  <c:v>82.741255703924708</c:v>
                </c:pt>
                <c:pt idx="134">
                  <c:v>-194.82541189539947</c:v>
                </c:pt>
                <c:pt idx="135">
                  <c:v>-10.086517479442231</c:v>
                </c:pt>
                <c:pt idx="136">
                  <c:v>-0.76934254378296663</c:v>
                </c:pt>
                <c:pt idx="137">
                  <c:v>-70.407957801573247</c:v>
                </c:pt>
                <c:pt idx="138">
                  <c:v>197.51682615757878</c:v>
                </c:pt>
                <c:pt idx="139">
                  <c:v>-147.9850897998522</c:v>
                </c:pt>
                <c:pt idx="140">
                  <c:v>497.08655512221821</c:v>
                </c:pt>
                <c:pt idx="141">
                  <c:v>171.01499575329998</c:v>
                </c:pt>
                <c:pt idx="142">
                  <c:v>-10.066416613826068</c:v>
                </c:pt>
                <c:pt idx="143">
                  <c:v>26.791448718056394</c:v>
                </c:pt>
                <c:pt idx="144">
                  <c:v>-25.070655292515593</c:v>
                </c:pt>
                <c:pt idx="145">
                  <c:v>52.414121377693867</c:v>
                </c:pt>
                <c:pt idx="146">
                  <c:v>-187.37218919755915</c:v>
                </c:pt>
                <c:pt idx="147">
                  <c:v>58.264211158218856</c:v>
                </c:pt>
                <c:pt idx="148">
                  <c:v>13.714950430411886</c:v>
                </c:pt>
                <c:pt idx="149">
                  <c:v>-54.435431181200272</c:v>
                </c:pt>
                <c:pt idx="150">
                  <c:v>183.40709749616255</c:v>
                </c:pt>
                <c:pt idx="151">
                  <c:v>4.9622804346557823</c:v>
                </c:pt>
                <c:pt idx="152">
                  <c:v>78.158927867667799</c:v>
                </c:pt>
                <c:pt idx="153">
                  <c:v>-3.7404543092154707</c:v>
                </c:pt>
                <c:pt idx="154">
                  <c:v>-236.42524430225234</c:v>
                </c:pt>
                <c:pt idx="155">
                  <c:v>6.0670091075219723</c:v>
                </c:pt>
                <c:pt idx="156">
                  <c:v>-65.799529476550504</c:v>
                </c:pt>
                <c:pt idx="157">
                  <c:v>-1.1046863180136968</c:v>
                </c:pt>
                <c:pt idx="158">
                  <c:v>-0.59298483707625771</c:v>
                </c:pt>
                <c:pt idx="159">
                  <c:v>-6.0580637802367168</c:v>
                </c:pt>
                <c:pt idx="160">
                  <c:v>108.57607049685446</c:v>
                </c:pt>
                <c:pt idx="161">
                  <c:v>-38.606215790488626</c:v>
                </c:pt>
                <c:pt idx="162">
                  <c:v>-5.8847189531125856</c:v>
                </c:pt>
                <c:pt idx="163">
                  <c:v>77.310621714255632</c:v>
                </c:pt>
                <c:pt idx="164">
                  <c:v>361.38942575277832</c:v>
                </c:pt>
                <c:pt idx="165">
                  <c:v>6.2200416450911256</c:v>
                </c:pt>
                <c:pt idx="166">
                  <c:v>-235.18333073353426</c:v>
                </c:pt>
                <c:pt idx="167">
                  <c:v>96.172335116120621</c:v>
                </c:pt>
                <c:pt idx="168">
                  <c:v>15.42458222744348</c:v>
                </c:pt>
                <c:pt idx="169">
                  <c:v>-30.481308743127098</c:v>
                </c:pt>
                <c:pt idx="170">
                  <c:v>114.19794460337404</c:v>
                </c:pt>
                <c:pt idx="171">
                  <c:v>-45.719784874528784</c:v>
                </c:pt>
                <c:pt idx="172">
                  <c:v>-8.9506114851478795</c:v>
                </c:pt>
                <c:pt idx="173">
                  <c:v>83.592337773242377</c:v>
                </c:pt>
                <c:pt idx="174">
                  <c:v>2.6620572498788229</c:v>
                </c:pt>
                <c:pt idx="175">
                  <c:v>-83.170062768858642</c:v>
                </c:pt>
                <c:pt idx="176">
                  <c:v>18.709235907525791</c:v>
                </c:pt>
                <c:pt idx="177">
                  <c:v>-76.547565841243795</c:v>
                </c:pt>
                <c:pt idx="178">
                  <c:v>-7.4896991094687539</c:v>
                </c:pt>
                <c:pt idx="179">
                  <c:v>-82.39202497305287</c:v>
                </c:pt>
                <c:pt idx="180">
                  <c:v>89.613312510734914</c:v>
                </c:pt>
                <c:pt idx="181">
                  <c:v>-96.494610803988536</c:v>
                </c:pt>
                <c:pt idx="182">
                  <c:v>33.016251563505648</c:v>
                </c:pt>
                <c:pt idx="183">
                  <c:v>-2.3673366676434622</c:v>
                </c:pt>
                <c:pt idx="184">
                  <c:v>7.9981708405703067E-3</c:v>
                </c:pt>
                <c:pt idx="185">
                  <c:v>225.13897384793472</c:v>
                </c:pt>
                <c:pt idx="186">
                  <c:v>90.254467457873119</c:v>
                </c:pt>
                <c:pt idx="187">
                  <c:v>-210.54189118188907</c:v>
                </c:pt>
                <c:pt idx="188">
                  <c:v>6.0479337158414861</c:v>
                </c:pt>
                <c:pt idx="189">
                  <c:v>-8.0953934739944788</c:v>
                </c:pt>
                <c:pt idx="190">
                  <c:v>65.902580146561647</c:v>
                </c:pt>
                <c:pt idx="191">
                  <c:v>8.5759610273329816</c:v>
                </c:pt>
                <c:pt idx="192">
                  <c:v>32.860985725789064</c:v>
                </c:pt>
                <c:pt idx="193">
                  <c:v>-4.9719413170965439</c:v>
                </c:pt>
                <c:pt idx="194">
                  <c:v>32.416046035240377</c:v>
                </c:pt>
                <c:pt idx="195">
                  <c:v>241.63853351178821</c:v>
                </c:pt>
                <c:pt idx="196">
                  <c:v>-10.611855364752319</c:v>
                </c:pt>
                <c:pt idx="197">
                  <c:v>9.0417121221078425</c:v>
                </c:pt>
                <c:pt idx="198">
                  <c:v>-0.77684610403445808</c:v>
                </c:pt>
                <c:pt idx="199">
                  <c:v>-192.43627584161612</c:v>
                </c:pt>
                <c:pt idx="200">
                  <c:v>9.1835757521017385</c:v>
                </c:pt>
                <c:pt idx="201">
                  <c:v>77.033618931728938</c:v>
                </c:pt>
                <c:pt idx="202">
                  <c:v>3.3793705497837161</c:v>
                </c:pt>
                <c:pt idx="203">
                  <c:v>63.671713720816015</c:v>
                </c:pt>
                <c:pt idx="204">
                  <c:v>-12.126773596707903</c:v>
                </c:pt>
                <c:pt idx="205">
                  <c:v>72.659811954646401</c:v>
                </c:pt>
                <c:pt idx="206">
                  <c:v>12.599597814376526</c:v>
                </c:pt>
                <c:pt idx="207">
                  <c:v>50.459195731971647</c:v>
                </c:pt>
                <c:pt idx="208">
                  <c:v>-61.010759770011703</c:v>
                </c:pt>
                <c:pt idx="209">
                  <c:v>-169.59262169131475</c:v>
                </c:pt>
                <c:pt idx="210">
                  <c:v>-21.714775058323447</c:v>
                </c:pt>
                <c:pt idx="211">
                  <c:v>-255.16795567805951</c:v>
                </c:pt>
                <c:pt idx="212">
                  <c:v>125.35884400825043</c:v>
                </c:pt>
                <c:pt idx="213">
                  <c:v>0.90546479882744624</c:v>
                </c:pt>
                <c:pt idx="214">
                  <c:v>-14.546406630129193</c:v>
                </c:pt>
                <c:pt idx="215">
                  <c:v>-3.7767270142492348</c:v>
                </c:pt>
                <c:pt idx="216">
                  <c:v>12.84903014696649</c:v>
                </c:pt>
                <c:pt idx="217">
                  <c:v>-102.23840013323371</c:v>
                </c:pt>
                <c:pt idx="218">
                  <c:v>-79.954322944506842</c:v>
                </c:pt>
                <c:pt idx="219">
                  <c:v>-225.33973167546085</c:v>
                </c:pt>
                <c:pt idx="220">
                  <c:v>96.737971338316157</c:v>
                </c:pt>
                <c:pt idx="221">
                  <c:v>14.139232642411525</c:v>
                </c:pt>
                <c:pt idx="222">
                  <c:v>13.65202034500617</c:v>
                </c:pt>
                <c:pt idx="223">
                  <c:v>-37.502180023985453</c:v>
                </c:pt>
                <c:pt idx="224">
                  <c:v>-72.280075887416501</c:v>
                </c:pt>
                <c:pt idx="225">
                  <c:v>155.80962574890074</c:v>
                </c:pt>
                <c:pt idx="226">
                  <c:v>-109.24774781009252</c:v>
                </c:pt>
                <c:pt idx="227">
                  <c:v>6.9072045245110258</c:v>
                </c:pt>
                <c:pt idx="228">
                  <c:v>189.79436201871005</c:v>
                </c:pt>
                <c:pt idx="229">
                  <c:v>-48.604048804043146</c:v>
                </c:pt>
                <c:pt idx="230">
                  <c:v>55.181912088478796</c:v>
                </c:pt>
                <c:pt idx="231">
                  <c:v>-75.56872217206238</c:v>
                </c:pt>
                <c:pt idx="232">
                  <c:v>-43.872853654855625</c:v>
                </c:pt>
                <c:pt idx="233">
                  <c:v>-35.830394505824472</c:v>
                </c:pt>
                <c:pt idx="234">
                  <c:v>-1.7631098740748357</c:v>
                </c:pt>
                <c:pt idx="235">
                  <c:v>151.15694583042389</c:v>
                </c:pt>
                <c:pt idx="236">
                  <c:v>261.1971970293572</c:v>
                </c:pt>
                <c:pt idx="237">
                  <c:v>64.706001185037891</c:v>
                </c:pt>
                <c:pt idx="238">
                  <c:v>60.032400020175004</c:v>
                </c:pt>
                <c:pt idx="239">
                  <c:v>-2.1305737634827757</c:v>
                </c:pt>
                <c:pt idx="240">
                  <c:v>83.093916641359996</c:v>
                </c:pt>
                <c:pt idx="241">
                  <c:v>104.83843512732923</c:v>
                </c:pt>
                <c:pt idx="242">
                  <c:v>-26.773740359452862</c:v>
                </c:pt>
                <c:pt idx="243">
                  <c:v>5.77867623287709</c:v>
                </c:pt>
                <c:pt idx="244">
                  <c:v>-84.234437066404041</c:v>
                </c:pt>
                <c:pt idx="245">
                  <c:v>-12.294804560922238</c:v>
                </c:pt>
                <c:pt idx="246">
                  <c:v>17.629498457232874</c:v>
                </c:pt>
                <c:pt idx="247">
                  <c:v>39.895047540316149</c:v>
                </c:pt>
                <c:pt idx="248">
                  <c:v>-64.819726709595173</c:v>
                </c:pt>
                <c:pt idx="249">
                  <c:v>-27.342729722883249</c:v>
                </c:pt>
                <c:pt idx="250">
                  <c:v>253.5260276846152</c:v>
                </c:pt>
                <c:pt idx="251">
                  <c:v>14.820495948521778</c:v>
                </c:pt>
                <c:pt idx="252">
                  <c:v>245.18785520068565</c:v>
                </c:pt>
                <c:pt idx="253">
                  <c:v>96.846125048390775</c:v>
                </c:pt>
                <c:pt idx="254">
                  <c:v>253.59920410521127</c:v>
                </c:pt>
                <c:pt idx="255">
                  <c:v>10.253692605131258</c:v>
                </c:pt>
                <c:pt idx="256">
                  <c:v>60.807740717486269</c:v>
                </c:pt>
                <c:pt idx="257">
                  <c:v>91.983067471643977</c:v>
                </c:pt>
                <c:pt idx="258">
                  <c:v>-30.175489586335335</c:v>
                </c:pt>
                <c:pt idx="259">
                  <c:v>44.655531447794999</c:v>
                </c:pt>
                <c:pt idx="260">
                  <c:v>-438.18094411752156</c:v>
                </c:pt>
                <c:pt idx="261">
                  <c:v>35.904392463302436</c:v>
                </c:pt>
                <c:pt idx="262">
                  <c:v>-130.77736720748203</c:v>
                </c:pt>
                <c:pt idx="263">
                  <c:v>212.98204566770966</c:v>
                </c:pt>
                <c:pt idx="264">
                  <c:v>-91.571320055405636</c:v>
                </c:pt>
                <c:pt idx="265">
                  <c:v>148.05778442178234</c:v>
                </c:pt>
                <c:pt idx="266">
                  <c:v>92.005036903533608</c:v>
                </c:pt>
                <c:pt idx="267">
                  <c:v>-191.34533949230979</c:v>
                </c:pt>
                <c:pt idx="268">
                  <c:v>-238.37152837033739</c:v>
                </c:pt>
                <c:pt idx="269">
                  <c:v>-104.71545222328616</c:v>
                </c:pt>
                <c:pt idx="270">
                  <c:v>-169.65080943750388</c:v>
                </c:pt>
                <c:pt idx="271">
                  <c:v>72.603921380010419</c:v>
                </c:pt>
                <c:pt idx="272">
                  <c:v>-31.061461047596428</c:v>
                </c:pt>
                <c:pt idx="273">
                  <c:v>147.27870541673596</c:v>
                </c:pt>
                <c:pt idx="274">
                  <c:v>-226.59818774291571</c:v>
                </c:pt>
                <c:pt idx="275">
                  <c:v>-23.708813469812618</c:v>
                </c:pt>
                <c:pt idx="276">
                  <c:v>22.561447959388889</c:v>
                </c:pt>
                <c:pt idx="277">
                  <c:v>241.43535471031527</c:v>
                </c:pt>
                <c:pt idx="278">
                  <c:v>-36.829844635992245</c:v>
                </c:pt>
                <c:pt idx="279">
                  <c:v>-197.48069433722773</c:v>
                </c:pt>
                <c:pt idx="280">
                  <c:v>-40.525069853950754</c:v>
                </c:pt>
                <c:pt idx="281">
                  <c:v>-40.232944848475995</c:v>
                </c:pt>
                <c:pt idx="282">
                  <c:v>-62.544661983169874</c:v>
                </c:pt>
                <c:pt idx="283">
                  <c:v>16.646893059640188</c:v>
                </c:pt>
                <c:pt idx="284">
                  <c:v>0.33257183070420848</c:v>
                </c:pt>
                <c:pt idx="285">
                  <c:v>-115.24682101904008</c:v>
                </c:pt>
                <c:pt idx="286">
                  <c:v>-12.369908245566947</c:v>
                </c:pt>
                <c:pt idx="287">
                  <c:v>15.207361640563297</c:v>
                </c:pt>
                <c:pt idx="288">
                  <c:v>-36.493082011005825</c:v>
                </c:pt>
                <c:pt idx="289">
                  <c:v>607.92346265497565</c:v>
                </c:pt>
                <c:pt idx="290">
                  <c:v>-63.920813167498899</c:v>
                </c:pt>
                <c:pt idx="291">
                  <c:v>-41.855365460723817</c:v>
                </c:pt>
                <c:pt idx="292">
                  <c:v>-52.844634012089259</c:v>
                </c:pt>
                <c:pt idx="293">
                  <c:v>-30.240350131440863</c:v>
                </c:pt>
                <c:pt idx="294">
                  <c:v>72.955672084784169</c:v>
                </c:pt>
                <c:pt idx="295">
                  <c:v>-123.03646479326669</c:v>
                </c:pt>
                <c:pt idx="296">
                  <c:v>-2.4535585131002415</c:v>
                </c:pt>
                <c:pt idx="297">
                  <c:v>-54.624742270899802</c:v>
                </c:pt>
                <c:pt idx="298">
                  <c:v>-42.571944356161644</c:v>
                </c:pt>
                <c:pt idx="299">
                  <c:v>-142.69345430299441</c:v>
                </c:pt>
                <c:pt idx="300">
                  <c:v>6.6643219498807262</c:v>
                </c:pt>
                <c:pt idx="301">
                  <c:v>-193.07897485992885</c:v>
                </c:pt>
                <c:pt idx="302">
                  <c:v>97.137619677545985</c:v>
                </c:pt>
                <c:pt idx="303">
                  <c:v>-26.280133047816381</c:v>
                </c:pt>
                <c:pt idx="304">
                  <c:v>256.38064120910769</c:v>
                </c:pt>
                <c:pt idx="305">
                  <c:v>178.761083273184</c:v>
                </c:pt>
                <c:pt idx="306">
                  <c:v>33.121196674724104</c:v>
                </c:pt>
                <c:pt idx="307">
                  <c:v>8.7229911188486913</c:v>
                </c:pt>
                <c:pt idx="308">
                  <c:v>8.3395628475070183</c:v>
                </c:pt>
                <c:pt idx="309">
                  <c:v>-130.19346742155508</c:v>
                </c:pt>
                <c:pt idx="310">
                  <c:v>-13.032568130092724</c:v>
                </c:pt>
                <c:pt idx="311">
                  <c:v>63.55919463531859</c:v>
                </c:pt>
                <c:pt idx="312">
                  <c:v>-88.329185159070079</c:v>
                </c:pt>
                <c:pt idx="313">
                  <c:v>-32.090485655743279</c:v>
                </c:pt>
                <c:pt idx="314">
                  <c:v>231.27502323650862</c:v>
                </c:pt>
                <c:pt idx="315">
                  <c:v>-69.760442792865206</c:v>
                </c:pt>
                <c:pt idx="316">
                  <c:v>-179.93256688249363</c:v>
                </c:pt>
                <c:pt idx="317">
                  <c:v>-73.561333138978611</c:v>
                </c:pt>
                <c:pt idx="318">
                  <c:v>-12.064138956550607</c:v>
                </c:pt>
                <c:pt idx="319">
                  <c:v>348.40186796456862</c:v>
                </c:pt>
                <c:pt idx="320">
                  <c:v>-158.71585648070223</c:v>
                </c:pt>
                <c:pt idx="321">
                  <c:v>143.82027023568457</c:v>
                </c:pt>
                <c:pt idx="322">
                  <c:v>669.00139835763594</c:v>
                </c:pt>
                <c:pt idx="323">
                  <c:v>30.026786906511767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74064"/>
        <c:axId val="478475632"/>
      </c:scatterChart>
      <c:scatterChart>
        <c:scatterStyle val="lineMarker"/>
        <c:varyColors val="0"/>
        <c:ser>
          <c:idx val="1"/>
          <c:order val="1"/>
          <c:tx>
            <c:v>Forcing</c:v>
          </c:tx>
          <c:spPr>
            <a:ln>
              <a:solidFill>
                <a:srgbClr val="FF0000">
                  <a:alpha val="54000"/>
                </a:srgbClr>
              </a:solidFill>
            </a:ln>
          </c:spPr>
          <c:marker>
            <c:symbol val="none"/>
          </c:marker>
          <c:xVal>
            <c:numRef>
              <c:f>cc_law!$I$13:$I$336</c:f>
              <c:numCache>
                <c:formatCode>0.00</c:formatCode>
                <c:ptCount val="324"/>
                <c:pt idx="0">
                  <c:v>1652</c:v>
                </c:pt>
                <c:pt idx="1">
                  <c:v>1653</c:v>
                </c:pt>
                <c:pt idx="2">
                  <c:v>1654</c:v>
                </c:pt>
                <c:pt idx="3">
                  <c:v>1655</c:v>
                </c:pt>
                <c:pt idx="4">
                  <c:v>1656</c:v>
                </c:pt>
                <c:pt idx="5">
                  <c:v>1657</c:v>
                </c:pt>
                <c:pt idx="6">
                  <c:v>1658</c:v>
                </c:pt>
                <c:pt idx="7">
                  <c:v>1659</c:v>
                </c:pt>
                <c:pt idx="8">
                  <c:v>1660</c:v>
                </c:pt>
                <c:pt idx="9">
                  <c:v>1661</c:v>
                </c:pt>
                <c:pt idx="10">
                  <c:v>1662</c:v>
                </c:pt>
                <c:pt idx="11">
                  <c:v>1663</c:v>
                </c:pt>
                <c:pt idx="12">
                  <c:v>1664</c:v>
                </c:pt>
                <c:pt idx="13">
                  <c:v>1665</c:v>
                </c:pt>
                <c:pt idx="14">
                  <c:v>1666</c:v>
                </c:pt>
                <c:pt idx="15">
                  <c:v>1667</c:v>
                </c:pt>
                <c:pt idx="16">
                  <c:v>1668</c:v>
                </c:pt>
                <c:pt idx="17">
                  <c:v>1669</c:v>
                </c:pt>
                <c:pt idx="18">
                  <c:v>1670</c:v>
                </c:pt>
                <c:pt idx="19">
                  <c:v>1671</c:v>
                </c:pt>
                <c:pt idx="20">
                  <c:v>1672</c:v>
                </c:pt>
                <c:pt idx="21">
                  <c:v>1673</c:v>
                </c:pt>
                <c:pt idx="22">
                  <c:v>1674</c:v>
                </c:pt>
                <c:pt idx="23">
                  <c:v>1675</c:v>
                </c:pt>
                <c:pt idx="24">
                  <c:v>1676</c:v>
                </c:pt>
                <c:pt idx="25">
                  <c:v>1677</c:v>
                </c:pt>
                <c:pt idx="26">
                  <c:v>1678</c:v>
                </c:pt>
                <c:pt idx="27">
                  <c:v>1679</c:v>
                </c:pt>
                <c:pt idx="28">
                  <c:v>1680</c:v>
                </c:pt>
                <c:pt idx="29">
                  <c:v>1681</c:v>
                </c:pt>
                <c:pt idx="30">
                  <c:v>1682</c:v>
                </c:pt>
                <c:pt idx="31">
                  <c:v>1683</c:v>
                </c:pt>
                <c:pt idx="32">
                  <c:v>1684</c:v>
                </c:pt>
                <c:pt idx="33">
                  <c:v>1685</c:v>
                </c:pt>
                <c:pt idx="34">
                  <c:v>1686</c:v>
                </c:pt>
                <c:pt idx="35">
                  <c:v>1687</c:v>
                </c:pt>
                <c:pt idx="36">
                  <c:v>1688</c:v>
                </c:pt>
                <c:pt idx="37">
                  <c:v>1689</c:v>
                </c:pt>
                <c:pt idx="38">
                  <c:v>1690</c:v>
                </c:pt>
                <c:pt idx="39">
                  <c:v>1691</c:v>
                </c:pt>
                <c:pt idx="40">
                  <c:v>1692</c:v>
                </c:pt>
                <c:pt idx="41">
                  <c:v>1693</c:v>
                </c:pt>
                <c:pt idx="42">
                  <c:v>1694</c:v>
                </c:pt>
                <c:pt idx="43">
                  <c:v>1695</c:v>
                </c:pt>
                <c:pt idx="44">
                  <c:v>1696</c:v>
                </c:pt>
                <c:pt idx="45">
                  <c:v>1697</c:v>
                </c:pt>
                <c:pt idx="46">
                  <c:v>1698</c:v>
                </c:pt>
                <c:pt idx="47">
                  <c:v>1699</c:v>
                </c:pt>
                <c:pt idx="48">
                  <c:v>1700</c:v>
                </c:pt>
                <c:pt idx="49">
                  <c:v>1701</c:v>
                </c:pt>
                <c:pt idx="50">
                  <c:v>1702</c:v>
                </c:pt>
                <c:pt idx="51">
                  <c:v>1703</c:v>
                </c:pt>
                <c:pt idx="52">
                  <c:v>1704</c:v>
                </c:pt>
                <c:pt idx="53">
                  <c:v>1705</c:v>
                </c:pt>
                <c:pt idx="54">
                  <c:v>1706</c:v>
                </c:pt>
                <c:pt idx="55">
                  <c:v>1707</c:v>
                </c:pt>
                <c:pt idx="56">
                  <c:v>1708</c:v>
                </c:pt>
                <c:pt idx="57">
                  <c:v>1709</c:v>
                </c:pt>
                <c:pt idx="58">
                  <c:v>1710</c:v>
                </c:pt>
                <c:pt idx="59">
                  <c:v>1711</c:v>
                </c:pt>
                <c:pt idx="60">
                  <c:v>1712</c:v>
                </c:pt>
                <c:pt idx="61">
                  <c:v>1713</c:v>
                </c:pt>
                <c:pt idx="62">
                  <c:v>1714</c:v>
                </c:pt>
                <c:pt idx="63">
                  <c:v>1715</c:v>
                </c:pt>
                <c:pt idx="64">
                  <c:v>1716</c:v>
                </c:pt>
                <c:pt idx="65">
                  <c:v>1717</c:v>
                </c:pt>
                <c:pt idx="66">
                  <c:v>1718</c:v>
                </c:pt>
                <c:pt idx="67">
                  <c:v>1719</c:v>
                </c:pt>
                <c:pt idx="68">
                  <c:v>1720</c:v>
                </c:pt>
                <c:pt idx="69">
                  <c:v>1721</c:v>
                </c:pt>
                <c:pt idx="70">
                  <c:v>1722</c:v>
                </c:pt>
                <c:pt idx="71">
                  <c:v>1723</c:v>
                </c:pt>
                <c:pt idx="72">
                  <c:v>1724</c:v>
                </c:pt>
                <c:pt idx="73">
                  <c:v>1725</c:v>
                </c:pt>
                <c:pt idx="74">
                  <c:v>1726</c:v>
                </c:pt>
                <c:pt idx="75">
                  <c:v>1727</c:v>
                </c:pt>
                <c:pt idx="76">
                  <c:v>1728</c:v>
                </c:pt>
                <c:pt idx="77">
                  <c:v>1729</c:v>
                </c:pt>
                <c:pt idx="78">
                  <c:v>1730</c:v>
                </c:pt>
                <c:pt idx="79">
                  <c:v>1731</c:v>
                </c:pt>
                <c:pt idx="80">
                  <c:v>1732</c:v>
                </c:pt>
                <c:pt idx="81">
                  <c:v>1733</c:v>
                </c:pt>
                <c:pt idx="82">
                  <c:v>1734</c:v>
                </c:pt>
                <c:pt idx="83">
                  <c:v>1735</c:v>
                </c:pt>
                <c:pt idx="84">
                  <c:v>1736</c:v>
                </c:pt>
                <c:pt idx="85">
                  <c:v>1737</c:v>
                </c:pt>
                <c:pt idx="86">
                  <c:v>1738</c:v>
                </c:pt>
                <c:pt idx="87">
                  <c:v>1739</c:v>
                </c:pt>
                <c:pt idx="88">
                  <c:v>1740</c:v>
                </c:pt>
                <c:pt idx="89">
                  <c:v>1741</c:v>
                </c:pt>
                <c:pt idx="90">
                  <c:v>1742</c:v>
                </c:pt>
                <c:pt idx="91">
                  <c:v>1743</c:v>
                </c:pt>
                <c:pt idx="92">
                  <c:v>1744</c:v>
                </c:pt>
                <c:pt idx="93">
                  <c:v>1745</c:v>
                </c:pt>
                <c:pt idx="94">
                  <c:v>1746</c:v>
                </c:pt>
                <c:pt idx="95">
                  <c:v>1747</c:v>
                </c:pt>
                <c:pt idx="96">
                  <c:v>1748</c:v>
                </c:pt>
                <c:pt idx="97">
                  <c:v>1749</c:v>
                </c:pt>
                <c:pt idx="98">
                  <c:v>1750</c:v>
                </c:pt>
                <c:pt idx="99">
                  <c:v>1751</c:v>
                </c:pt>
                <c:pt idx="100">
                  <c:v>1752</c:v>
                </c:pt>
                <c:pt idx="101">
                  <c:v>1753</c:v>
                </c:pt>
                <c:pt idx="102">
                  <c:v>1754</c:v>
                </c:pt>
                <c:pt idx="103">
                  <c:v>1755</c:v>
                </c:pt>
                <c:pt idx="104">
                  <c:v>1756</c:v>
                </c:pt>
                <c:pt idx="105">
                  <c:v>1757</c:v>
                </c:pt>
                <c:pt idx="106">
                  <c:v>1758</c:v>
                </c:pt>
                <c:pt idx="107">
                  <c:v>1759</c:v>
                </c:pt>
                <c:pt idx="108">
                  <c:v>1760</c:v>
                </c:pt>
                <c:pt idx="109">
                  <c:v>1761</c:v>
                </c:pt>
                <c:pt idx="110">
                  <c:v>1762</c:v>
                </c:pt>
                <c:pt idx="111">
                  <c:v>1763</c:v>
                </c:pt>
                <c:pt idx="112">
                  <c:v>1764</c:v>
                </c:pt>
                <c:pt idx="113">
                  <c:v>1765</c:v>
                </c:pt>
                <c:pt idx="114">
                  <c:v>1766</c:v>
                </c:pt>
                <c:pt idx="115">
                  <c:v>1767</c:v>
                </c:pt>
                <c:pt idx="116">
                  <c:v>1768</c:v>
                </c:pt>
                <c:pt idx="117">
                  <c:v>1769</c:v>
                </c:pt>
                <c:pt idx="118">
                  <c:v>1770</c:v>
                </c:pt>
                <c:pt idx="119">
                  <c:v>1771</c:v>
                </c:pt>
                <c:pt idx="120">
                  <c:v>1772</c:v>
                </c:pt>
                <c:pt idx="121">
                  <c:v>1773</c:v>
                </c:pt>
                <c:pt idx="122">
                  <c:v>1774</c:v>
                </c:pt>
                <c:pt idx="123">
                  <c:v>1775</c:v>
                </c:pt>
                <c:pt idx="124">
                  <c:v>1776</c:v>
                </c:pt>
                <c:pt idx="125">
                  <c:v>1777</c:v>
                </c:pt>
                <c:pt idx="126">
                  <c:v>1778</c:v>
                </c:pt>
                <c:pt idx="127">
                  <c:v>1779</c:v>
                </c:pt>
                <c:pt idx="128">
                  <c:v>1780</c:v>
                </c:pt>
                <c:pt idx="129">
                  <c:v>1781</c:v>
                </c:pt>
                <c:pt idx="130">
                  <c:v>1782</c:v>
                </c:pt>
                <c:pt idx="131">
                  <c:v>1783</c:v>
                </c:pt>
                <c:pt idx="132">
                  <c:v>1784</c:v>
                </c:pt>
                <c:pt idx="133">
                  <c:v>1785</c:v>
                </c:pt>
                <c:pt idx="134">
                  <c:v>1786</c:v>
                </c:pt>
                <c:pt idx="135">
                  <c:v>1787</c:v>
                </c:pt>
                <c:pt idx="136">
                  <c:v>1788</c:v>
                </c:pt>
                <c:pt idx="137">
                  <c:v>1789</c:v>
                </c:pt>
                <c:pt idx="138">
                  <c:v>1790</c:v>
                </c:pt>
                <c:pt idx="139">
                  <c:v>1791</c:v>
                </c:pt>
                <c:pt idx="140">
                  <c:v>1792</c:v>
                </c:pt>
                <c:pt idx="141">
                  <c:v>1793</c:v>
                </c:pt>
                <c:pt idx="142">
                  <c:v>1794</c:v>
                </c:pt>
                <c:pt idx="143">
                  <c:v>1795</c:v>
                </c:pt>
                <c:pt idx="144">
                  <c:v>1796</c:v>
                </c:pt>
                <c:pt idx="145">
                  <c:v>1797</c:v>
                </c:pt>
                <c:pt idx="146">
                  <c:v>1798</c:v>
                </c:pt>
                <c:pt idx="147">
                  <c:v>1799</c:v>
                </c:pt>
                <c:pt idx="148">
                  <c:v>1800</c:v>
                </c:pt>
                <c:pt idx="149">
                  <c:v>1801</c:v>
                </c:pt>
                <c:pt idx="150">
                  <c:v>1802</c:v>
                </c:pt>
                <c:pt idx="151">
                  <c:v>1803</c:v>
                </c:pt>
                <c:pt idx="152">
                  <c:v>1804</c:v>
                </c:pt>
                <c:pt idx="153">
                  <c:v>1805</c:v>
                </c:pt>
                <c:pt idx="154">
                  <c:v>1806</c:v>
                </c:pt>
                <c:pt idx="155">
                  <c:v>1807</c:v>
                </c:pt>
                <c:pt idx="156">
                  <c:v>1808</c:v>
                </c:pt>
                <c:pt idx="157">
                  <c:v>1809</c:v>
                </c:pt>
                <c:pt idx="158">
                  <c:v>1810</c:v>
                </c:pt>
                <c:pt idx="159">
                  <c:v>1811</c:v>
                </c:pt>
                <c:pt idx="160">
                  <c:v>1812</c:v>
                </c:pt>
                <c:pt idx="161">
                  <c:v>1813</c:v>
                </c:pt>
                <c:pt idx="162">
                  <c:v>1814</c:v>
                </c:pt>
                <c:pt idx="163">
                  <c:v>1815</c:v>
                </c:pt>
                <c:pt idx="164">
                  <c:v>1816</c:v>
                </c:pt>
                <c:pt idx="165">
                  <c:v>1817</c:v>
                </c:pt>
                <c:pt idx="166">
                  <c:v>1818</c:v>
                </c:pt>
                <c:pt idx="167">
                  <c:v>1819</c:v>
                </c:pt>
                <c:pt idx="168">
                  <c:v>1820</c:v>
                </c:pt>
                <c:pt idx="169">
                  <c:v>1821</c:v>
                </c:pt>
                <c:pt idx="170">
                  <c:v>1822</c:v>
                </c:pt>
                <c:pt idx="171">
                  <c:v>1823</c:v>
                </c:pt>
                <c:pt idx="172">
                  <c:v>1824</c:v>
                </c:pt>
                <c:pt idx="173">
                  <c:v>1825</c:v>
                </c:pt>
                <c:pt idx="174">
                  <c:v>1826</c:v>
                </c:pt>
                <c:pt idx="175">
                  <c:v>1827</c:v>
                </c:pt>
                <c:pt idx="176">
                  <c:v>1828</c:v>
                </c:pt>
                <c:pt idx="177">
                  <c:v>1829</c:v>
                </c:pt>
                <c:pt idx="178">
                  <c:v>1830</c:v>
                </c:pt>
                <c:pt idx="179">
                  <c:v>1831</c:v>
                </c:pt>
                <c:pt idx="180">
                  <c:v>1832</c:v>
                </c:pt>
                <c:pt idx="181">
                  <c:v>1833</c:v>
                </c:pt>
                <c:pt idx="182">
                  <c:v>1834</c:v>
                </c:pt>
                <c:pt idx="183">
                  <c:v>1835</c:v>
                </c:pt>
                <c:pt idx="184">
                  <c:v>1836</c:v>
                </c:pt>
                <c:pt idx="185">
                  <c:v>1837</c:v>
                </c:pt>
                <c:pt idx="186">
                  <c:v>1838</c:v>
                </c:pt>
                <c:pt idx="187">
                  <c:v>1839</c:v>
                </c:pt>
                <c:pt idx="188">
                  <c:v>1840</c:v>
                </c:pt>
                <c:pt idx="189">
                  <c:v>1841</c:v>
                </c:pt>
                <c:pt idx="190">
                  <c:v>1842</c:v>
                </c:pt>
                <c:pt idx="191">
                  <c:v>1843</c:v>
                </c:pt>
                <c:pt idx="192">
                  <c:v>1844</c:v>
                </c:pt>
                <c:pt idx="193">
                  <c:v>1845</c:v>
                </c:pt>
                <c:pt idx="194">
                  <c:v>1846</c:v>
                </c:pt>
                <c:pt idx="195">
                  <c:v>1847</c:v>
                </c:pt>
                <c:pt idx="196">
                  <c:v>1848</c:v>
                </c:pt>
                <c:pt idx="197">
                  <c:v>1849</c:v>
                </c:pt>
                <c:pt idx="198">
                  <c:v>1850</c:v>
                </c:pt>
                <c:pt idx="199">
                  <c:v>1851</c:v>
                </c:pt>
                <c:pt idx="200">
                  <c:v>1852</c:v>
                </c:pt>
                <c:pt idx="201">
                  <c:v>1853</c:v>
                </c:pt>
                <c:pt idx="202">
                  <c:v>1854</c:v>
                </c:pt>
                <c:pt idx="203">
                  <c:v>1855</c:v>
                </c:pt>
                <c:pt idx="204">
                  <c:v>1856</c:v>
                </c:pt>
                <c:pt idx="205">
                  <c:v>1857</c:v>
                </c:pt>
                <c:pt idx="206">
                  <c:v>1858</c:v>
                </c:pt>
                <c:pt idx="207">
                  <c:v>1859</c:v>
                </c:pt>
                <c:pt idx="208">
                  <c:v>1860</c:v>
                </c:pt>
                <c:pt idx="209">
                  <c:v>1861</c:v>
                </c:pt>
                <c:pt idx="210">
                  <c:v>1862</c:v>
                </c:pt>
                <c:pt idx="211">
                  <c:v>1863</c:v>
                </c:pt>
                <c:pt idx="212">
                  <c:v>1864</c:v>
                </c:pt>
                <c:pt idx="213">
                  <c:v>1865</c:v>
                </c:pt>
                <c:pt idx="214">
                  <c:v>1866</c:v>
                </c:pt>
                <c:pt idx="215">
                  <c:v>1867</c:v>
                </c:pt>
                <c:pt idx="216">
                  <c:v>1868</c:v>
                </c:pt>
                <c:pt idx="217">
                  <c:v>1869</c:v>
                </c:pt>
                <c:pt idx="218">
                  <c:v>1870</c:v>
                </c:pt>
                <c:pt idx="219">
                  <c:v>1871</c:v>
                </c:pt>
                <c:pt idx="220">
                  <c:v>1872</c:v>
                </c:pt>
                <c:pt idx="221">
                  <c:v>1873</c:v>
                </c:pt>
                <c:pt idx="222">
                  <c:v>1874</c:v>
                </c:pt>
                <c:pt idx="223">
                  <c:v>1875</c:v>
                </c:pt>
                <c:pt idx="224">
                  <c:v>1876</c:v>
                </c:pt>
                <c:pt idx="225">
                  <c:v>1877</c:v>
                </c:pt>
                <c:pt idx="226">
                  <c:v>1878</c:v>
                </c:pt>
                <c:pt idx="227">
                  <c:v>1879</c:v>
                </c:pt>
                <c:pt idx="228">
                  <c:v>1880</c:v>
                </c:pt>
                <c:pt idx="229">
                  <c:v>1881</c:v>
                </c:pt>
                <c:pt idx="230">
                  <c:v>1882</c:v>
                </c:pt>
                <c:pt idx="231">
                  <c:v>1883</c:v>
                </c:pt>
                <c:pt idx="232">
                  <c:v>1884</c:v>
                </c:pt>
                <c:pt idx="233">
                  <c:v>1885</c:v>
                </c:pt>
                <c:pt idx="234">
                  <c:v>1886</c:v>
                </c:pt>
                <c:pt idx="235">
                  <c:v>1887</c:v>
                </c:pt>
                <c:pt idx="236">
                  <c:v>1888</c:v>
                </c:pt>
                <c:pt idx="237">
                  <c:v>1889</c:v>
                </c:pt>
                <c:pt idx="238">
                  <c:v>1890</c:v>
                </c:pt>
                <c:pt idx="239">
                  <c:v>1891</c:v>
                </c:pt>
                <c:pt idx="240">
                  <c:v>1892</c:v>
                </c:pt>
                <c:pt idx="241">
                  <c:v>1893</c:v>
                </c:pt>
                <c:pt idx="242">
                  <c:v>1894</c:v>
                </c:pt>
                <c:pt idx="243">
                  <c:v>1895</c:v>
                </c:pt>
                <c:pt idx="244">
                  <c:v>1896</c:v>
                </c:pt>
                <c:pt idx="245">
                  <c:v>1897</c:v>
                </c:pt>
                <c:pt idx="246">
                  <c:v>1898</c:v>
                </c:pt>
                <c:pt idx="247">
                  <c:v>1899</c:v>
                </c:pt>
                <c:pt idx="248">
                  <c:v>1900</c:v>
                </c:pt>
                <c:pt idx="249">
                  <c:v>1901</c:v>
                </c:pt>
                <c:pt idx="250">
                  <c:v>1902</c:v>
                </c:pt>
                <c:pt idx="251">
                  <c:v>1903</c:v>
                </c:pt>
                <c:pt idx="252">
                  <c:v>1904</c:v>
                </c:pt>
                <c:pt idx="253">
                  <c:v>1905</c:v>
                </c:pt>
                <c:pt idx="254">
                  <c:v>1906</c:v>
                </c:pt>
                <c:pt idx="255">
                  <c:v>1907</c:v>
                </c:pt>
                <c:pt idx="256">
                  <c:v>1908</c:v>
                </c:pt>
                <c:pt idx="257">
                  <c:v>1909</c:v>
                </c:pt>
                <c:pt idx="258">
                  <c:v>1910</c:v>
                </c:pt>
                <c:pt idx="259">
                  <c:v>1911</c:v>
                </c:pt>
                <c:pt idx="260">
                  <c:v>1912</c:v>
                </c:pt>
                <c:pt idx="261">
                  <c:v>1913</c:v>
                </c:pt>
                <c:pt idx="262">
                  <c:v>1914</c:v>
                </c:pt>
                <c:pt idx="263">
                  <c:v>1915</c:v>
                </c:pt>
                <c:pt idx="264">
                  <c:v>1916</c:v>
                </c:pt>
                <c:pt idx="265">
                  <c:v>1917</c:v>
                </c:pt>
                <c:pt idx="266">
                  <c:v>1918</c:v>
                </c:pt>
                <c:pt idx="267">
                  <c:v>1919</c:v>
                </c:pt>
                <c:pt idx="268">
                  <c:v>1920</c:v>
                </c:pt>
                <c:pt idx="269">
                  <c:v>1921</c:v>
                </c:pt>
                <c:pt idx="270">
                  <c:v>1922</c:v>
                </c:pt>
                <c:pt idx="271">
                  <c:v>1923</c:v>
                </c:pt>
                <c:pt idx="272">
                  <c:v>1924</c:v>
                </c:pt>
                <c:pt idx="273">
                  <c:v>1925</c:v>
                </c:pt>
                <c:pt idx="274">
                  <c:v>1926</c:v>
                </c:pt>
                <c:pt idx="275">
                  <c:v>1927</c:v>
                </c:pt>
                <c:pt idx="276">
                  <c:v>1928</c:v>
                </c:pt>
                <c:pt idx="277">
                  <c:v>1929</c:v>
                </c:pt>
                <c:pt idx="278">
                  <c:v>1930</c:v>
                </c:pt>
                <c:pt idx="279">
                  <c:v>1931</c:v>
                </c:pt>
                <c:pt idx="280">
                  <c:v>1932</c:v>
                </c:pt>
                <c:pt idx="281">
                  <c:v>1933</c:v>
                </c:pt>
                <c:pt idx="282">
                  <c:v>1934</c:v>
                </c:pt>
                <c:pt idx="283">
                  <c:v>1935</c:v>
                </c:pt>
                <c:pt idx="284">
                  <c:v>1936</c:v>
                </c:pt>
                <c:pt idx="285">
                  <c:v>1937</c:v>
                </c:pt>
                <c:pt idx="286">
                  <c:v>1938</c:v>
                </c:pt>
                <c:pt idx="287">
                  <c:v>1939</c:v>
                </c:pt>
                <c:pt idx="288">
                  <c:v>1940</c:v>
                </c:pt>
                <c:pt idx="289">
                  <c:v>1941</c:v>
                </c:pt>
                <c:pt idx="290">
                  <c:v>1942</c:v>
                </c:pt>
                <c:pt idx="291">
                  <c:v>1943</c:v>
                </c:pt>
                <c:pt idx="292">
                  <c:v>1944</c:v>
                </c:pt>
                <c:pt idx="293">
                  <c:v>1945</c:v>
                </c:pt>
                <c:pt idx="294">
                  <c:v>1946</c:v>
                </c:pt>
                <c:pt idx="295">
                  <c:v>1947</c:v>
                </c:pt>
                <c:pt idx="296">
                  <c:v>1948</c:v>
                </c:pt>
                <c:pt idx="297">
                  <c:v>1949</c:v>
                </c:pt>
                <c:pt idx="298">
                  <c:v>1950</c:v>
                </c:pt>
                <c:pt idx="299">
                  <c:v>1951</c:v>
                </c:pt>
                <c:pt idx="300">
                  <c:v>1952</c:v>
                </c:pt>
                <c:pt idx="301">
                  <c:v>1953</c:v>
                </c:pt>
                <c:pt idx="302">
                  <c:v>1954</c:v>
                </c:pt>
                <c:pt idx="303">
                  <c:v>1955</c:v>
                </c:pt>
                <c:pt idx="304">
                  <c:v>1956</c:v>
                </c:pt>
                <c:pt idx="305">
                  <c:v>1957</c:v>
                </c:pt>
                <c:pt idx="306">
                  <c:v>1958</c:v>
                </c:pt>
                <c:pt idx="307">
                  <c:v>1959</c:v>
                </c:pt>
                <c:pt idx="308">
                  <c:v>1960</c:v>
                </c:pt>
                <c:pt idx="309">
                  <c:v>1961</c:v>
                </c:pt>
                <c:pt idx="310">
                  <c:v>1962</c:v>
                </c:pt>
                <c:pt idx="311">
                  <c:v>1963</c:v>
                </c:pt>
                <c:pt idx="312">
                  <c:v>1964</c:v>
                </c:pt>
                <c:pt idx="313">
                  <c:v>1965</c:v>
                </c:pt>
                <c:pt idx="314">
                  <c:v>1966</c:v>
                </c:pt>
                <c:pt idx="315">
                  <c:v>1967</c:v>
                </c:pt>
                <c:pt idx="316">
                  <c:v>1968</c:v>
                </c:pt>
                <c:pt idx="317">
                  <c:v>1969</c:v>
                </c:pt>
                <c:pt idx="318">
                  <c:v>1970</c:v>
                </c:pt>
                <c:pt idx="319">
                  <c:v>1971</c:v>
                </c:pt>
                <c:pt idx="320">
                  <c:v>1972</c:v>
                </c:pt>
                <c:pt idx="321">
                  <c:v>1973</c:v>
                </c:pt>
                <c:pt idx="322">
                  <c:v>1974</c:v>
                </c:pt>
                <c:pt idx="323">
                  <c:v>1975</c:v>
                </c:pt>
              </c:numCache>
            </c:numRef>
          </c:xVal>
          <c:yVal>
            <c:numRef>
              <c:f>cc_law!$K$13:$K$336</c:f>
              <c:numCache>
                <c:formatCode>General</c:formatCode>
                <c:ptCount val="324"/>
                <c:pt idx="0">
                  <c:v>1.2725876664329694</c:v>
                </c:pt>
                <c:pt idx="1">
                  <c:v>2.6759536835694657</c:v>
                </c:pt>
                <c:pt idx="2">
                  <c:v>-3.0312483467086193</c:v>
                </c:pt>
                <c:pt idx="3">
                  <c:v>1.5005303055940216</c:v>
                </c:pt>
                <c:pt idx="4">
                  <c:v>-2.3802571286432457</c:v>
                </c:pt>
                <c:pt idx="5">
                  <c:v>3.4732002702956608</c:v>
                </c:pt>
                <c:pt idx="6">
                  <c:v>-0.84326963458461124</c:v>
                </c:pt>
                <c:pt idx="7">
                  <c:v>-2.5654387029872177</c:v>
                </c:pt>
                <c:pt idx="8">
                  <c:v>2.416272407444886</c:v>
                </c:pt>
                <c:pt idx="9">
                  <c:v>-1.327896653418583</c:v>
                </c:pt>
                <c:pt idx="10">
                  <c:v>2.902069117868348</c:v>
                </c:pt>
                <c:pt idx="11">
                  <c:v>-3.890669038224567</c:v>
                </c:pt>
                <c:pt idx="12">
                  <c:v>0.82023862787400048</c:v>
                </c:pt>
                <c:pt idx="13">
                  <c:v>2.5400499902532774</c:v>
                </c:pt>
                <c:pt idx="14">
                  <c:v>-2.2861190034691226</c:v>
                </c:pt>
                <c:pt idx="15">
                  <c:v>1.4496248103923097</c:v>
                </c:pt>
                <c:pt idx="16">
                  <c:v>-2.695669438289757</c:v>
                </c:pt>
                <c:pt idx="17">
                  <c:v>2.237921526766065</c:v>
                </c:pt>
                <c:pt idx="18">
                  <c:v>1.9661448331784281</c:v>
                </c:pt>
                <c:pt idx="19">
                  <c:v>-4.5852247281874181</c:v>
                </c:pt>
                <c:pt idx="20">
                  <c:v>2.0517224133857281</c:v>
                </c:pt>
                <c:pt idx="21">
                  <c:v>1.29316036676698</c:v>
                </c:pt>
                <c:pt idx="22">
                  <c:v>-1.688288326518314</c:v>
                </c:pt>
                <c:pt idx="23">
                  <c:v>1.5041871166733121</c:v>
                </c:pt>
                <c:pt idx="24">
                  <c:v>-1.8709719058792356</c:v>
                </c:pt>
                <c:pt idx="25">
                  <c:v>-0.27932200982574584</c:v>
                </c:pt>
                <c:pt idx="26">
                  <c:v>3.8559964837432887</c:v>
                </c:pt>
                <c:pt idx="27">
                  <c:v>-2.8361349721950435</c:v>
                </c:pt>
                <c:pt idx="28">
                  <c:v>-2.529694798944516</c:v>
                </c:pt>
                <c:pt idx="29">
                  <c:v>4.4226360279408388</c:v>
                </c:pt>
                <c:pt idx="30">
                  <c:v>-0.42595760807742378</c:v>
                </c:pt>
                <c:pt idx="31">
                  <c:v>-2.9471651956063014</c:v>
                </c:pt>
                <c:pt idx="32">
                  <c:v>2.0111765887344291</c:v>
                </c:pt>
                <c:pt idx="33">
                  <c:v>-0.3246314318353074</c:v>
                </c:pt>
                <c:pt idx="34">
                  <c:v>-0.25239096697996288</c:v>
                </c:pt>
                <c:pt idx="35">
                  <c:v>1.9244857614502184</c:v>
                </c:pt>
                <c:pt idx="36">
                  <c:v>-3.3622078220746436</c:v>
                </c:pt>
                <c:pt idx="37">
                  <c:v>0.62736638127727651</c:v>
                </c:pt>
                <c:pt idx="38">
                  <c:v>3.8881228738021969</c:v>
                </c:pt>
                <c:pt idx="39">
                  <c:v>-3.9284981010017006</c:v>
                </c:pt>
                <c:pt idx="40">
                  <c:v>0.19132001775168916</c:v>
                </c:pt>
                <c:pt idx="41">
                  <c:v>1.5113882351629937</c:v>
                </c:pt>
                <c:pt idx="42">
                  <c:v>-1.0240827718238685</c:v>
                </c:pt>
                <c:pt idx="43">
                  <c:v>2.3214708013606344</c:v>
                </c:pt>
                <c:pt idx="44">
                  <c:v>-3.9331447913225119</c:v>
                </c:pt>
                <c:pt idx="45">
                  <c:v>1.640858992940426</c:v>
                </c:pt>
                <c:pt idx="46">
                  <c:v>2.2527548472325054</c:v>
                </c:pt>
                <c:pt idx="47">
                  <c:v>-2.7083907905633233</c:v>
                </c:pt>
                <c:pt idx="48">
                  <c:v>1.4011607941498199</c:v>
                </c:pt>
                <c:pt idx="49">
                  <c:v>-2.5606873509727301</c:v>
                </c:pt>
                <c:pt idx="50">
                  <c:v>3.9106945558886137</c:v>
                </c:pt>
                <c:pt idx="51">
                  <c:v>-1.4364262766531013</c:v>
                </c:pt>
                <c:pt idx="52">
                  <c:v>-1.9680905150213559</c:v>
                </c:pt>
                <c:pt idx="53">
                  <c:v>1.9631610266325923</c:v>
                </c:pt>
                <c:pt idx="54">
                  <c:v>-1.120390342219425</c:v>
                </c:pt>
                <c:pt idx="55">
                  <c:v>2.9731595252183625</c:v>
                </c:pt>
                <c:pt idx="56">
                  <c:v>-4.1920939511199409</c:v>
                </c:pt>
                <c:pt idx="57">
                  <c:v>1.2253318967151849</c:v>
                </c:pt>
                <c:pt idx="58">
                  <c:v>2.1896913172697938</c:v>
                </c:pt>
                <c:pt idx="59">
                  <c:v>-2.101114666001815</c:v>
                </c:pt>
                <c:pt idx="60">
                  <c:v>1.4366206385662064</c:v>
                </c:pt>
                <c:pt idx="61">
                  <c:v>-2.7651569969447554</c:v>
                </c:pt>
                <c:pt idx="62">
                  <c:v>2.2737717156796706</c:v>
                </c:pt>
                <c:pt idx="63">
                  <c:v>2.0068955287968304</c:v>
                </c:pt>
                <c:pt idx="64">
                  <c:v>-4.6135209598057303</c:v>
                </c:pt>
                <c:pt idx="65">
                  <c:v>1.9207350075697802</c:v>
                </c:pt>
                <c:pt idx="66">
                  <c:v>1.5946160032279413</c:v>
                </c:pt>
                <c:pt idx="67">
                  <c:v>-1.9271225892649551</c:v>
                </c:pt>
                <c:pt idx="68">
                  <c:v>1.3852823025783749</c:v>
                </c:pt>
                <c:pt idx="69">
                  <c:v>-1.3963546553315231</c:v>
                </c:pt>
                <c:pt idx="70">
                  <c:v>-0.69708185226281261</c:v>
                </c:pt>
                <c:pt idx="71">
                  <c:v>3.7687750525986132</c:v>
                </c:pt>
                <c:pt idx="72">
                  <c:v>-2.2770406165386481</c:v>
                </c:pt>
                <c:pt idx="73">
                  <c:v>-3.0125151547281579</c:v>
                </c:pt>
                <c:pt idx="74">
                  <c:v>4.3337481776835673</c:v>
                </c:pt>
                <c:pt idx="75">
                  <c:v>0.13497079269436485</c:v>
                </c:pt>
                <c:pt idx="76">
                  <c:v>-3.4053975739895002</c:v>
                </c:pt>
                <c:pt idx="77">
                  <c:v>1.946355933594059</c:v>
                </c:pt>
                <c:pt idx="78">
                  <c:v>0.12838181245117242</c:v>
                </c:pt>
                <c:pt idx="79">
                  <c:v>-0.63239541605734639</c:v>
                </c:pt>
                <c:pt idx="80">
                  <c:v>1.9489482813895957</c:v>
                </c:pt>
                <c:pt idx="81">
                  <c:v>-3.1317269974103716</c:v>
                </c:pt>
                <c:pt idx="82">
                  <c:v>0.40850257749541474</c:v>
                </c:pt>
                <c:pt idx="83">
                  <c:v>3.9597919455552977</c:v>
                </c:pt>
                <c:pt idx="84">
                  <c:v>-3.916650173732541</c:v>
                </c:pt>
                <c:pt idx="85">
                  <c:v>0.22133168667454828</c:v>
                </c:pt>
                <c:pt idx="86">
                  <c:v>1.3962603461665222</c:v>
                </c:pt>
                <c:pt idx="87">
                  <c:v>-0.8966429342689457</c:v>
                </c:pt>
                <c:pt idx="88">
                  <c:v>2.3106417537408559</c:v>
                </c:pt>
                <c:pt idx="89">
                  <c:v>-4.1309914802279613</c:v>
                </c:pt>
                <c:pt idx="90">
                  <c:v>2.0357879224812963</c:v>
                </c:pt>
                <c:pt idx="91">
                  <c:v>1.7743305599463042</c:v>
                </c:pt>
                <c:pt idx="92">
                  <c:v>-2.3014573160817244</c:v>
                </c:pt>
                <c:pt idx="93">
                  <c:v>1.1978060006061331</c:v>
                </c:pt>
                <c:pt idx="94">
                  <c:v>-2.6356387471639047</c:v>
                </c:pt>
                <c:pt idx="95">
                  <c:v>4.2639331261294533</c:v>
                </c:pt>
                <c:pt idx="96">
                  <c:v>-1.9857374501279041</c:v>
                </c:pt>
                <c:pt idx="97">
                  <c:v>-1.3653526286776998</c:v>
                </c:pt>
                <c:pt idx="98">
                  <c:v>1.4598743931850355</c:v>
                </c:pt>
                <c:pt idx="99">
                  <c:v>-0.83342861900001242</c:v>
                </c:pt>
                <c:pt idx="100">
                  <c:v>2.9556560407832801</c:v>
                </c:pt>
                <c:pt idx="101">
                  <c:v>-4.4128954145077355</c:v>
                </c:pt>
                <c:pt idx="102">
                  <c:v>1.5670071812878215</c:v>
                </c:pt>
                <c:pt idx="103">
                  <c:v>1.8831007087044256</c:v>
                </c:pt>
                <c:pt idx="104">
                  <c:v>-1.9384650831673207</c:v>
                </c:pt>
                <c:pt idx="105">
                  <c:v>1.4187303097897248</c:v>
                </c:pt>
                <c:pt idx="106">
                  <c:v>-2.7973047128394697</c:v>
                </c:pt>
                <c:pt idx="107">
                  <c:v>2.2493987378803784</c:v>
                </c:pt>
                <c:pt idx="108">
                  <c:v>2.0978258337419038</c:v>
                </c:pt>
                <c:pt idx="109">
                  <c:v>-4.6431374720812739</c:v>
                </c:pt>
                <c:pt idx="110">
                  <c:v>1.7383049446870857</c:v>
                </c:pt>
                <c:pt idx="111">
                  <c:v>1.9476715433512193</c:v>
                </c:pt>
                <c:pt idx="112">
                  <c:v>-2.1514260100808196</c:v>
                </c:pt>
                <c:pt idx="113">
                  <c:v>1.1877142691641296</c:v>
                </c:pt>
                <c:pt idx="114">
                  <c:v>-0.86878735215758085</c:v>
                </c:pt>
                <c:pt idx="115">
                  <c:v>-1.0626519524405758</c:v>
                </c:pt>
                <c:pt idx="116">
                  <c:v>3.5676403127365193</c:v>
                </c:pt>
                <c:pt idx="117">
                  <c:v>-1.6744522388292431</c:v>
                </c:pt>
                <c:pt idx="118">
                  <c:v>-3.4103971423764508</c:v>
                </c:pt>
                <c:pt idx="119">
                  <c:v>4.1280118408629853</c:v>
                </c:pt>
                <c:pt idx="120">
                  <c:v>0.71248751312751746</c:v>
                </c:pt>
                <c:pt idx="121">
                  <c:v>-3.7738833360245581</c:v>
                </c:pt>
                <c:pt idx="122">
                  <c:v>1.7990675792197188</c:v>
                </c:pt>
                <c:pt idx="123">
                  <c:v>0.57151469422179391</c:v>
                </c:pt>
                <c:pt idx="124">
                  <c:v>-0.94261627472261766</c:v>
                </c:pt>
                <c:pt idx="125">
                  <c:v>1.9326893602508621</c:v>
                </c:pt>
                <c:pt idx="126">
                  <c:v>-2.9289416682242049</c:v>
                </c:pt>
                <c:pt idx="127">
                  <c:v>0.24939311902646433</c:v>
                </c:pt>
                <c:pt idx="128">
                  <c:v>3.9973546146732337</c:v>
                </c:pt>
                <c:pt idx="129">
                  <c:v>-3.9208730713969566</c:v>
                </c:pt>
                <c:pt idx="130">
                  <c:v>0.30298997555851082</c:v>
                </c:pt>
                <c:pt idx="131">
                  <c:v>1.2211034606077846</c:v>
                </c:pt>
                <c:pt idx="132">
                  <c:v>-0.71847457802599268</c:v>
                </c:pt>
                <c:pt idx="133">
                  <c:v>2.2643527195028268</c:v>
                </c:pt>
                <c:pt idx="134">
                  <c:v>-4.3118599632494092</c:v>
                </c:pt>
                <c:pt idx="135">
                  <c:v>2.4388891417064738</c:v>
                </c:pt>
                <c:pt idx="136">
                  <c:v>1.2544185192639767</c:v>
                </c:pt>
                <c:pt idx="137">
                  <c:v>-1.816736545361433</c:v>
                </c:pt>
                <c:pt idx="138">
                  <c:v>0.88784788135719594</c:v>
                </c:pt>
                <c:pt idx="139">
                  <c:v>-2.5932785573315158</c:v>
                </c:pt>
                <c:pt idx="140">
                  <c:v>4.5128223141827659</c:v>
                </c:pt>
                <c:pt idx="141">
                  <c:v>-2.4650779815077017</c:v>
                </c:pt>
                <c:pt idx="142">
                  <c:v>-0.78620753730795867</c:v>
                </c:pt>
                <c:pt idx="143">
                  <c:v>0.93473382762034318</c:v>
                </c:pt>
                <c:pt idx="144">
                  <c:v>-0.49137504813059696</c:v>
                </c:pt>
                <c:pt idx="145">
                  <c:v>2.8672041632181879</c:v>
                </c:pt>
                <c:pt idx="146">
                  <c:v>-4.5619875685149101</c:v>
                </c:pt>
                <c:pt idx="147">
                  <c:v>1.844731731989258</c:v>
                </c:pt>
                <c:pt idx="148">
                  <c:v>1.6286350889934753</c:v>
                </c:pt>
                <c:pt idx="149">
                  <c:v>-1.8097505144598092</c:v>
                </c:pt>
                <c:pt idx="150">
                  <c:v>1.4046948424294288</c:v>
                </c:pt>
                <c:pt idx="151">
                  <c:v>-2.7947544036755154</c:v>
                </c:pt>
                <c:pt idx="152">
                  <c:v>2.1647194841401971</c:v>
                </c:pt>
                <c:pt idx="153">
                  <c:v>2.2341946782397013</c:v>
                </c:pt>
                <c:pt idx="154">
                  <c:v>-4.6626112078076209</c:v>
                </c:pt>
                <c:pt idx="155">
                  <c:v>1.4967866961218479</c:v>
                </c:pt>
                <c:pt idx="156">
                  <c:v>2.3428898437060539</c:v>
                </c:pt>
                <c:pt idx="157">
                  <c:v>-2.3392018746233076</c:v>
                </c:pt>
                <c:pt idx="158">
                  <c:v>0.90180453921202264</c:v>
                </c:pt>
                <c:pt idx="159">
                  <c:v>-0.30661324033956056</c:v>
                </c:pt>
                <c:pt idx="160">
                  <c:v>-1.3498656524040302</c:v>
                </c:pt>
                <c:pt idx="161">
                  <c:v>3.2535264437019613</c:v>
                </c:pt>
                <c:pt idx="162">
                  <c:v>-1.0574294519922642</c:v>
                </c:pt>
                <c:pt idx="163">
                  <c:v>-3.7041153058798768</c:v>
                </c:pt>
                <c:pt idx="164">
                  <c:v>3.8212157974248404</c:v>
                </c:pt>
                <c:pt idx="165">
                  <c:v>1.2778739247627127</c:v>
                </c:pt>
                <c:pt idx="166">
                  <c:v>-4.0478857579637557</c:v>
                </c:pt>
                <c:pt idx="167">
                  <c:v>1.5912153381438991</c:v>
                </c:pt>
                <c:pt idx="168">
                  <c:v>0.98541331013835887</c:v>
                </c:pt>
                <c:pt idx="169">
                  <c:v>-1.1862445690196508</c:v>
                </c:pt>
                <c:pt idx="170">
                  <c:v>1.8925217748413146</c:v>
                </c:pt>
                <c:pt idx="171">
                  <c:v>-2.7652066908420538</c:v>
                </c:pt>
                <c:pt idx="172">
                  <c:v>0.14995315405646958</c:v>
                </c:pt>
                <c:pt idx="173">
                  <c:v>4.0045208613999099</c:v>
                </c:pt>
                <c:pt idx="174">
                  <c:v>-3.9407233561262034</c:v>
                </c:pt>
                <c:pt idx="175">
                  <c:v>0.43241151946375034</c:v>
                </c:pt>
                <c:pt idx="176">
                  <c:v>0.98690945578684897</c:v>
                </c:pt>
                <c:pt idx="177">
                  <c:v>-0.4825423677205769</c:v>
                </c:pt>
                <c:pt idx="178">
                  <c:v>2.1669742553383982</c:v>
                </c:pt>
                <c:pt idx="179">
                  <c:v>-4.4545671726229266</c:v>
                </c:pt>
                <c:pt idx="180">
                  <c:v>2.8276685101176033</c:v>
                </c:pt>
                <c:pt idx="181">
                  <c:v>0.71293802450331978</c:v>
                </c:pt>
                <c:pt idx="182">
                  <c:v>-1.2684724960589557</c:v>
                </c:pt>
                <c:pt idx="183">
                  <c:v>0.47757617458033397</c:v>
                </c:pt>
                <c:pt idx="184">
                  <c:v>-2.4306706592994884</c:v>
                </c:pt>
                <c:pt idx="185">
                  <c:v>4.6452406304987743</c:v>
                </c:pt>
                <c:pt idx="186">
                  <c:v>-2.8546005767128428</c:v>
                </c:pt>
                <c:pt idx="187">
                  <c:v>-0.25562351695961438</c:v>
                </c:pt>
                <c:pt idx="188">
                  <c:v>0.4145980734989092</c:v>
                </c:pt>
                <c:pt idx="189">
                  <c:v>-0.11957381010749302</c:v>
                </c:pt>
                <c:pt idx="190">
                  <c:v>2.7282917619215081</c:v>
                </c:pt>
                <c:pt idx="191">
                  <c:v>-4.6520433173115991</c:v>
                </c:pt>
                <c:pt idx="192">
                  <c:v>2.0617355371608381</c:v>
                </c:pt>
                <c:pt idx="193">
                  <c:v>1.4312482942353864</c:v>
                </c:pt>
                <c:pt idx="194">
                  <c:v>-1.7232162498252084</c:v>
                </c:pt>
                <c:pt idx="195">
                  <c:v>1.3997892973221957</c:v>
                </c:pt>
                <c:pt idx="196">
                  <c:v>-2.757509493544172</c:v>
                </c:pt>
                <c:pt idx="197">
                  <c:v>2.0196782840727221</c:v>
                </c:pt>
                <c:pt idx="198">
                  <c:v>2.4082842764374282</c:v>
                </c:pt>
                <c:pt idx="199">
                  <c:v>-4.6578026338832039</c:v>
                </c:pt>
                <c:pt idx="200">
                  <c:v>1.1902112640295415</c:v>
                </c:pt>
                <c:pt idx="201">
                  <c:v>2.7660745728114762</c:v>
                </c:pt>
                <c:pt idx="202">
                  <c:v>-2.4676598740202396</c:v>
                </c:pt>
                <c:pt idx="203">
                  <c:v>0.52431744980909079</c:v>
                </c:pt>
                <c:pt idx="204">
                  <c:v>0.26583392296858122</c:v>
                </c:pt>
                <c:pt idx="205">
                  <c:v>-1.536325282071656</c:v>
                </c:pt>
                <c:pt idx="206">
                  <c:v>2.836827184853286</c:v>
                </c:pt>
                <c:pt idx="207">
                  <c:v>-0.4568357821442286</c:v>
                </c:pt>
                <c:pt idx="208">
                  <c:v>-3.8830756417514296</c:v>
                </c:pt>
                <c:pt idx="209">
                  <c:v>3.4358930322771313</c:v>
                </c:pt>
                <c:pt idx="210">
                  <c:v>1.8064466971161668</c:v>
                </c:pt>
                <c:pt idx="211">
                  <c:v>-4.2307696402644073</c:v>
                </c:pt>
                <c:pt idx="212">
                  <c:v>1.3461362212083814</c:v>
                </c:pt>
                <c:pt idx="213">
                  <c:v>1.3558232541647308</c:v>
                </c:pt>
                <c:pt idx="214">
                  <c:v>-1.3700664463710113</c:v>
                </c:pt>
                <c:pt idx="215">
                  <c:v>1.8435703553973637</c:v>
                </c:pt>
                <c:pt idx="216">
                  <c:v>-2.6485410542827199</c:v>
                </c:pt>
                <c:pt idx="217">
                  <c:v>0.10963482894935717</c:v>
                </c:pt>
                <c:pt idx="218">
                  <c:v>3.9821894852990241</c:v>
                </c:pt>
                <c:pt idx="219">
                  <c:v>-3.9720576244509482</c:v>
                </c:pt>
                <c:pt idx="220">
                  <c:v>0.6028890680837824</c:v>
                </c:pt>
                <c:pt idx="221">
                  <c:v>0.69654367946465578</c:v>
                </c:pt>
                <c:pt idx="222">
                  <c:v>-0.18320995323720091</c:v>
                </c:pt>
                <c:pt idx="223">
                  <c:v>2.0036895476485626</c:v>
                </c:pt>
                <c:pt idx="224">
                  <c:v>-4.5374042386677225</c:v>
                </c:pt>
                <c:pt idx="225">
                  <c:v>3.1769782579040973</c:v>
                </c:pt>
                <c:pt idx="226">
                  <c:v>0.17491404158151647</c:v>
                </c:pt>
                <c:pt idx="227">
                  <c:v>-0.67821891715186378</c:v>
                </c:pt>
                <c:pt idx="228">
                  <c:v>-1.7864688688108421E-2</c:v>
                </c:pt>
                <c:pt idx="229">
                  <c:v>-2.1544189290859936</c:v>
                </c:pt>
                <c:pt idx="230">
                  <c:v>4.6583784372255401</c:v>
                </c:pt>
                <c:pt idx="231">
                  <c:v>-3.1426598922313183</c:v>
                </c:pt>
                <c:pt idx="232">
                  <c:v>0.20775483943260076</c:v>
                </c:pt>
                <c:pt idx="233">
                  <c:v>-7.7596753264410234E-2</c:v>
                </c:pt>
                <c:pt idx="234">
                  <c:v>0.25805592226251273</c:v>
                </c:pt>
                <c:pt idx="235">
                  <c:v>2.5600282954796061</c:v>
                </c:pt>
                <c:pt idx="236">
                  <c:v>-4.6975385718036158</c:v>
                </c:pt>
                <c:pt idx="237">
                  <c:v>2.2234434416622513</c:v>
                </c:pt>
                <c:pt idx="238">
                  <c:v>1.2934613266587873</c:v>
                </c:pt>
                <c:pt idx="239">
                  <c:v>-1.6840175262264336</c:v>
                </c:pt>
                <c:pt idx="240">
                  <c:v>1.4056127681768542</c:v>
                </c:pt>
                <c:pt idx="241">
                  <c:v>-2.6829284814610292</c:v>
                </c:pt>
                <c:pt idx="242">
                  <c:v>1.8147750198588581</c:v>
                </c:pt>
                <c:pt idx="243">
                  <c:v>2.609067937735873</c:v>
                </c:pt>
                <c:pt idx="244">
                  <c:v>-4.6128362603915001</c:v>
                </c:pt>
                <c:pt idx="245">
                  <c:v>0.8159641922486075</c:v>
                </c:pt>
                <c:pt idx="246">
                  <c:v>3.198131450651998</c:v>
                </c:pt>
                <c:pt idx="247">
                  <c:v>-2.5153454651086369</c:v>
                </c:pt>
                <c:pt idx="248">
                  <c:v>5.9905615523323519E-2</c:v>
                </c:pt>
                <c:pt idx="249">
                  <c:v>0.82016163709217205</c:v>
                </c:pt>
                <c:pt idx="250">
                  <c:v>-1.6062156170340196</c:v>
                </c:pt>
                <c:pt idx="251">
                  <c:v>2.3366083704074292</c:v>
                </c:pt>
                <c:pt idx="252">
                  <c:v>9.8114463237449767E-2</c:v>
                </c:pt>
                <c:pt idx="253">
                  <c:v>-3.9462004969996145</c:v>
                </c:pt>
                <c:pt idx="254">
                  <c:v>2.9985045828469827</c:v>
                </c:pt>
                <c:pt idx="255">
                  <c:v>2.2795961181715674</c:v>
                </c:pt>
                <c:pt idx="256">
                  <c:v>-4.3325795667148146</c:v>
                </c:pt>
                <c:pt idx="257">
                  <c:v>1.08639063621579</c:v>
                </c:pt>
                <c:pt idx="258">
                  <c:v>1.6734821256974921</c:v>
                </c:pt>
                <c:pt idx="259">
                  <c:v>-1.5027307566742971</c:v>
                </c:pt>
                <c:pt idx="260">
                  <c:v>1.7983105696838391</c:v>
                </c:pt>
                <c:pt idx="261">
                  <c:v>-2.5840389678709048</c:v>
                </c:pt>
                <c:pt idx="262">
                  <c:v>0.12807811892054266</c:v>
                </c:pt>
                <c:pt idx="263">
                  <c:v>3.9283499469220491</c:v>
                </c:pt>
                <c:pt idx="264">
                  <c:v>-4.0071515270073501</c:v>
                </c:pt>
                <c:pt idx="265">
                  <c:v>0.80454535315219999</c:v>
                </c:pt>
                <c:pt idx="266">
                  <c:v>0.35581380827228049</c:v>
                </c:pt>
                <c:pt idx="267">
                  <c:v>0.18214142976834102</c:v>
                </c:pt>
                <c:pt idx="268">
                  <c:v>1.762409038756682</c:v>
                </c:pt>
                <c:pt idx="269">
                  <c:v>-4.5401991830731996</c:v>
                </c:pt>
                <c:pt idx="270">
                  <c:v>3.4611380079394882</c:v>
                </c:pt>
                <c:pt idx="271">
                  <c:v>-0.33157120070321966</c:v>
                </c:pt>
                <c:pt idx="272">
                  <c:v>-7.3059905576508322E-2</c:v>
                </c:pt>
                <c:pt idx="273">
                  <c:v>-0.57577260320643742</c:v>
                </c:pt>
                <c:pt idx="274">
                  <c:v>-1.7800163064371535</c:v>
                </c:pt>
                <c:pt idx="275">
                  <c:v>4.5588003412437645</c:v>
                </c:pt>
                <c:pt idx="276">
                  <c:v>-3.3265425120239023</c:v>
                </c:pt>
                <c:pt idx="277">
                  <c:v>0.59286133058121138</c:v>
                </c:pt>
                <c:pt idx="278">
                  <c:v>-0.52442633047139853</c:v>
                </c:pt>
                <c:pt idx="279">
                  <c:v>0.62077444263495307</c:v>
                </c:pt>
                <c:pt idx="280">
                  <c:v>2.3823350885629613</c:v>
                </c:pt>
                <c:pt idx="281">
                  <c:v>-4.7129882881966889</c:v>
                </c:pt>
                <c:pt idx="282">
                  <c:v>2.3359621511381539</c:v>
                </c:pt>
                <c:pt idx="283">
                  <c:v>1.2163125182047971</c:v>
                </c:pt>
                <c:pt idx="284">
                  <c:v>-1.6944680914388861</c:v>
                </c:pt>
                <c:pt idx="285">
                  <c:v>1.4200282202069983</c:v>
                </c:pt>
                <c:pt idx="286">
                  <c:v>-2.5660770811162168</c:v>
                </c:pt>
                <c:pt idx="287">
                  <c:v>1.5519000198530268</c:v>
                </c:pt>
                <c:pt idx="288">
                  <c:v>2.8220133841406909</c:v>
                </c:pt>
                <c:pt idx="289">
                  <c:v>-4.5114591319043917</c:v>
                </c:pt>
                <c:pt idx="290">
                  <c:v>0.37638233802167542</c:v>
                </c:pt>
                <c:pt idx="291">
                  <c:v>3.6157056450896152</c:v>
                </c:pt>
                <c:pt idx="292">
                  <c:v>-2.4646164873275378</c:v>
                </c:pt>
                <c:pt idx="293">
                  <c:v>-0.47832834304856053</c:v>
                </c:pt>
                <c:pt idx="294">
                  <c:v>1.3267153682658501</c:v>
                </c:pt>
                <c:pt idx="295">
                  <c:v>-1.5524362341829943</c:v>
                </c:pt>
                <c:pt idx="296">
                  <c:v>1.7785897397640227</c:v>
                </c:pt>
                <c:pt idx="297">
                  <c:v>0.5830465394759925</c:v>
                </c:pt>
                <c:pt idx="298">
                  <c:v>-3.9015087985294432</c:v>
                </c:pt>
                <c:pt idx="299">
                  <c:v>2.5364122935681088</c:v>
                </c:pt>
                <c:pt idx="300">
                  <c:v>2.6857638431165847</c:v>
                </c:pt>
                <c:pt idx="301">
                  <c:v>-4.3680564914900728</c:v>
                </c:pt>
                <c:pt idx="302">
                  <c:v>0.83213733902967257</c:v>
                </c:pt>
                <c:pt idx="303">
                  <c:v>1.9333935900075319</c:v>
                </c:pt>
                <c:pt idx="304">
                  <c:v>-1.5931416946649626</c:v>
                </c:pt>
                <c:pt idx="305">
                  <c:v>1.7659893200054049</c:v>
                </c:pt>
                <c:pt idx="306">
                  <c:v>-2.5742674364342033</c:v>
                </c:pt>
                <c:pt idx="307">
                  <c:v>0.20539420375534168</c:v>
                </c:pt>
                <c:pt idx="308">
                  <c:v>3.8383231559806621</c:v>
                </c:pt>
                <c:pt idx="309">
                  <c:v>-4.0349774405892473</c:v>
                </c:pt>
                <c:pt idx="310">
                  <c:v>1.0240662258074134</c:v>
                </c:pt>
                <c:pt idx="311">
                  <c:v>-2.5547677164838412E-2</c:v>
                </c:pt>
                <c:pt idx="312">
                  <c:v>0.61154257809015833</c:v>
                </c:pt>
                <c:pt idx="313">
                  <c:v>1.4357792043530848</c:v>
                </c:pt>
                <c:pt idx="314">
                  <c:v>-4.4466877275555374</c:v>
                </c:pt>
                <c:pt idx="315">
                  <c:v>3.6565958128629799</c:v>
                </c:pt>
                <c:pt idx="316">
                  <c:v>-0.77818488361633653</c:v>
                </c:pt>
                <c:pt idx="317">
                  <c:v>0.51711900079519302</c:v>
                </c:pt>
                <c:pt idx="318">
                  <c:v>-1.1682870709372566</c:v>
                </c:pt>
                <c:pt idx="319">
                  <c:v>-1.3299916561894936</c:v>
                </c:pt>
                <c:pt idx="320">
                  <c:v>4.3612689111205665</c:v>
                </c:pt>
                <c:pt idx="321">
                  <c:v>-3.4119864945145646</c:v>
                </c:pt>
                <c:pt idx="322">
                  <c:v>0.89633980389344803</c:v>
                </c:pt>
                <c:pt idx="323">
                  <c:v>-0.91458663402814744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76808"/>
        <c:axId val="478476024"/>
      </c:scatterChart>
      <c:valAx>
        <c:axId val="478474064"/>
        <c:scaling>
          <c:orientation val="minMax"/>
          <c:max val="2000"/>
          <c:min val="1800"/>
        </c:scaling>
        <c:delete val="0"/>
        <c:axPos val="b"/>
        <c:majorGridlines/>
        <c:numFmt formatCode="0.00" sourceLinked="1"/>
        <c:majorTickMark val="out"/>
        <c:minorTickMark val="none"/>
        <c:tickLblPos val="low"/>
        <c:crossAx val="478475632"/>
        <c:crosses val="autoZero"/>
        <c:crossBetween val="midCat"/>
      </c:valAx>
      <c:valAx>
        <c:axId val="478475632"/>
        <c:scaling>
          <c:orientation val="minMax"/>
          <c:max val="250"/>
        </c:scaling>
        <c:delete val="0"/>
        <c:axPos val="l"/>
        <c:numFmt formatCode="General" sourceLinked="1"/>
        <c:majorTickMark val="out"/>
        <c:minorTickMark val="none"/>
        <c:tickLblPos val="nextTo"/>
        <c:crossAx val="478474064"/>
        <c:crosses val="autoZero"/>
        <c:crossBetween val="midCat"/>
      </c:valAx>
      <c:valAx>
        <c:axId val="478476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78476808"/>
        <c:crosses val="max"/>
        <c:crossBetween val="midCat"/>
      </c:valAx>
      <c:valAx>
        <c:axId val="4784768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78476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140268685093178"/>
          <c:y val="6.410457982313407E-2"/>
          <c:w val="5.311705942713274E-2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404811</xdr:colOff>
      <xdr:row>3</xdr:row>
      <xdr:rowOff>138112</xdr:rowOff>
    </xdr:from>
    <xdr:to>
      <xdr:col>17</xdr:col>
      <xdr:colOff>609599</xdr:colOff>
      <xdr:row>18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20</xdr:row>
      <xdr:rowOff>128587</xdr:rowOff>
    </xdr:from>
    <xdr:to>
      <xdr:col>23</xdr:col>
      <xdr:colOff>171450</xdr:colOff>
      <xdr:row>35</xdr:row>
      <xdr:rowOff>14287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15</xdr:row>
      <xdr:rowOff>150812</xdr:rowOff>
    </xdr:from>
    <xdr:to>
      <xdr:col>35</xdr:col>
      <xdr:colOff>155574</xdr:colOff>
      <xdr:row>30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365125</xdr:colOff>
      <xdr:row>16</xdr:row>
      <xdr:rowOff>176212</xdr:rowOff>
    </xdr:from>
    <xdr:to>
      <xdr:col>24</xdr:col>
      <xdr:colOff>139700</xdr:colOff>
      <xdr:row>31</xdr:row>
      <xdr:rowOff>61912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15</xdr:row>
      <xdr:rowOff>150812</xdr:rowOff>
    </xdr:from>
    <xdr:to>
      <xdr:col>35</xdr:col>
      <xdr:colOff>155574</xdr:colOff>
      <xdr:row>30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365125</xdr:colOff>
      <xdr:row>16</xdr:row>
      <xdr:rowOff>176212</xdr:rowOff>
    </xdr:from>
    <xdr:to>
      <xdr:col>24</xdr:col>
      <xdr:colOff>139700</xdr:colOff>
      <xdr:row>31</xdr:row>
      <xdr:rowOff>61912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15</xdr:row>
      <xdr:rowOff>150812</xdr:rowOff>
    </xdr:from>
    <xdr:to>
      <xdr:col>35</xdr:col>
      <xdr:colOff>155574</xdr:colOff>
      <xdr:row>30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317500</xdr:colOff>
      <xdr:row>15</xdr:row>
      <xdr:rowOff>65087</xdr:rowOff>
    </xdr:from>
    <xdr:to>
      <xdr:col>24</xdr:col>
      <xdr:colOff>460375</xdr:colOff>
      <xdr:row>29</xdr:row>
      <xdr:rowOff>141287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16</xdr:row>
      <xdr:rowOff>150812</xdr:rowOff>
    </xdr:from>
    <xdr:to>
      <xdr:col>35</xdr:col>
      <xdr:colOff>155574</xdr:colOff>
      <xdr:row>31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13</xdr:row>
      <xdr:rowOff>47625</xdr:rowOff>
    </xdr:from>
    <xdr:to>
      <xdr:col>22</xdr:col>
      <xdr:colOff>476250</xdr:colOff>
      <xdr:row>28</xdr:row>
      <xdr:rowOff>141287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31</xdr:row>
      <xdr:rowOff>142875</xdr:rowOff>
    </xdr:from>
    <xdr:to>
      <xdr:col>23</xdr:col>
      <xdr:colOff>158750</xdr:colOff>
      <xdr:row>47</xdr:row>
      <xdr:rowOff>46037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16</xdr:row>
      <xdr:rowOff>150812</xdr:rowOff>
    </xdr:from>
    <xdr:to>
      <xdr:col>35</xdr:col>
      <xdr:colOff>155574</xdr:colOff>
      <xdr:row>31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15</xdr:row>
      <xdr:rowOff>111125</xdr:rowOff>
    </xdr:from>
    <xdr:to>
      <xdr:col>23</xdr:col>
      <xdr:colOff>158750</xdr:colOff>
      <xdr:row>31</xdr:row>
      <xdr:rowOff>14287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31</xdr:row>
      <xdr:rowOff>142875</xdr:rowOff>
    </xdr:from>
    <xdr:to>
      <xdr:col>23</xdr:col>
      <xdr:colOff>158750</xdr:colOff>
      <xdr:row>47</xdr:row>
      <xdr:rowOff>46037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16</xdr:row>
      <xdr:rowOff>150812</xdr:rowOff>
    </xdr:from>
    <xdr:to>
      <xdr:col>35</xdr:col>
      <xdr:colOff>155574</xdr:colOff>
      <xdr:row>31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13</xdr:row>
      <xdr:rowOff>47625</xdr:rowOff>
    </xdr:from>
    <xdr:to>
      <xdr:col>22</xdr:col>
      <xdr:colOff>476250</xdr:colOff>
      <xdr:row>28</xdr:row>
      <xdr:rowOff>141287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31</xdr:row>
      <xdr:rowOff>142875</xdr:rowOff>
    </xdr:from>
    <xdr:to>
      <xdr:col>23</xdr:col>
      <xdr:colOff>158750</xdr:colOff>
      <xdr:row>47</xdr:row>
      <xdr:rowOff>46037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16</xdr:row>
      <xdr:rowOff>150812</xdr:rowOff>
    </xdr:from>
    <xdr:to>
      <xdr:col>35</xdr:col>
      <xdr:colOff>155574</xdr:colOff>
      <xdr:row>31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79375</xdr:colOff>
      <xdr:row>15</xdr:row>
      <xdr:rowOff>79375</xdr:rowOff>
    </xdr:from>
    <xdr:to>
      <xdr:col>22</xdr:col>
      <xdr:colOff>412750</xdr:colOff>
      <xdr:row>30</xdr:row>
      <xdr:rowOff>173037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31</xdr:row>
      <xdr:rowOff>142875</xdr:rowOff>
    </xdr:from>
    <xdr:to>
      <xdr:col>23</xdr:col>
      <xdr:colOff>158750</xdr:colOff>
      <xdr:row>47</xdr:row>
      <xdr:rowOff>46037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322261</xdr:colOff>
      <xdr:row>16</xdr:row>
      <xdr:rowOff>150812</xdr:rowOff>
    </xdr:from>
    <xdr:to>
      <xdr:col>35</xdr:col>
      <xdr:colOff>155574</xdr:colOff>
      <xdr:row>31</xdr:row>
      <xdr:rowOff>36512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13</xdr:row>
      <xdr:rowOff>47625</xdr:rowOff>
    </xdr:from>
    <xdr:to>
      <xdr:col>22</xdr:col>
      <xdr:colOff>476250</xdr:colOff>
      <xdr:row>28</xdr:row>
      <xdr:rowOff>141287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31</xdr:row>
      <xdr:rowOff>142875</xdr:rowOff>
    </xdr:from>
    <xdr:to>
      <xdr:col>23</xdr:col>
      <xdr:colOff>158750</xdr:colOff>
      <xdr:row>47</xdr:row>
      <xdr:rowOff>46037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topLeftCell="D1" workbookViewId="0">
      <selection activeCell="I9" sqref="I9"/>
    </sheetView>
  </sheetViews>
  <sheetFormatPr defaultRowHeight="15" x14ac:dyDescent="0.25"/>
  <cols>
    <col min="5" max="5" width="9.140625" style="5"/>
    <col min="9" max="9" width="12.7109375" bestFit="1" customWidth="1"/>
  </cols>
  <sheetData>
    <row r="1" spans="1:11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</row>
    <row r="2" spans="1:11" x14ac:dyDescent="0.25">
      <c r="A2" s="1"/>
      <c r="B2" t="s">
        <v>7</v>
      </c>
      <c r="C2" t="s">
        <v>8</v>
      </c>
      <c r="D2" t="s">
        <v>1</v>
      </c>
      <c r="F2" t="s">
        <v>9</v>
      </c>
      <c r="G2" t="s">
        <v>10</v>
      </c>
      <c r="H2" t="s">
        <v>11</v>
      </c>
      <c r="I2" t="s">
        <v>12</v>
      </c>
    </row>
    <row r="3" spans="1:11" x14ac:dyDescent="0.25">
      <c r="A3" s="1"/>
      <c r="B3" t="s">
        <v>13</v>
      </c>
      <c r="C3" t="s">
        <v>1</v>
      </c>
      <c r="D3" t="s">
        <v>14</v>
      </c>
    </row>
    <row r="4" spans="1:11" x14ac:dyDescent="0.25">
      <c r="A4" s="1"/>
      <c r="B4" t="s">
        <v>15</v>
      </c>
      <c r="C4" t="s">
        <v>1</v>
      </c>
      <c r="D4" t="s">
        <v>16</v>
      </c>
    </row>
    <row r="5" spans="1:11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</row>
    <row r="6" spans="1:11" x14ac:dyDescent="0.25">
      <c r="A6" s="1"/>
      <c r="B6" t="s">
        <v>20</v>
      </c>
      <c r="C6" t="s">
        <v>21</v>
      </c>
      <c r="J6">
        <v>1.2</v>
      </c>
      <c r="K6">
        <v>2.3298999999999999</v>
      </c>
    </row>
    <row r="7" spans="1:11" x14ac:dyDescent="0.25">
      <c r="A7" s="1"/>
      <c r="B7" t="s">
        <v>22</v>
      </c>
      <c r="C7" t="s">
        <v>1</v>
      </c>
      <c r="D7">
        <v>0</v>
      </c>
      <c r="J7">
        <v>0.4</v>
      </c>
      <c r="K7">
        <v>2</v>
      </c>
    </row>
    <row r="8" spans="1:11" x14ac:dyDescent="0.25">
      <c r="A8" s="1"/>
      <c r="B8" t="s">
        <v>21</v>
      </c>
      <c r="J8">
        <v>6.44</v>
      </c>
      <c r="K8">
        <v>1</v>
      </c>
    </row>
    <row r="9" spans="1:11" x14ac:dyDescent="0.25">
      <c r="A9" s="1">
        <v>1</v>
      </c>
      <c r="I9">
        <f>+AVERAGE(F10:F337)</f>
        <v>-1.25238572899789E-17</v>
      </c>
      <c r="J9">
        <v>-6.9</v>
      </c>
    </row>
    <row r="10" spans="1:11" x14ac:dyDescent="0.25">
      <c r="A10" s="1"/>
      <c r="B10" t="s">
        <v>23</v>
      </c>
      <c r="C10" t="s">
        <v>24</v>
      </c>
      <c r="D10" s="2">
        <v>4.1666666666666664E-2</v>
      </c>
      <c r="E10" s="5">
        <v>1650</v>
      </c>
      <c r="F10">
        <v>0.34445999999999999</v>
      </c>
      <c r="K10">
        <f>+CORREL(J12:J160,K12:K160)</f>
        <v>2.6137090731200595E-2</v>
      </c>
    </row>
    <row r="11" spans="1:11" x14ac:dyDescent="0.25">
      <c r="A11" s="1"/>
      <c r="B11" t="s">
        <v>25</v>
      </c>
      <c r="C11" t="s">
        <v>24</v>
      </c>
      <c r="D11" s="2">
        <v>8.3333333333333329E-2</v>
      </c>
      <c r="E11" s="5">
        <f>+E10+1</f>
        <v>1651</v>
      </c>
      <c r="F11">
        <v>1.25427</v>
      </c>
      <c r="G11">
        <f>+(F12-F11)/2+(F11-F10)/2</f>
        <v>0.17397000000000001</v>
      </c>
      <c r="K11">
        <f>+CORREL(J240:J335,K240:K335)</f>
        <v>0.32696887905935551</v>
      </c>
    </row>
    <row r="12" spans="1:11" x14ac:dyDescent="0.25">
      <c r="A12" s="1"/>
      <c r="B12" t="s">
        <v>26</v>
      </c>
      <c r="C12" t="s">
        <v>24</v>
      </c>
      <c r="D12" s="2">
        <v>0.125</v>
      </c>
      <c r="E12" s="5">
        <f t="shared" ref="E12:E75" si="0">+E11+1</f>
        <v>1652</v>
      </c>
      <c r="F12">
        <v>0.69240000000000002</v>
      </c>
      <c r="G12">
        <f t="shared" ref="G12:H75" si="1">+(F13-F12)/2+(F12-F11)/2</f>
        <v>-0.92653499999999989</v>
      </c>
      <c r="H12">
        <f>+(G13-G12)/2+(G12-G11)/2</f>
        <v>-0.40915749999999995</v>
      </c>
      <c r="I12" s="5">
        <f>+E12</f>
        <v>1652</v>
      </c>
      <c r="J12">
        <f t="shared" ref="J12:J76" si="2">+$J$6*F12+F12*$J$7*COS(2*PI()*$I12/$J$8+$J$9)+H12</f>
        <v>0.17608900331041166</v>
      </c>
      <c r="K12">
        <f>+$K$8*COS(2*PI()*$I12/$K$6+$K$7)</f>
        <v>-0.64521673836059357</v>
      </c>
    </row>
    <row r="13" spans="1:11" x14ac:dyDescent="0.25">
      <c r="A13" s="1"/>
      <c r="B13" t="s">
        <v>27</v>
      </c>
      <c r="C13" t="s">
        <v>24</v>
      </c>
      <c r="D13" s="2">
        <v>0.16666666666666666</v>
      </c>
      <c r="E13" s="5">
        <f t="shared" si="0"/>
        <v>1653</v>
      </c>
      <c r="F13">
        <v>-0.5988</v>
      </c>
      <c r="G13">
        <f t="shared" si="1"/>
        <v>-0.64434499999999995</v>
      </c>
      <c r="H13">
        <f t="shared" si="1"/>
        <v>0.65384749999999991</v>
      </c>
      <c r="I13" s="5">
        <f t="shared" ref="I13:I76" si="3">+E13</f>
        <v>1653</v>
      </c>
      <c r="J13">
        <f t="shared" si="2"/>
        <v>0.14600909514188931</v>
      </c>
      <c r="K13">
        <f t="shared" ref="K13:K76" si="4">+$K$8*COS(2*PI()*$I13/$K$6+$K$7)</f>
        <v>0.25367348195621287</v>
      </c>
    </row>
    <row r="14" spans="1:11" x14ac:dyDescent="0.25">
      <c r="A14" s="1"/>
      <c r="B14" t="s">
        <v>28</v>
      </c>
      <c r="C14" t="s">
        <v>24</v>
      </c>
      <c r="D14" s="2">
        <v>0.20833333333333334</v>
      </c>
      <c r="E14" s="5">
        <f t="shared" si="0"/>
        <v>1654</v>
      </c>
      <c r="F14">
        <v>-0.59628999999999999</v>
      </c>
      <c r="G14">
        <f t="shared" si="1"/>
        <v>0.38116</v>
      </c>
      <c r="H14">
        <f t="shared" si="1"/>
        <v>0.72788749999999991</v>
      </c>
      <c r="I14" s="5">
        <f t="shared" si="3"/>
        <v>1654</v>
      </c>
      <c r="J14">
        <f t="shared" si="2"/>
        <v>3.6084974731059982E-2</v>
      </c>
      <c r="K14">
        <f t="shared" si="4"/>
        <v>0.18724302508623022</v>
      </c>
    </row>
    <row r="15" spans="1:11" x14ac:dyDescent="0.25">
      <c r="A15" s="1"/>
      <c r="B15" t="s">
        <v>29</v>
      </c>
      <c r="C15" t="s">
        <v>24</v>
      </c>
      <c r="D15" s="2">
        <v>0.25</v>
      </c>
      <c r="E15" s="5">
        <f t="shared" si="0"/>
        <v>1655</v>
      </c>
      <c r="F15">
        <v>0.16352</v>
      </c>
      <c r="G15">
        <f t="shared" si="1"/>
        <v>0.81142999999999998</v>
      </c>
      <c r="H15">
        <f t="shared" si="1"/>
        <v>-0.18866250000000004</v>
      </c>
      <c r="I15" s="5">
        <f t="shared" si="3"/>
        <v>1655</v>
      </c>
      <c r="J15">
        <f t="shared" si="2"/>
        <v>5.780394018947918E-2</v>
      </c>
      <c r="K15">
        <f t="shared" si="4"/>
        <v>-0.59171584579358638</v>
      </c>
    </row>
    <row r="16" spans="1:11" x14ac:dyDescent="0.25">
      <c r="A16" s="1"/>
      <c r="B16" t="s">
        <v>30</v>
      </c>
      <c r="C16" t="s">
        <v>24</v>
      </c>
      <c r="D16" s="2">
        <v>0.29166666666666669</v>
      </c>
      <c r="E16" s="5">
        <f t="shared" si="0"/>
        <v>1656</v>
      </c>
      <c r="F16">
        <v>1.02657</v>
      </c>
      <c r="G16">
        <f t="shared" si="1"/>
        <v>3.8349999999999773E-3</v>
      </c>
      <c r="H16">
        <f t="shared" si="1"/>
        <v>-0.5467225</v>
      </c>
      <c r="I16" s="5">
        <f t="shared" si="3"/>
        <v>1656</v>
      </c>
      <c r="J16">
        <f t="shared" si="2"/>
        <v>1.0797087735223323</v>
      </c>
      <c r="K16">
        <f t="shared" si="4"/>
        <v>0.88102119004305768</v>
      </c>
    </row>
    <row r="17" spans="1:11" x14ac:dyDescent="0.25">
      <c r="A17" s="1"/>
      <c r="B17" t="s">
        <v>31</v>
      </c>
      <c r="C17" t="s">
        <v>24</v>
      </c>
      <c r="D17" s="2">
        <v>0.33333333333333331</v>
      </c>
      <c r="E17" s="5">
        <f t="shared" si="0"/>
        <v>1657</v>
      </c>
      <c r="F17">
        <v>0.17119000000000001</v>
      </c>
      <c r="G17">
        <f t="shared" si="1"/>
        <v>-0.28201500000000002</v>
      </c>
      <c r="H17">
        <f t="shared" si="1"/>
        <v>-5.0872499999999987E-2</v>
      </c>
      <c r="I17" s="5">
        <f t="shared" si="3"/>
        <v>1657</v>
      </c>
      <c r="J17">
        <f t="shared" si="2"/>
        <v>0.1757290301218622</v>
      </c>
      <c r="K17">
        <f t="shared" si="4"/>
        <v>-0.99885066815628665</v>
      </c>
    </row>
    <row r="18" spans="1:11" x14ac:dyDescent="0.25">
      <c r="A18" s="1"/>
      <c r="B18" t="s">
        <v>32</v>
      </c>
      <c r="C18" t="s">
        <v>24</v>
      </c>
      <c r="D18" s="2">
        <v>0.375</v>
      </c>
      <c r="E18" s="5">
        <f t="shared" si="0"/>
        <v>1658</v>
      </c>
      <c r="F18">
        <v>0.46254000000000001</v>
      </c>
      <c r="G18">
        <f t="shared" si="1"/>
        <v>-9.7909999999999997E-2</v>
      </c>
      <c r="H18">
        <f t="shared" si="1"/>
        <v>7.511000000000001E-2</v>
      </c>
      <c r="I18" s="5">
        <f t="shared" si="3"/>
        <v>1658</v>
      </c>
      <c r="J18">
        <f t="shared" si="2"/>
        <v>0.51653360577835261</v>
      </c>
      <c r="K18">
        <f t="shared" si="4"/>
        <v>0.92227076611174608</v>
      </c>
    </row>
    <row r="19" spans="1:11" x14ac:dyDescent="0.25">
      <c r="A19" s="1"/>
      <c r="B19" t="s">
        <v>33</v>
      </c>
      <c r="C19" t="s">
        <v>24</v>
      </c>
      <c r="D19" s="2">
        <v>0.41666666666666669</v>
      </c>
      <c r="E19" s="5">
        <f t="shared" si="0"/>
        <v>1659</v>
      </c>
      <c r="F19">
        <v>-2.4629999999999999E-2</v>
      </c>
      <c r="G19">
        <f t="shared" si="1"/>
        <v>-0.131795</v>
      </c>
      <c r="H19">
        <f t="shared" si="1"/>
        <v>0.19569</v>
      </c>
      <c r="I19" s="5">
        <f t="shared" si="3"/>
        <v>1659</v>
      </c>
      <c r="J19">
        <f t="shared" si="2"/>
        <v>0.17596445891827336</v>
      </c>
      <c r="K19">
        <f t="shared" si="4"/>
        <v>-0.6661864659689688</v>
      </c>
    </row>
    <row r="20" spans="1:11" x14ac:dyDescent="0.25">
      <c r="A20" s="1"/>
      <c r="B20" t="s">
        <v>34</v>
      </c>
      <c r="C20" t="s">
        <v>24</v>
      </c>
      <c r="D20" s="2">
        <v>0.45833333333333331</v>
      </c>
      <c r="E20" s="5">
        <f t="shared" si="0"/>
        <v>1660</v>
      </c>
      <c r="F20">
        <v>0.19894999999999999</v>
      </c>
      <c r="G20">
        <f t="shared" si="1"/>
        <v>0.29347000000000001</v>
      </c>
      <c r="H20">
        <f t="shared" si="1"/>
        <v>4.9000000000000016E-2</v>
      </c>
      <c r="I20" s="5">
        <f t="shared" si="3"/>
        <v>1660</v>
      </c>
      <c r="J20">
        <f t="shared" si="2"/>
        <v>0.24757791287136333</v>
      </c>
      <c r="K20">
        <f t="shared" si="4"/>
        <v>0.28044024333122874</v>
      </c>
    </row>
    <row r="21" spans="1:11" x14ac:dyDescent="0.25">
      <c r="A21" s="1"/>
      <c r="B21" t="s">
        <v>35</v>
      </c>
      <c r="C21" t="s">
        <v>24</v>
      </c>
      <c r="D21" s="2">
        <v>0.5</v>
      </c>
      <c r="E21" s="5">
        <f t="shared" si="0"/>
        <v>1661</v>
      </c>
      <c r="F21">
        <v>0.56230999999999998</v>
      </c>
      <c r="G21">
        <f t="shared" si="1"/>
        <v>-3.3794999999999964E-2</v>
      </c>
      <c r="H21">
        <f t="shared" si="1"/>
        <v>-0.38105749999999999</v>
      </c>
      <c r="I21" s="5">
        <f t="shared" si="3"/>
        <v>1661</v>
      </c>
      <c r="J21">
        <f t="shared" si="2"/>
        <v>0.39086837728457385</v>
      </c>
      <c r="K21">
        <f t="shared" si="4"/>
        <v>0.15988892710385677</v>
      </c>
    </row>
    <row r="22" spans="1:11" x14ac:dyDescent="0.25">
      <c r="A22" s="1"/>
      <c r="B22" t="s">
        <v>36</v>
      </c>
      <c r="C22" t="s">
        <v>24</v>
      </c>
      <c r="D22" s="2">
        <v>0.54166666666666663</v>
      </c>
      <c r="E22" s="5">
        <f t="shared" si="0"/>
        <v>1662</v>
      </c>
      <c r="F22">
        <v>0.13136</v>
      </c>
      <c r="G22">
        <f t="shared" si="1"/>
        <v>-0.46864499999999998</v>
      </c>
      <c r="H22">
        <f t="shared" si="1"/>
        <v>-0.26097250000000005</v>
      </c>
      <c r="I22" s="5">
        <f t="shared" si="3"/>
        <v>1662</v>
      </c>
      <c r="J22">
        <f t="shared" si="2"/>
        <v>-5.1374814153722304E-2</v>
      </c>
      <c r="K22">
        <f t="shared" si="4"/>
        <v>-0.56909842349499296</v>
      </c>
    </row>
    <row r="23" spans="1:11" x14ac:dyDescent="0.25">
      <c r="A23" s="1"/>
      <c r="B23" t="s">
        <v>37</v>
      </c>
      <c r="C23" t="s">
        <v>24</v>
      </c>
      <c r="D23" s="2">
        <v>0.58333333333333337</v>
      </c>
      <c r="E23" s="5">
        <f t="shared" si="0"/>
        <v>1663</v>
      </c>
      <c r="F23">
        <v>-0.37497999999999998</v>
      </c>
      <c r="G23">
        <f t="shared" si="1"/>
        <v>-0.55574000000000001</v>
      </c>
      <c r="H23">
        <f t="shared" si="1"/>
        <v>0.22283749999999997</v>
      </c>
      <c r="I23" s="5">
        <f t="shared" si="3"/>
        <v>1663</v>
      </c>
      <c r="J23">
        <f t="shared" si="2"/>
        <v>-0.3286798171603908</v>
      </c>
      <c r="K23">
        <f t="shared" si="4"/>
        <v>0.86754254194876268</v>
      </c>
    </row>
    <row r="24" spans="1:11" x14ac:dyDescent="0.25">
      <c r="A24" s="1"/>
      <c r="B24" t="s">
        <v>38</v>
      </c>
      <c r="C24" t="s">
        <v>24</v>
      </c>
      <c r="D24" s="2">
        <v>0.625</v>
      </c>
      <c r="E24" s="5">
        <f t="shared" si="0"/>
        <v>1664</v>
      </c>
      <c r="F24">
        <v>-0.98011999999999999</v>
      </c>
      <c r="G24">
        <f t="shared" si="1"/>
        <v>-2.2970000000000046E-2</v>
      </c>
      <c r="H24">
        <f t="shared" si="1"/>
        <v>0.46038999999999997</v>
      </c>
      <c r="I24" s="5">
        <f t="shared" si="3"/>
        <v>1664</v>
      </c>
      <c r="J24">
        <f t="shared" si="2"/>
        <v>-0.6256123269285484</v>
      </c>
      <c r="K24">
        <f t="shared" si="4"/>
        <v>-0.99713418503494788</v>
      </c>
    </row>
    <row r="25" spans="1:11" x14ac:dyDescent="0.25">
      <c r="A25" s="1"/>
      <c r="B25" t="s">
        <v>39</v>
      </c>
      <c r="C25" t="s">
        <v>24</v>
      </c>
      <c r="D25" s="2">
        <v>0.66666666666666663</v>
      </c>
      <c r="E25" s="5">
        <f t="shared" si="0"/>
        <v>1665</v>
      </c>
      <c r="F25">
        <v>-0.42092000000000002</v>
      </c>
      <c r="G25">
        <f t="shared" si="1"/>
        <v>0.36503999999999998</v>
      </c>
      <c r="H25">
        <f t="shared" si="1"/>
        <v>5.4527500000000034E-2</v>
      </c>
      <c r="I25" s="5">
        <f t="shared" si="3"/>
        <v>1665</v>
      </c>
      <c r="J25">
        <f t="shared" si="2"/>
        <v>-0.29318878100277301</v>
      </c>
      <c r="K25">
        <f t="shared" si="4"/>
        <v>0.93265053235686624</v>
      </c>
    </row>
    <row r="26" spans="1:11" x14ac:dyDescent="0.25">
      <c r="A26" s="1"/>
      <c r="B26" t="s">
        <v>40</v>
      </c>
      <c r="C26" t="s">
        <v>24</v>
      </c>
      <c r="D26" s="2">
        <v>0.70833333333333337</v>
      </c>
      <c r="E26" s="5">
        <f t="shared" si="0"/>
        <v>1666</v>
      </c>
      <c r="F26">
        <v>-0.25003999999999998</v>
      </c>
      <c r="G26">
        <f t="shared" si="1"/>
        <v>8.6085000000000009E-2</v>
      </c>
      <c r="H26">
        <f t="shared" si="1"/>
        <v>-0.25351000000000001</v>
      </c>
      <c r="I26" s="5">
        <f t="shared" si="3"/>
        <v>1666</v>
      </c>
      <c r="J26">
        <f t="shared" si="2"/>
        <v>-0.47172381953065723</v>
      </c>
      <c r="K26">
        <f t="shared" si="4"/>
        <v>-0.68664223572575855</v>
      </c>
    </row>
    <row r="27" spans="1:11" x14ac:dyDescent="0.25">
      <c r="A27" s="1"/>
      <c r="B27" t="s">
        <v>41</v>
      </c>
      <c r="C27" t="s">
        <v>24</v>
      </c>
      <c r="D27" s="2">
        <v>0.75</v>
      </c>
      <c r="E27" s="5">
        <f t="shared" si="0"/>
        <v>1667</v>
      </c>
      <c r="F27">
        <v>-0.24875</v>
      </c>
      <c r="G27">
        <f t="shared" si="1"/>
        <v>-0.14198</v>
      </c>
      <c r="H27">
        <f t="shared" si="1"/>
        <v>-4.8225000000000004E-2</v>
      </c>
      <c r="I27" s="5">
        <f t="shared" si="3"/>
        <v>1667</v>
      </c>
      <c r="J27">
        <f t="shared" si="2"/>
        <v>-0.34845200813148935</v>
      </c>
      <c r="K27">
        <f t="shared" si="4"/>
        <v>0.30699064716508312</v>
      </c>
    </row>
    <row r="28" spans="1:11" x14ac:dyDescent="0.25">
      <c r="A28" s="1"/>
      <c r="B28" t="s">
        <v>42</v>
      </c>
      <c r="C28" t="s">
        <v>24</v>
      </c>
      <c r="D28" s="2">
        <v>0.79166666666666663</v>
      </c>
      <c r="E28" s="5">
        <f t="shared" si="0"/>
        <v>1668</v>
      </c>
      <c r="F28">
        <v>-0.53400000000000003</v>
      </c>
      <c r="G28">
        <f t="shared" si="1"/>
        <v>-1.0364999999999985E-2</v>
      </c>
      <c r="H28">
        <f t="shared" si="1"/>
        <v>0.133575</v>
      </c>
      <c r="I28" s="5">
        <f t="shared" si="3"/>
        <v>1668</v>
      </c>
      <c r="J28">
        <f t="shared" si="2"/>
        <v>-0.68615183547873659</v>
      </c>
      <c r="K28">
        <f t="shared" si="4"/>
        <v>0.1324114760166471</v>
      </c>
    </row>
    <row r="29" spans="1:11" x14ac:dyDescent="0.25">
      <c r="A29" s="1"/>
      <c r="B29" t="s">
        <v>43</v>
      </c>
      <c r="C29" t="s">
        <v>24</v>
      </c>
      <c r="D29" s="2">
        <v>0.83333333333333337</v>
      </c>
      <c r="E29" s="5">
        <f t="shared" si="0"/>
        <v>1669</v>
      </c>
      <c r="F29">
        <v>-0.26948</v>
      </c>
      <c r="G29">
        <f t="shared" si="1"/>
        <v>0.12517</v>
      </c>
      <c r="H29">
        <f t="shared" si="1"/>
        <v>0.173205</v>
      </c>
      <c r="I29" s="5">
        <f t="shared" si="3"/>
        <v>1669</v>
      </c>
      <c r="J29">
        <f t="shared" si="2"/>
        <v>-0.24954355836830178</v>
      </c>
      <c r="K29">
        <f t="shared" si="4"/>
        <v>-0.54604194603856382</v>
      </c>
    </row>
    <row r="30" spans="1:11" x14ac:dyDescent="0.25">
      <c r="A30" s="1"/>
      <c r="B30" t="s">
        <v>44</v>
      </c>
      <c r="C30" t="s">
        <v>24</v>
      </c>
      <c r="D30" s="2">
        <v>0.875</v>
      </c>
      <c r="E30" s="5">
        <f t="shared" si="0"/>
        <v>1670</v>
      </c>
      <c r="F30">
        <v>-0.28366000000000002</v>
      </c>
      <c r="G30">
        <f t="shared" si="1"/>
        <v>0.33604500000000004</v>
      </c>
      <c r="H30">
        <f t="shared" si="1"/>
        <v>-8.0235000000000001E-2</v>
      </c>
      <c r="I30" s="5">
        <f t="shared" si="3"/>
        <v>1670</v>
      </c>
      <c r="J30">
        <f t="shared" si="2"/>
        <v>-0.44286684666631088</v>
      </c>
      <c r="K30">
        <f t="shared" si="4"/>
        <v>0.85339459130318052</v>
      </c>
    </row>
    <row r="31" spans="1:11" x14ac:dyDescent="0.25">
      <c r="A31" s="1"/>
      <c r="B31" t="s">
        <v>45</v>
      </c>
      <c r="C31" t="s">
        <v>24</v>
      </c>
      <c r="D31" s="2">
        <v>0.91666666666666663</v>
      </c>
      <c r="E31" s="5">
        <f t="shared" si="0"/>
        <v>1671</v>
      </c>
      <c r="F31">
        <v>0.40261000000000002</v>
      </c>
      <c r="G31">
        <f t="shared" si="1"/>
        <v>-3.5299999999999998E-2</v>
      </c>
      <c r="H31">
        <f t="shared" si="1"/>
        <v>-0.32805000000000001</v>
      </c>
      <c r="I31" s="5">
        <f t="shared" si="3"/>
        <v>1671</v>
      </c>
      <c r="J31">
        <f t="shared" si="2"/>
        <v>4.2010448735280426E-2</v>
      </c>
      <c r="K31">
        <f t="shared" si="4"/>
        <v>-0.99464842038314771</v>
      </c>
    </row>
    <row r="32" spans="1:11" x14ac:dyDescent="0.25">
      <c r="A32" s="1"/>
      <c r="B32" t="s">
        <v>46</v>
      </c>
      <c r="C32" t="s">
        <v>24</v>
      </c>
      <c r="D32" s="2">
        <v>0.95833333333333337</v>
      </c>
      <c r="E32" s="5">
        <f t="shared" si="0"/>
        <v>1672</v>
      </c>
      <c r="F32">
        <v>-0.35426000000000002</v>
      </c>
      <c r="G32">
        <f t="shared" si="1"/>
        <v>-0.32005499999999998</v>
      </c>
      <c r="H32">
        <f t="shared" si="1"/>
        <v>0.25908500000000001</v>
      </c>
      <c r="I32" s="5">
        <f t="shared" si="3"/>
        <v>1672</v>
      </c>
      <c r="J32">
        <f t="shared" si="2"/>
        <v>-2.6694778831383104E-2</v>
      </c>
      <c r="K32">
        <f t="shared" si="4"/>
        <v>0.94231076572459016</v>
      </c>
    </row>
    <row r="33" spans="1:11" x14ac:dyDescent="0.25">
      <c r="A33" s="1"/>
      <c r="B33" t="s">
        <v>47</v>
      </c>
      <c r="C33" t="s">
        <v>24</v>
      </c>
      <c r="D33" s="3">
        <v>1</v>
      </c>
      <c r="E33" s="5">
        <f t="shared" si="0"/>
        <v>1673</v>
      </c>
      <c r="F33">
        <v>-0.23749999999999999</v>
      </c>
      <c r="G33">
        <f t="shared" si="1"/>
        <v>0.48287000000000002</v>
      </c>
      <c r="H33">
        <f t="shared" si="1"/>
        <v>0.18995999999999999</v>
      </c>
      <c r="I33" s="5">
        <f t="shared" si="3"/>
        <v>1673</v>
      </c>
      <c r="J33">
        <f t="shared" si="2"/>
        <v>-5.7004185724179562E-2</v>
      </c>
      <c r="K33">
        <f t="shared" si="4"/>
        <v>-0.70656826615697654</v>
      </c>
    </row>
    <row r="34" spans="1:11" x14ac:dyDescent="0.25">
      <c r="A34" s="1"/>
      <c r="B34" t="s">
        <v>48</v>
      </c>
      <c r="C34" t="s">
        <v>24</v>
      </c>
      <c r="D34" s="3">
        <v>1.0416666666666667</v>
      </c>
      <c r="E34" s="5">
        <f t="shared" si="0"/>
        <v>1674</v>
      </c>
      <c r="F34">
        <v>0.61148000000000002</v>
      </c>
      <c r="G34">
        <f t="shared" si="1"/>
        <v>5.9865000000000002E-2</v>
      </c>
      <c r="H34">
        <f t="shared" si="1"/>
        <v>-0.57737000000000005</v>
      </c>
      <c r="I34" s="5">
        <f t="shared" si="3"/>
        <v>1674</v>
      </c>
      <c r="J34">
        <f t="shared" si="2"/>
        <v>0.28710024286977054</v>
      </c>
      <c r="K34">
        <f t="shared" si="4"/>
        <v>0.3333042100224759</v>
      </c>
    </row>
    <row r="35" spans="1:11" x14ac:dyDescent="0.25">
      <c r="A35" s="1"/>
      <c r="B35" t="s">
        <v>49</v>
      </c>
      <c r="C35" t="s">
        <v>24</v>
      </c>
      <c r="D35" s="3">
        <v>1.0833333333333333</v>
      </c>
      <c r="E35" s="5">
        <f t="shared" si="0"/>
        <v>1675</v>
      </c>
      <c r="F35">
        <v>-0.11777</v>
      </c>
      <c r="G35">
        <f t="shared" si="1"/>
        <v>-0.67186999999999997</v>
      </c>
      <c r="H35">
        <f t="shared" si="1"/>
        <v>0.10323499999999997</v>
      </c>
      <c r="I35" s="5">
        <f t="shared" si="3"/>
        <v>1675</v>
      </c>
      <c r="J35">
        <f t="shared" si="2"/>
        <v>-8.5173741976906414E-2</v>
      </c>
      <c r="K35">
        <f t="shared" si="4"/>
        <v>0.1048318704698299</v>
      </c>
    </row>
    <row r="36" spans="1:11" x14ac:dyDescent="0.25">
      <c r="A36" s="1"/>
      <c r="B36" t="s">
        <v>50</v>
      </c>
      <c r="C36" t="s">
        <v>24</v>
      </c>
      <c r="D36" s="3">
        <v>1.125</v>
      </c>
      <c r="E36" s="5">
        <f t="shared" si="0"/>
        <v>1676</v>
      </c>
      <c r="F36">
        <v>-0.73226000000000002</v>
      </c>
      <c r="G36">
        <f t="shared" si="1"/>
        <v>0.26633499999999999</v>
      </c>
      <c r="H36">
        <f t="shared" si="1"/>
        <v>0.45314749999999998</v>
      </c>
      <c r="I36" s="5">
        <f t="shared" si="3"/>
        <v>1676</v>
      </c>
      <c r="J36">
        <f t="shared" si="2"/>
        <v>-0.59731483194165125</v>
      </c>
      <c r="K36">
        <f t="shared" si="4"/>
        <v>-0.52256420132490178</v>
      </c>
    </row>
    <row r="37" spans="1:11" x14ac:dyDescent="0.25">
      <c r="A37" s="1"/>
      <c r="B37" t="s">
        <v>51</v>
      </c>
      <c r="C37" t="s">
        <v>24</v>
      </c>
      <c r="D37" s="3">
        <v>1.1666666666666667</v>
      </c>
      <c r="E37" s="5">
        <f t="shared" si="0"/>
        <v>1677</v>
      </c>
      <c r="F37">
        <v>0.41489999999999999</v>
      </c>
      <c r="G37">
        <f t="shared" si="1"/>
        <v>0.23442499999999999</v>
      </c>
      <c r="H37">
        <f t="shared" si="1"/>
        <v>-0.39118249999999999</v>
      </c>
      <c r="I37" s="5">
        <f t="shared" si="3"/>
        <v>1677</v>
      </c>
      <c r="J37">
        <f t="shared" si="2"/>
        <v>4.9933833000046945E-2</v>
      </c>
      <c r="K37">
        <f t="shared" si="4"/>
        <v>0.83858825314298979</v>
      </c>
    </row>
    <row r="38" spans="1:11" x14ac:dyDescent="0.25">
      <c r="A38" s="1"/>
      <c r="B38" t="s">
        <v>52</v>
      </c>
      <c r="C38" t="s">
        <v>24</v>
      </c>
      <c r="D38" s="3">
        <v>1.2083333333333333</v>
      </c>
      <c r="E38" s="5">
        <f t="shared" si="0"/>
        <v>1678</v>
      </c>
      <c r="F38">
        <v>-0.26340999999999998</v>
      </c>
      <c r="G38">
        <f t="shared" si="1"/>
        <v>-0.51602999999999999</v>
      </c>
      <c r="H38">
        <f t="shared" si="1"/>
        <v>-5.677500000000002E-3</v>
      </c>
      <c r="I38" s="5">
        <f t="shared" si="3"/>
        <v>1678</v>
      </c>
      <c r="J38">
        <f t="shared" si="2"/>
        <v>-0.21957929690802572</v>
      </c>
      <c r="K38">
        <f t="shared" si="4"/>
        <v>-0.99139529194959142</v>
      </c>
    </row>
    <row r="39" spans="1:11" x14ac:dyDescent="0.25">
      <c r="A39" s="1"/>
      <c r="B39" t="s">
        <v>53</v>
      </c>
      <c r="C39" t="s">
        <v>24</v>
      </c>
      <c r="D39" s="3">
        <v>1.25</v>
      </c>
      <c r="E39" s="5">
        <f t="shared" si="0"/>
        <v>1679</v>
      </c>
      <c r="F39">
        <v>-0.61716000000000004</v>
      </c>
      <c r="G39">
        <f t="shared" si="1"/>
        <v>0.22306999999999996</v>
      </c>
      <c r="H39">
        <f t="shared" si="1"/>
        <v>0.47948999999999997</v>
      </c>
      <c r="I39" s="5">
        <f t="shared" si="3"/>
        <v>1679</v>
      </c>
      <c r="J39">
        <f t="shared" si="2"/>
        <v>-7.7076494817139074E-2</v>
      </c>
      <c r="K39">
        <f t="shared" si="4"/>
        <v>0.95124401341810128</v>
      </c>
    </row>
    <row r="40" spans="1:11" x14ac:dyDescent="0.25">
      <c r="A40" s="1"/>
      <c r="B40" t="s">
        <v>54</v>
      </c>
      <c r="C40" t="s">
        <v>24</v>
      </c>
      <c r="D40" s="3">
        <v>1.2916666666666667</v>
      </c>
      <c r="E40" s="5">
        <f t="shared" si="0"/>
        <v>1680</v>
      </c>
      <c r="F40">
        <v>0.18273</v>
      </c>
      <c r="G40">
        <f t="shared" si="1"/>
        <v>0.44294999999999995</v>
      </c>
      <c r="H40">
        <f t="shared" si="1"/>
        <v>2.7755000000000044E-2</v>
      </c>
      <c r="I40" s="5">
        <f t="shared" si="3"/>
        <v>1680</v>
      </c>
      <c r="J40">
        <f t="shared" si="2"/>
        <v>0.25682760467759885</v>
      </c>
      <c r="K40">
        <f t="shared" si="4"/>
        <v>-0.72594918448118895</v>
      </c>
    </row>
    <row r="41" spans="1:11" x14ac:dyDescent="0.25">
      <c r="A41" s="1"/>
      <c r="B41" t="s">
        <v>55</v>
      </c>
      <c r="C41" t="s">
        <v>24</v>
      </c>
      <c r="D41" s="3">
        <v>1.3333333333333333</v>
      </c>
      <c r="E41" s="5">
        <f t="shared" si="0"/>
        <v>1681</v>
      </c>
      <c r="F41">
        <v>0.26873999999999998</v>
      </c>
      <c r="G41">
        <f t="shared" si="1"/>
        <v>0.27858000000000005</v>
      </c>
      <c r="H41">
        <f t="shared" si="1"/>
        <v>-0.23982749999999997</v>
      </c>
      <c r="I41" s="5">
        <f t="shared" si="3"/>
        <v>1681</v>
      </c>
      <c r="J41">
        <f t="shared" si="2"/>
        <v>0.17894861798716766</v>
      </c>
      <c r="K41">
        <f t="shared" si="4"/>
        <v>0.3593606311856804</v>
      </c>
    </row>
    <row r="42" spans="1:11" x14ac:dyDescent="0.25">
      <c r="A42" s="1"/>
      <c r="B42" t="s">
        <v>56</v>
      </c>
      <c r="C42" t="s">
        <v>24</v>
      </c>
      <c r="D42" s="3">
        <v>1.375</v>
      </c>
      <c r="E42" s="5">
        <f t="shared" si="0"/>
        <v>1682</v>
      </c>
      <c r="F42">
        <v>0.73989000000000005</v>
      </c>
      <c r="G42">
        <f t="shared" si="1"/>
        <v>-3.6704999999999988E-2</v>
      </c>
      <c r="H42">
        <f t="shared" si="1"/>
        <v>-0.3498175</v>
      </c>
      <c r="I42" s="5">
        <f t="shared" si="3"/>
        <v>1682</v>
      </c>
      <c r="J42">
        <f t="shared" si="2"/>
        <v>0.7956277177452783</v>
      </c>
      <c r="K42">
        <f t="shared" si="4"/>
        <v>7.7171387923635745E-2</v>
      </c>
    </row>
    <row r="43" spans="1:11" x14ac:dyDescent="0.25">
      <c r="A43" s="1"/>
      <c r="B43" t="s">
        <v>57</v>
      </c>
      <c r="C43" t="s">
        <v>24</v>
      </c>
      <c r="D43" s="3">
        <v>1.4166666666666667</v>
      </c>
      <c r="E43" s="5">
        <f t="shared" si="0"/>
        <v>1683</v>
      </c>
      <c r="F43">
        <v>0.19533</v>
      </c>
      <c r="G43">
        <f t="shared" si="1"/>
        <v>-0.42105500000000001</v>
      </c>
      <c r="H43">
        <f t="shared" si="1"/>
        <v>-0.314085</v>
      </c>
      <c r="I43" s="5">
        <f t="shared" si="3"/>
        <v>1683</v>
      </c>
      <c r="J43">
        <f t="shared" si="2"/>
        <v>-7.3428964042540235E-2</v>
      </c>
      <c r="K43">
        <f t="shared" si="4"/>
        <v>-0.49868330225608715</v>
      </c>
    </row>
    <row r="44" spans="1:11" x14ac:dyDescent="0.25">
      <c r="A44" s="1"/>
      <c r="B44" t="s">
        <v>58</v>
      </c>
      <c r="C44" t="s">
        <v>24</v>
      </c>
      <c r="D44" s="3">
        <v>1.4583333333333333</v>
      </c>
      <c r="E44" s="5">
        <f t="shared" si="0"/>
        <v>1684</v>
      </c>
      <c r="F44">
        <v>-0.10222000000000001</v>
      </c>
      <c r="G44">
        <f t="shared" si="1"/>
        <v>-0.66487499999999999</v>
      </c>
      <c r="H44">
        <f t="shared" si="1"/>
        <v>0.30256249999999996</v>
      </c>
      <c r="I44" s="5">
        <f t="shared" si="3"/>
        <v>1684</v>
      </c>
      <c r="J44">
        <f t="shared" si="2"/>
        <v>0.21181100685136819</v>
      </c>
      <c r="K44">
        <f t="shared" si="4"/>
        <v>0.82313495044778406</v>
      </c>
    </row>
    <row r="45" spans="1:11" x14ac:dyDescent="0.25">
      <c r="A45" s="1"/>
      <c r="B45" t="s">
        <v>59</v>
      </c>
      <c r="C45" t="s">
        <v>24</v>
      </c>
      <c r="D45" s="3">
        <v>1.5</v>
      </c>
      <c r="E45" s="5">
        <f t="shared" si="0"/>
        <v>1685</v>
      </c>
      <c r="F45">
        <v>-1.13442</v>
      </c>
      <c r="G45">
        <f t="shared" si="1"/>
        <v>0.18406999999999996</v>
      </c>
      <c r="H45">
        <f t="shared" si="1"/>
        <v>0.86217250000000001</v>
      </c>
      <c r="I45" s="5">
        <f t="shared" si="3"/>
        <v>1685</v>
      </c>
      <c r="J45">
        <f t="shared" si="2"/>
        <v>-6.567011154389113E-2</v>
      </c>
      <c r="K45">
        <f t="shared" si="4"/>
        <v>-0.98737730949827474</v>
      </c>
    </row>
    <row r="46" spans="1:11" x14ac:dyDescent="0.25">
      <c r="A46" s="1"/>
      <c r="B46" t="s">
        <v>60</v>
      </c>
      <c r="C46" t="s">
        <v>24</v>
      </c>
      <c r="D46" s="3">
        <v>1.5416666666666667</v>
      </c>
      <c r="E46" s="5">
        <f t="shared" si="0"/>
        <v>1686</v>
      </c>
      <c r="F46">
        <v>0.26591999999999999</v>
      </c>
      <c r="G46">
        <f t="shared" si="1"/>
        <v>1.0594699999999999</v>
      </c>
      <c r="H46">
        <f t="shared" si="1"/>
        <v>-0.10854999999999992</v>
      </c>
      <c r="I46" s="5">
        <f t="shared" si="3"/>
        <v>1686</v>
      </c>
      <c r="J46">
        <f t="shared" si="2"/>
        <v>0.17964382670132467</v>
      </c>
      <c r="K46">
        <f t="shared" si="4"/>
        <v>0.95944338350335057</v>
      </c>
    </row>
    <row r="47" spans="1:11" x14ac:dyDescent="0.25">
      <c r="A47" s="1"/>
      <c r="B47" t="s">
        <v>61</v>
      </c>
      <c r="C47" t="s">
        <v>24</v>
      </c>
      <c r="D47" s="3">
        <v>1.5833333333333333</v>
      </c>
      <c r="E47" s="5">
        <f t="shared" si="0"/>
        <v>1687</v>
      </c>
      <c r="F47">
        <v>0.98451999999999995</v>
      </c>
      <c r="G47">
        <f t="shared" si="1"/>
        <v>-3.3030000000000004E-2</v>
      </c>
      <c r="H47">
        <f t="shared" si="1"/>
        <v>-0.63613249999999988</v>
      </c>
      <c r="I47" s="5">
        <f t="shared" si="3"/>
        <v>1687</v>
      </c>
      <c r="J47">
        <f t="shared" si="2"/>
        <v>0.79316001263089408</v>
      </c>
      <c r="K47">
        <f t="shared" si="4"/>
        <v>-0.7447700384642828</v>
      </c>
    </row>
    <row r="48" spans="1:11" x14ac:dyDescent="0.25">
      <c r="A48" s="1"/>
      <c r="B48" t="s">
        <v>62</v>
      </c>
      <c r="C48" t="s">
        <v>24</v>
      </c>
      <c r="D48" s="3">
        <v>1.625</v>
      </c>
      <c r="E48" s="5">
        <f t="shared" si="0"/>
        <v>1688</v>
      </c>
      <c r="F48">
        <v>0.19986000000000001</v>
      </c>
      <c r="G48">
        <f t="shared" si="1"/>
        <v>-0.21279499999999996</v>
      </c>
      <c r="H48">
        <f t="shared" si="1"/>
        <v>5.8304999999999996E-2</v>
      </c>
      <c r="I48" s="5">
        <f t="shared" si="3"/>
        <v>1688</v>
      </c>
      <c r="J48">
        <f t="shared" si="2"/>
        <v>0.37778792563434832</v>
      </c>
      <c r="K48">
        <f t="shared" si="4"/>
        <v>0.38513980832328254</v>
      </c>
    </row>
    <row r="49" spans="1:11" x14ac:dyDescent="0.25">
      <c r="A49" s="1"/>
      <c r="B49" t="s">
        <v>63</v>
      </c>
      <c r="C49" t="s">
        <v>24</v>
      </c>
      <c r="D49" s="3">
        <v>1.6666666666666667</v>
      </c>
      <c r="E49" s="5">
        <f t="shared" si="0"/>
        <v>1689</v>
      </c>
      <c r="F49">
        <v>0.55893000000000004</v>
      </c>
      <c r="G49">
        <f t="shared" si="1"/>
        <v>8.3579999999999988E-2</v>
      </c>
      <c r="H49">
        <f t="shared" si="1"/>
        <v>-4.6130000000000032E-2</v>
      </c>
      <c r="I49" s="5">
        <f t="shared" si="3"/>
        <v>1689</v>
      </c>
      <c r="J49">
        <f t="shared" si="2"/>
        <v>0.73362986289445264</v>
      </c>
      <c r="K49">
        <f t="shared" si="4"/>
        <v>4.945136823158492E-2</v>
      </c>
    </row>
    <row r="50" spans="1:11" x14ac:dyDescent="0.25">
      <c r="A50" s="1"/>
      <c r="B50" t="s">
        <v>64</v>
      </c>
      <c r="C50" t="s">
        <v>24</v>
      </c>
      <c r="D50" s="3">
        <v>1.7083333333333333</v>
      </c>
      <c r="E50" s="5">
        <f t="shared" si="0"/>
        <v>1690</v>
      </c>
      <c r="F50">
        <v>0.36702000000000001</v>
      </c>
      <c r="G50">
        <f t="shared" si="1"/>
        <v>-0.30505500000000002</v>
      </c>
      <c r="H50">
        <f t="shared" si="1"/>
        <v>2.2027500000000005E-2</v>
      </c>
      <c r="I50" s="5">
        <f t="shared" si="3"/>
        <v>1690</v>
      </c>
      <c r="J50">
        <f t="shared" si="2"/>
        <v>0.39646770868905423</v>
      </c>
      <c r="K50">
        <f t="shared" si="4"/>
        <v>-0.47441767276785535</v>
      </c>
    </row>
    <row r="51" spans="1:11" x14ac:dyDescent="0.25">
      <c r="A51" s="1"/>
      <c r="B51" t="s">
        <v>65</v>
      </c>
      <c r="C51" t="s">
        <v>24</v>
      </c>
      <c r="D51" s="3">
        <v>1.75</v>
      </c>
      <c r="E51" s="5">
        <f t="shared" si="0"/>
        <v>1691</v>
      </c>
      <c r="F51">
        <v>-5.1180000000000003E-2</v>
      </c>
      <c r="G51">
        <f t="shared" si="1"/>
        <v>0.127635</v>
      </c>
      <c r="H51">
        <f t="shared" si="1"/>
        <v>0.28525500000000004</v>
      </c>
      <c r="I51" s="5">
        <f t="shared" si="3"/>
        <v>1691</v>
      </c>
      <c r="J51">
        <f t="shared" si="2"/>
        <v>0.24414092581017438</v>
      </c>
      <c r="K51">
        <f t="shared" si="4"/>
        <v>0.80704660532345329</v>
      </c>
    </row>
    <row r="52" spans="1:11" x14ac:dyDescent="0.25">
      <c r="A52" s="1"/>
      <c r="B52" t="s">
        <v>66</v>
      </c>
      <c r="C52" t="s">
        <v>24</v>
      </c>
      <c r="D52" s="3">
        <v>1.7916666666666667</v>
      </c>
      <c r="E52" s="5">
        <f t="shared" si="0"/>
        <v>1692</v>
      </c>
      <c r="F52">
        <v>0.62229000000000001</v>
      </c>
      <c r="G52">
        <f t="shared" si="1"/>
        <v>0.265455</v>
      </c>
      <c r="H52">
        <f t="shared" si="1"/>
        <v>-5.11075E-2</v>
      </c>
      <c r="I52" s="5">
        <f t="shared" si="3"/>
        <v>1692</v>
      </c>
      <c r="J52">
        <f t="shared" si="2"/>
        <v>0.53073648084662306</v>
      </c>
      <c r="K52">
        <f t="shared" si="4"/>
        <v>-0.98259757287272786</v>
      </c>
    </row>
    <row r="53" spans="1:11" x14ac:dyDescent="0.25">
      <c r="A53" s="1"/>
      <c r="B53" t="s">
        <v>67</v>
      </c>
      <c r="C53" t="s">
        <v>24</v>
      </c>
      <c r="D53" s="3">
        <v>1.8333333333333333</v>
      </c>
      <c r="E53" s="5">
        <f t="shared" si="0"/>
        <v>1693</v>
      </c>
      <c r="F53">
        <v>0.47972999999999999</v>
      </c>
      <c r="G53">
        <f t="shared" si="1"/>
        <v>2.5419999999999998E-2</v>
      </c>
      <c r="H53">
        <f t="shared" si="1"/>
        <v>6.8250000000000255E-3</v>
      </c>
      <c r="I53" s="5">
        <f t="shared" si="3"/>
        <v>1693</v>
      </c>
      <c r="J53">
        <f t="shared" si="2"/>
        <v>0.63025722518459371</v>
      </c>
      <c r="K53">
        <f t="shared" si="4"/>
        <v>0.96690255022847016</v>
      </c>
    </row>
    <row r="54" spans="1:11" x14ac:dyDescent="0.25">
      <c r="A54" s="1"/>
      <c r="B54" t="s">
        <v>68</v>
      </c>
      <c r="C54" t="s">
        <v>24</v>
      </c>
      <c r="D54" s="3">
        <v>1.875</v>
      </c>
      <c r="E54" s="5">
        <f t="shared" si="0"/>
        <v>1694</v>
      </c>
      <c r="F54">
        <v>0.67313000000000001</v>
      </c>
      <c r="G54">
        <f t="shared" si="1"/>
        <v>0.27910500000000005</v>
      </c>
      <c r="H54">
        <f t="shared" si="1"/>
        <v>-0.45250249999999997</v>
      </c>
      <c r="I54" s="5">
        <f t="shared" si="3"/>
        <v>1694</v>
      </c>
      <c r="J54">
        <f t="shared" si="2"/>
        <v>0.60876421530915659</v>
      </c>
      <c r="K54">
        <f t="shared" si="4"/>
        <v>-0.76301630796007636</v>
      </c>
    </row>
    <row r="55" spans="1:11" x14ac:dyDescent="0.25">
      <c r="A55" s="1"/>
      <c r="B55" t="s">
        <v>69</v>
      </c>
      <c r="C55" t="s">
        <v>24</v>
      </c>
      <c r="D55" s="3">
        <v>1.9166666666666667</v>
      </c>
      <c r="E55" s="5">
        <f t="shared" si="0"/>
        <v>1695</v>
      </c>
      <c r="F55">
        <v>1.0379400000000001</v>
      </c>
      <c r="G55">
        <f t="shared" si="1"/>
        <v>-0.87958499999999995</v>
      </c>
      <c r="H55">
        <f t="shared" si="1"/>
        <v>-0.531115</v>
      </c>
      <c r="I55" s="5">
        <f t="shared" si="3"/>
        <v>1695</v>
      </c>
      <c r="J55">
        <f t="shared" si="2"/>
        <v>1.0493925494487004</v>
      </c>
      <c r="K55">
        <f t="shared" si="4"/>
        <v>0.41062185299215753</v>
      </c>
    </row>
    <row r="56" spans="1:11" x14ac:dyDescent="0.25">
      <c r="A56" s="1"/>
      <c r="B56" t="s">
        <v>70</v>
      </c>
      <c r="C56" t="s">
        <v>24</v>
      </c>
      <c r="D56" s="3">
        <v>1.9583333333333333</v>
      </c>
      <c r="E56" s="5">
        <f t="shared" si="0"/>
        <v>1696</v>
      </c>
      <c r="F56">
        <v>-1.0860399999999999</v>
      </c>
      <c r="G56">
        <f t="shared" si="1"/>
        <v>-0.78312500000000007</v>
      </c>
      <c r="H56">
        <f t="shared" si="1"/>
        <v>0.43609749999999997</v>
      </c>
      <c r="I56" s="5">
        <f t="shared" si="3"/>
        <v>1696</v>
      </c>
      <c r="J56">
        <f t="shared" si="2"/>
        <v>-0.851136891602565</v>
      </c>
      <c r="K56">
        <f t="shared" si="4"/>
        <v>2.1693197179650563E-2</v>
      </c>
    </row>
    <row r="57" spans="1:11" x14ac:dyDescent="0.25">
      <c r="A57" s="1"/>
      <c r="B57" t="s">
        <v>71</v>
      </c>
      <c r="C57" t="s">
        <v>24</v>
      </c>
      <c r="D57" s="3">
        <v>2</v>
      </c>
      <c r="E57" s="5">
        <f t="shared" si="0"/>
        <v>1697</v>
      </c>
      <c r="F57">
        <v>-0.52830999999999995</v>
      </c>
      <c r="G57">
        <f t="shared" si="1"/>
        <v>-7.3900000000000077E-3</v>
      </c>
      <c r="H57">
        <f t="shared" si="1"/>
        <v>0.46853750000000005</v>
      </c>
      <c r="I57" s="5">
        <f t="shared" si="3"/>
        <v>1697</v>
      </c>
      <c r="J57">
        <f t="shared" si="2"/>
        <v>1.3804129695003109E-2</v>
      </c>
      <c r="K57">
        <f t="shared" si="4"/>
        <v>-0.44978603360941782</v>
      </c>
    </row>
    <row r="58" spans="1:11" x14ac:dyDescent="0.25">
      <c r="A58" s="1"/>
      <c r="B58" t="s">
        <v>72</v>
      </c>
      <c r="C58" t="s">
        <v>24</v>
      </c>
      <c r="D58" s="3">
        <v>2.0416666666666665</v>
      </c>
      <c r="E58" s="5">
        <f t="shared" si="0"/>
        <v>1698</v>
      </c>
      <c r="F58">
        <v>-1.1008199999999999</v>
      </c>
      <c r="G58">
        <f t="shared" si="1"/>
        <v>0.15394999999999998</v>
      </c>
      <c r="H58">
        <f t="shared" si="1"/>
        <v>0.27600249999999998</v>
      </c>
      <c r="I58" s="5">
        <f t="shared" si="3"/>
        <v>1698</v>
      </c>
      <c r="J58">
        <f t="shared" si="2"/>
        <v>-0.64245280042570041</v>
      </c>
      <c r="K58">
        <f t="shared" si="4"/>
        <v>0.79033562980841399</v>
      </c>
    </row>
    <row r="59" spans="1:11" x14ac:dyDescent="0.25">
      <c r="A59" s="1"/>
      <c r="B59" t="s">
        <v>73</v>
      </c>
      <c r="C59" t="s">
        <v>24</v>
      </c>
      <c r="D59" s="3">
        <v>2.0833333333333335</v>
      </c>
      <c r="E59" s="5">
        <f t="shared" si="0"/>
        <v>1699</v>
      </c>
      <c r="F59">
        <v>-0.22040999999999999</v>
      </c>
      <c r="G59">
        <f t="shared" si="1"/>
        <v>0.54461499999999996</v>
      </c>
      <c r="H59">
        <f t="shared" si="1"/>
        <v>8.4287500000000015E-2</v>
      </c>
      <c r="I59" s="5">
        <f t="shared" si="3"/>
        <v>1699</v>
      </c>
      <c r="J59">
        <f t="shared" si="2"/>
        <v>-0.16461381058985153</v>
      </c>
      <c r="K59">
        <f t="shared" si="4"/>
        <v>-0.97705976960352592</v>
      </c>
    </row>
    <row r="60" spans="1:11" x14ac:dyDescent="0.25">
      <c r="A60" s="1"/>
      <c r="B60" t="s">
        <v>74</v>
      </c>
      <c r="C60" t="s">
        <v>24</v>
      </c>
      <c r="D60" s="3">
        <v>2.125</v>
      </c>
      <c r="E60" s="5">
        <f t="shared" si="0"/>
        <v>1700</v>
      </c>
      <c r="F60">
        <v>-1.159E-2</v>
      </c>
      <c r="G60">
        <f t="shared" si="1"/>
        <v>0.32252500000000001</v>
      </c>
      <c r="H60">
        <f t="shared" si="1"/>
        <v>-0.20451999999999998</v>
      </c>
      <c r="I60" s="5">
        <f t="shared" si="3"/>
        <v>1700</v>
      </c>
      <c r="J60">
        <f t="shared" si="2"/>
        <v>-0.22174680030956823</v>
      </c>
      <c r="K60">
        <f t="shared" si="4"/>
        <v>0.97361575890189733</v>
      </c>
    </row>
    <row r="61" spans="1:11" x14ac:dyDescent="0.25">
      <c r="A61" s="1"/>
      <c r="B61" t="s">
        <v>75</v>
      </c>
      <c r="C61" t="s">
        <v>24</v>
      </c>
      <c r="D61" s="3">
        <v>2.1666666666666665</v>
      </c>
      <c r="E61" s="5">
        <f t="shared" si="0"/>
        <v>1701</v>
      </c>
      <c r="F61">
        <v>0.42464000000000002</v>
      </c>
      <c r="G61">
        <f t="shared" si="1"/>
        <v>0.135575</v>
      </c>
      <c r="H61">
        <f t="shared" si="1"/>
        <v>-0.4467025</v>
      </c>
      <c r="I61" s="5">
        <f t="shared" si="3"/>
        <v>1701</v>
      </c>
      <c r="J61">
        <f t="shared" si="2"/>
        <v>0.22924290246776868</v>
      </c>
      <c r="K61">
        <f t="shared" si="4"/>
        <v>-0.78067391610757564</v>
      </c>
    </row>
    <row r="62" spans="1:11" x14ac:dyDescent="0.25">
      <c r="A62" s="1"/>
      <c r="B62" t="s">
        <v>76</v>
      </c>
      <c r="C62" t="s">
        <v>24</v>
      </c>
      <c r="D62" s="3">
        <v>2.2083333333333335</v>
      </c>
      <c r="E62" s="5">
        <f t="shared" si="0"/>
        <v>1702</v>
      </c>
      <c r="F62">
        <v>0.25956000000000001</v>
      </c>
      <c r="G62">
        <f t="shared" si="1"/>
        <v>-0.57088000000000005</v>
      </c>
      <c r="H62">
        <f t="shared" si="1"/>
        <v>-0.30634749999999999</v>
      </c>
      <c r="I62" s="5">
        <f t="shared" si="3"/>
        <v>1702</v>
      </c>
      <c r="J62">
        <f t="shared" si="2"/>
        <v>4.482899458712436E-2</v>
      </c>
      <c r="K62">
        <f t="shared" si="4"/>
        <v>0.4357871059880028</v>
      </c>
    </row>
    <row r="63" spans="1:11" x14ac:dyDescent="0.25">
      <c r="A63" s="1"/>
      <c r="B63" t="s">
        <v>77</v>
      </c>
      <c r="C63" t="s">
        <v>24</v>
      </c>
      <c r="D63" s="3">
        <v>2.25</v>
      </c>
      <c r="E63" s="5">
        <f t="shared" si="0"/>
        <v>1703</v>
      </c>
      <c r="F63">
        <v>-0.71711999999999998</v>
      </c>
      <c r="G63">
        <f t="shared" si="1"/>
        <v>-0.47711999999999999</v>
      </c>
      <c r="H63">
        <f t="shared" si="1"/>
        <v>0.33949250000000003</v>
      </c>
      <c r="I63" s="5">
        <f t="shared" si="3"/>
        <v>1703</v>
      </c>
      <c r="J63">
        <f t="shared" si="2"/>
        <v>-0.36307663328594003</v>
      </c>
      <c r="K63">
        <f t="shared" si="4"/>
        <v>-6.0817100099797858E-3</v>
      </c>
    </row>
    <row r="64" spans="1:11" x14ac:dyDescent="0.25">
      <c r="A64" s="1"/>
      <c r="B64" t="s">
        <v>78</v>
      </c>
      <c r="C64" t="s">
        <v>24</v>
      </c>
      <c r="D64" s="3">
        <v>2.2916666666666665</v>
      </c>
      <c r="E64" s="5">
        <f t="shared" si="0"/>
        <v>1704</v>
      </c>
      <c r="F64">
        <v>-0.69467999999999996</v>
      </c>
      <c r="G64">
        <f t="shared" si="1"/>
        <v>0.10810500000000001</v>
      </c>
      <c r="H64">
        <f t="shared" si="1"/>
        <v>0.40402249999999995</v>
      </c>
      <c r="I64" s="5">
        <f t="shared" si="3"/>
        <v>1704</v>
      </c>
      <c r="J64">
        <f t="shared" si="2"/>
        <v>-0.15174121339801128</v>
      </c>
      <c r="K64">
        <f t="shared" si="4"/>
        <v>-0.42480738790689682</v>
      </c>
    </row>
    <row r="65" spans="1:11" x14ac:dyDescent="0.25">
      <c r="A65" s="1"/>
      <c r="B65" t="s">
        <v>79</v>
      </c>
      <c r="C65" t="s">
        <v>24</v>
      </c>
      <c r="D65" s="3">
        <v>2.3333333333333335</v>
      </c>
      <c r="E65" s="5">
        <f t="shared" si="0"/>
        <v>1705</v>
      </c>
      <c r="F65">
        <v>-0.50090999999999997</v>
      </c>
      <c r="G65">
        <f t="shared" si="1"/>
        <v>0.33092499999999997</v>
      </c>
      <c r="H65">
        <f t="shared" si="1"/>
        <v>-6.7299999999999999E-2</v>
      </c>
      <c r="I65" s="5">
        <f t="shared" si="3"/>
        <v>1705</v>
      </c>
      <c r="J65">
        <f t="shared" si="2"/>
        <v>-0.55409360700354282</v>
      </c>
      <c r="K65">
        <f t="shared" si="4"/>
        <v>0.77301491629360319</v>
      </c>
    </row>
    <row r="66" spans="1:11" x14ac:dyDescent="0.25">
      <c r="A66" s="1"/>
      <c r="B66" t="s">
        <v>80</v>
      </c>
      <c r="C66" t="s">
        <v>24</v>
      </c>
      <c r="D66" s="3">
        <v>2.375</v>
      </c>
      <c r="E66" s="5">
        <f t="shared" si="0"/>
        <v>1706</v>
      </c>
      <c r="F66">
        <v>-3.2829999999999998E-2</v>
      </c>
      <c r="G66">
        <f t="shared" si="1"/>
        <v>-2.6494999999999991E-2</v>
      </c>
      <c r="H66">
        <f t="shared" si="1"/>
        <v>-0.16788999999999998</v>
      </c>
      <c r="I66" s="5">
        <f t="shared" si="3"/>
        <v>1706</v>
      </c>
      <c r="J66">
        <f t="shared" si="2"/>
        <v>-0.21201748685970104</v>
      </c>
      <c r="K66">
        <f t="shared" si="4"/>
        <v>-0.97076817206463828</v>
      </c>
    </row>
    <row r="67" spans="1:11" x14ac:dyDescent="0.25">
      <c r="A67" s="1"/>
      <c r="B67" t="s">
        <v>81</v>
      </c>
      <c r="C67" t="s">
        <v>24</v>
      </c>
      <c r="D67" s="3">
        <v>2.4166666666666665</v>
      </c>
      <c r="E67" s="5">
        <f t="shared" si="0"/>
        <v>1707</v>
      </c>
      <c r="F67">
        <v>-0.55389999999999995</v>
      </c>
      <c r="G67">
        <f t="shared" si="1"/>
        <v>-4.8549999999999982E-3</v>
      </c>
      <c r="H67">
        <f t="shared" si="1"/>
        <v>1.7352499999999993E-2</v>
      </c>
      <c r="I67" s="5">
        <f t="shared" si="3"/>
        <v>1707</v>
      </c>
      <c r="J67">
        <f t="shared" si="2"/>
        <v>-0.86322576852424948</v>
      </c>
      <c r="K67">
        <f t="shared" si="4"/>
        <v>0.97957783033384516</v>
      </c>
    </row>
    <row r="68" spans="1:11" x14ac:dyDescent="0.25">
      <c r="A68" s="1"/>
      <c r="B68" t="s">
        <v>82</v>
      </c>
      <c r="C68" t="s">
        <v>24</v>
      </c>
      <c r="D68" s="3">
        <v>2.4583333333333335</v>
      </c>
      <c r="E68" s="5">
        <f t="shared" si="0"/>
        <v>1708</v>
      </c>
      <c r="F68">
        <v>-4.2540000000000001E-2</v>
      </c>
      <c r="G68">
        <f t="shared" si="1"/>
        <v>8.2099999999999951E-3</v>
      </c>
      <c r="H68">
        <f t="shared" si="1"/>
        <v>0.29358250000000002</v>
      </c>
      <c r="I68" s="5">
        <f t="shared" si="3"/>
        <v>1708</v>
      </c>
      <c r="J68">
        <f t="shared" si="2"/>
        <v>0.2300735922390352</v>
      </c>
      <c r="K68">
        <f t="shared" si="4"/>
        <v>-0.79772924019594338</v>
      </c>
    </row>
    <row r="69" spans="1:11" x14ac:dyDescent="0.25">
      <c r="A69" s="1"/>
      <c r="B69" t="s">
        <v>83</v>
      </c>
      <c r="C69" t="s">
        <v>24</v>
      </c>
      <c r="D69" s="3">
        <v>2.5</v>
      </c>
      <c r="E69" s="5">
        <f t="shared" si="0"/>
        <v>1709</v>
      </c>
      <c r="F69">
        <v>-0.53747999999999996</v>
      </c>
      <c r="G69">
        <f t="shared" si="1"/>
        <v>0.58230999999999999</v>
      </c>
      <c r="H69">
        <f t="shared" si="1"/>
        <v>0.18058500000000002</v>
      </c>
      <c r="I69" s="5">
        <f t="shared" si="3"/>
        <v>1709</v>
      </c>
      <c r="J69">
        <f t="shared" si="2"/>
        <v>-0.43142383872202339</v>
      </c>
      <c r="K69">
        <f t="shared" si="4"/>
        <v>0.46061615250559557</v>
      </c>
    </row>
    <row r="70" spans="1:11" x14ac:dyDescent="0.25">
      <c r="A70" s="1"/>
      <c r="B70" t="s">
        <v>84</v>
      </c>
      <c r="C70" t="s">
        <v>24</v>
      </c>
      <c r="D70" s="3">
        <v>2.5416666666666665</v>
      </c>
      <c r="E70" s="5">
        <f t="shared" si="0"/>
        <v>1710</v>
      </c>
      <c r="F70">
        <v>1.12208</v>
      </c>
      <c r="G70">
        <f t="shared" si="1"/>
        <v>0.36937999999999999</v>
      </c>
      <c r="H70">
        <f t="shared" si="1"/>
        <v>-0.44108749999999997</v>
      </c>
      <c r="I70" s="5">
        <f t="shared" si="3"/>
        <v>1710</v>
      </c>
      <c r="J70">
        <f t="shared" si="2"/>
        <v>0.49955626564453415</v>
      </c>
      <c r="K70">
        <f t="shared" si="4"/>
        <v>-3.3851925206949157E-2</v>
      </c>
    </row>
    <row r="71" spans="1:11" x14ac:dyDescent="0.25">
      <c r="A71" s="1"/>
      <c r="B71" t="s">
        <v>85</v>
      </c>
      <c r="C71" t="s">
        <v>24</v>
      </c>
      <c r="D71" s="3">
        <v>2.5833333333333335</v>
      </c>
      <c r="E71" s="5">
        <f t="shared" si="0"/>
        <v>1711</v>
      </c>
      <c r="F71">
        <v>0.20127999999999999</v>
      </c>
      <c r="G71">
        <f t="shared" si="1"/>
        <v>-0.29986499999999999</v>
      </c>
      <c r="H71">
        <f t="shared" si="1"/>
        <v>-0.10521749999999999</v>
      </c>
      <c r="I71" s="5">
        <f t="shared" si="3"/>
        <v>1711</v>
      </c>
      <c r="J71">
        <f t="shared" si="2"/>
        <v>6.7034075431904705E-2</v>
      </c>
      <c r="K71">
        <f t="shared" si="4"/>
        <v>-0.39950100649694198</v>
      </c>
    </row>
    <row r="72" spans="1:11" x14ac:dyDescent="0.25">
      <c r="A72" s="1"/>
      <c r="B72" t="s">
        <v>86</v>
      </c>
      <c r="C72" t="s">
        <v>24</v>
      </c>
      <c r="D72" s="3">
        <v>2.625</v>
      </c>
      <c r="E72" s="5">
        <f t="shared" si="0"/>
        <v>1712</v>
      </c>
      <c r="F72">
        <v>0.52234999999999998</v>
      </c>
      <c r="G72">
        <f t="shared" si="1"/>
        <v>0.158945</v>
      </c>
      <c r="H72">
        <f t="shared" si="1"/>
        <v>-6.6325000000000134E-3</v>
      </c>
      <c r="I72" s="5">
        <f t="shared" si="3"/>
        <v>1712</v>
      </c>
      <c r="J72">
        <f t="shared" si="2"/>
        <v>0.60751382708195156</v>
      </c>
      <c r="K72">
        <f t="shared" si="4"/>
        <v>0.75509782758047039</v>
      </c>
    </row>
    <row r="73" spans="1:11" x14ac:dyDescent="0.25">
      <c r="A73" s="1"/>
      <c r="B73" t="s">
        <v>87</v>
      </c>
      <c r="C73" t="s">
        <v>24</v>
      </c>
      <c r="D73" s="3">
        <v>2.6666666666666665</v>
      </c>
      <c r="E73" s="5">
        <f t="shared" si="0"/>
        <v>1713</v>
      </c>
      <c r="F73">
        <v>0.51917000000000002</v>
      </c>
      <c r="G73">
        <f t="shared" si="1"/>
        <v>-0.31313000000000002</v>
      </c>
      <c r="H73">
        <f t="shared" si="1"/>
        <v>-0.40476250000000003</v>
      </c>
      <c r="I73" s="5">
        <f t="shared" si="3"/>
        <v>1713</v>
      </c>
      <c r="J73">
        <f t="shared" si="2"/>
        <v>0.38282576942728275</v>
      </c>
      <c r="K73">
        <f t="shared" si="4"/>
        <v>-0.96372763417587448</v>
      </c>
    </row>
    <row r="74" spans="1:11" x14ac:dyDescent="0.25">
      <c r="A74" s="1"/>
      <c r="B74" t="s">
        <v>88</v>
      </c>
      <c r="C74" t="s">
        <v>24</v>
      </c>
      <c r="D74" s="3">
        <v>2.7083333333333335</v>
      </c>
      <c r="E74" s="5">
        <f t="shared" si="0"/>
        <v>1714</v>
      </c>
      <c r="F74">
        <v>-0.10391</v>
      </c>
      <c r="G74">
        <f t="shared" si="1"/>
        <v>-0.65058000000000005</v>
      </c>
      <c r="H74">
        <f t="shared" si="1"/>
        <v>-0.1164425</v>
      </c>
      <c r="I74" s="5">
        <f t="shared" si="3"/>
        <v>1714</v>
      </c>
      <c r="J74">
        <f t="shared" si="2"/>
        <v>-0.2805910147902001</v>
      </c>
      <c r="K74">
        <f t="shared" si="4"/>
        <v>0.9847841648311656</v>
      </c>
    </row>
    <row r="75" spans="1:11" x14ac:dyDescent="0.25">
      <c r="A75" s="1"/>
      <c r="B75" t="s">
        <v>89</v>
      </c>
      <c r="C75" t="s">
        <v>24</v>
      </c>
      <c r="D75" s="3">
        <v>2.75</v>
      </c>
      <c r="E75" s="5">
        <f t="shared" si="0"/>
        <v>1715</v>
      </c>
      <c r="F75">
        <v>-0.78198999999999996</v>
      </c>
      <c r="G75">
        <f t="shared" si="1"/>
        <v>-0.54601500000000003</v>
      </c>
      <c r="H75">
        <f t="shared" si="1"/>
        <v>0.38736999999999999</v>
      </c>
      <c r="I75" s="5">
        <f t="shared" si="3"/>
        <v>1715</v>
      </c>
      <c r="J75">
        <f t="shared" si="2"/>
        <v>-0.63605831165039728</v>
      </c>
      <c r="K75">
        <f t="shared" si="4"/>
        <v>-0.8141691221696955</v>
      </c>
    </row>
    <row r="76" spans="1:11" x14ac:dyDescent="0.25">
      <c r="A76" s="1"/>
      <c r="B76" t="s">
        <v>90</v>
      </c>
      <c r="C76" t="s">
        <v>24</v>
      </c>
      <c r="D76" s="3">
        <v>2.7916666666666665</v>
      </c>
      <c r="E76" s="5">
        <f t="shared" ref="E76:E139" si="5">+E75+1</f>
        <v>1716</v>
      </c>
      <c r="F76">
        <v>-1.19594</v>
      </c>
      <c r="G76">
        <f t="shared" ref="G76:H139" si="6">+(F77-F76)/2+(F76-F75)/2</f>
        <v>0.12415999999999999</v>
      </c>
      <c r="H76">
        <f t="shared" si="6"/>
        <v>0.81855499999999992</v>
      </c>
      <c r="I76" s="5">
        <f t="shared" si="3"/>
        <v>1716</v>
      </c>
      <c r="J76">
        <f t="shared" si="2"/>
        <v>-0.30828033729162785</v>
      </c>
      <c r="K76">
        <f t="shared" si="4"/>
        <v>0.48508983712375719</v>
      </c>
    </row>
    <row r="77" spans="1:11" x14ac:dyDescent="0.25">
      <c r="A77" s="1"/>
      <c r="B77" t="s">
        <v>91</v>
      </c>
      <c r="C77" t="s">
        <v>24</v>
      </c>
      <c r="D77" s="3">
        <v>2.8333333333333335</v>
      </c>
      <c r="E77" s="5">
        <f t="shared" si="5"/>
        <v>1717</v>
      </c>
      <c r="F77">
        <v>-0.53366999999999998</v>
      </c>
      <c r="G77">
        <f t="shared" si="6"/>
        <v>1.0910949999999999</v>
      </c>
      <c r="H77">
        <f t="shared" si="6"/>
        <v>0.24419499999999994</v>
      </c>
      <c r="I77" s="5">
        <f t="shared" ref="I77:I140" si="7">+E77</f>
        <v>1717</v>
      </c>
      <c r="J77">
        <f t="shared" ref="J77:J140" si="8">+$J$6*F77+F77*$J$7*COS(2*PI()*$I77/$J$8+$J$9)+H77</f>
        <v>-0.1839203835537192</v>
      </c>
      <c r="K77">
        <f t="shared" ref="K77:K140" si="9">+$K$8*COS(2*PI()*$I77/$K$6+$K$7)</f>
        <v>-6.1596023897101844E-2</v>
      </c>
    </row>
    <row r="78" spans="1:11" x14ac:dyDescent="0.25">
      <c r="A78" s="1"/>
      <c r="B78" t="s">
        <v>92</v>
      </c>
      <c r="C78" t="s">
        <v>24</v>
      </c>
      <c r="D78" s="3">
        <v>2.875</v>
      </c>
      <c r="E78" s="5">
        <f t="shared" si="5"/>
        <v>1718</v>
      </c>
      <c r="F78">
        <v>0.98624999999999996</v>
      </c>
      <c r="G78">
        <f t="shared" si="6"/>
        <v>0.61254999999999993</v>
      </c>
      <c r="H78">
        <f t="shared" si="6"/>
        <v>-0.63312499999999994</v>
      </c>
      <c r="I78" s="5">
        <f t="shared" si="7"/>
        <v>1718</v>
      </c>
      <c r="J78">
        <f t="shared" si="8"/>
        <v>0.36471997677393975</v>
      </c>
      <c r="K78">
        <f t="shared" si="9"/>
        <v>-0.3738864130617956</v>
      </c>
    </row>
    <row r="79" spans="1:11" x14ac:dyDescent="0.25">
      <c r="A79" s="1"/>
      <c r="B79" t="s">
        <v>93</v>
      </c>
      <c r="C79" t="s">
        <v>24</v>
      </c>
      <c r="D79" s="3">
        <v>2.9166666666666665</v>
      </c>
      <c r="E79" s="5">
        <f t="shared" si="5"/>
        <v>1719</v>
      </c>
      <c r="F79">
        <v>0.69142999999999999</v>
      </c>
      <c r="G79">
        <f t="shared" si="6"/>
        <v>-0.17515500000000001</v>
      </c>
      <c r="H79">
        <f t="shared" si="6"/>
        <v>-0.26818249999999993</v>
      </c>
      <c r="I79" s="5">
        <f t="shared" si="7"/>
        <v>1719</v>
      </c>
      <c r="J79">
        <f t="shared" si="8"/>
        <v>0.69063750567513016</v>
      </c>
      <c r="K79">
        <f t="shared" si="9"/>
        <v>0.73659818656714227</v>
      </c>
    </row>
    <row r="80" spans="1:11" x14ac:dyDescent="0.25">
      <c r="A80" s="1"/>
      <c r="B80" t="s">
        <v>94</v>
      </c>
      <c r="C80" t="s">
        <v>24</v>
      </c>
      <c r="D80" s="3">
        <v>2.9583333333333335</v>
      </c>
      <c r="E80" s="5">
        <f t="shared" si="5"/>
        <v>1720</v>
      </c>
      <c r="F80">
        <v>0.63593999999999995</v>
      </c>
      <c r="G80">
        <f t="shared" si="6"/>
        <v>7.6185000000000003E-2</v>
      </c>
      <c r="H80">
        <f t="shared" si="6"/>
        <v>7.6517500000000016E-2</v>
      </c>
      <c r="I80" s="5">
        <f t="shared" si="7"/>
        <v>1720</v>
      </c>
      <c r="J80">
        <f t="shared" si="8"/>
        <v>1.0924986535331083</v>
      </c>
      <c r="K80">
        <f t="shared" si="9"/>
        <v>-0.95594358765976872</v>
      </c>
    </row>
    <row r="81" spans="1:11" x14ac:dyDescent="0.25">
      <c r="A81" s="1"/>
      <c r="B81" t="s">
        <v>95</v>
      </c>
      <c r="C81" t="s">
        <v>24</v>
      </c>
      <c r="D81" s="3">
        <v>3</v>
      </c>
      <c r="E81" s="5">
        <f t="shared" si="5"/>
        <v>1721</v>
      </c>
      <c r="F81">
        <v>0.84379999999999999</v>
      </c>
      <c r="G81">
        <f t="shared" si="6"/>
        <v>-2.2119999999999973E-2</v>
      </c>
      <c r="H81">
        <f t="shared" si="6"/>
        <v>0.1032825</v>
      </c>
      <c r="I81" s="5">
        <f t="shared" si="7"/>
        <v>1721</v>
      </c>
      <c r="J81">
        <f t="shared" si="8"/>
        <v>1.3344699984037194</v>
      </c>
      <c r="K81">
        <f t="shared" si="9"/>
        <v>0.98923074574557768</v>
      </c>
    </row>
    <row r="82" spans="1:11" x14ac:dyDescent="0.25">
      <c r="A82" s="1"/>
      <c r="B82" t="s">
        <v>96</v>
      </c>
      <c r="C82" t="s">
        <v>24</v>
      </c>
      <c r="D82" s="3">
        <v>3.0416666666666665</v>
      </c>
      <c r="E82" s="5">
        <f t="shared" si="5"/>
        <v>1722</v>
      </c>
      <c r="F82">
        <v>0.5917</v>
      </c>
      <c r="G82">
        <f t="shared" si="6"/>
        <v>0.28275</v>
      </c>
      <c r="H82">
        <f t="shared" si="6"/>
        <v>-8.0887500000000001E-2</v>
      </c>
      <c r="I82" s="5">
        <f t="shared" si="7"/>
        <v>1722</v>
      </c>
      <c r="J82">
        <f t="shared" si="8"/>
        <v>0.56578833905520298</v>
      </c>
      <c r="K82">
        <f t="shared" si="9"/>
        <v>-0.82998087878400006</v>
      </c>
    </row>
    <row r="83" spans="1:11" x14ac:dyDescent="0.25">
      <c r="A83" s="1"/>
      <c r="B83" t="s">
        <v>97</v>
      </c>
      <c r="C83" t="s">
        <v>24</v>
      </c>
      <c r="D83" s="3">
        <v>3.0833333333333335</v>
      </c>
      <c r="E83" s="5">
        <f t="shared" si="5"/>
        <v>1723</v>
      </c>
      <c r="F83">
        <v>1.4093</v>
      </c>
      <c r="G83">
        <f t="shared" si="6"/>
        <v>-0.18389499999999998</v>
      </c>
      <c r="H83">
        <f t="shared" si="6"/>
        <v>-0.80070250000000009</v>
      </c>
      <c r="I83" s="5">
        <f t="shared" si="7"/>
        <v>1723</v>
      </c>
      <c r="J83">
        <f t="shared" si="8"/>
        <v>0.35608958935909851</v>
      </c>
      <c r="K83">
        <f t="shared" si="9"/>
        <v>0.5091892785771166</v>
      </c>
    </row>
    <row r="84" spans="1:11" x14ac:dyDescent="0.25">
      <c r="A84" s="1"/>
      <c r="B84" t="s">
        <v>98</v>
      </c>
      <c r="C84" t="s">
        <v>24</v>
      </c>
      <c r="D84" s="3">
        <v>3.125</v>
      </c>
      <c r="E84" s="5">
        <f t="shared" si="5"/>
        <v>1724</v>
      </c>
      <c r="F84">
        <v>0.22391</v>
      </c>
      <c r="G84">
        <f t="shared" si="6"/>
        <v>-1.3186550000000001</v>
      </c>
      <c r="H84">
        <f t="shared" si="6"/>
        <v>0.36774249999999997</v>
      </c>
      <c r="I84" s="5">
        <f t="shared" si="7"/>
        <v>1724</v>
      </c>
      <c r="J84">
        <f t="shared" si="8"/>
        <v>0.5652170736360298</v>
      </c>
      <c r="K84">
        <f t="shared" si="9"/>
        <v>-8.9292601718604675E-2</v>
      </c>
    </row>
    <row r="85" spans="1:11" x14ac:dyDescent="0.25">
      <c r="A85" s="1"/>
      <c r="B85" t="s">
        <v>99</v>
      </c>
      <c r="C85" t="s">
        <v>24</v>
      </c>
      <c r="D85" s="3">
        <v>3.1666666666666665</v>
      </c>
      <c r="E85" s="5">
        <f t="shared" si="5"/>
        <v>1725</v>
      </c>
      <c r="F85">
        <v>-1.22801</v>
      </c>
      <c r="G85">
        <f t="shared" si="6"/>
        <v>0.55159000000000014</v>
      </c>
      <c r="H85">
        <f t="shared" si="6"/>
        <v>1.2377550000000002</v>
      </c>
      <c r="I85" s="5">
        <f t="shared" si="7"/>
        <v>1725</v>
      </c>
      <c r="J85">
        <f t="shared" si="8"/>
        <v>-0.26353824269406356</v>
      </c>
      <c r="K85">
        <f t="shared" si="9"/>
        <v>-0.34798336906948191</v>
      </c>
    </row>
    <row r="86" spans="1:11" x14ac:dyDescent="0.25">
      <c r="A86" s="1"/>
      <c r="B86" t="s">
        <v>100</v>
      </c>
      <c r="C86" t="s">
        <v>24</v>
      </c>
      <c r="D86" s="3">
        <v>3.2083333333333335</v>
      </c>
      <c r="E86" s="5">
        <f t="shared" si="5"/>
        <v>1726</v>
      </c>
      <c r="F86">
        <v>1.3270900000000001</v>
      </c>
      <c r="G86">
        <f t="shared" si="6"/>
        <v>1.1568550000000002</v>
      </c>
      <c r="H86">
        <f t="shared" si="6"/>
        <v>-0.72834500000000002</v>
      </c>
      <c r="I86" s="5">
        <f t="shared" si="7"/>
        <v>1726</v>
      </c>
      <c r="J86">
        <f t="shared" si="8"/>
        <v>1.3198029828502107</v>
      </c>
      <c r="K86">
        <f t="shared" si="9"/>
        <v>0.71753026558885113</v>
      </c>
    </row>
    <row r="87" spans="1:11" x14ac:dyDescent="0.25">
      <c r="A87" s="1"/>
      <c r="B87" t="s">
        <v>101</v>
      </c>
      <c r="C87" t="s">
        <v>24</v>
      </c>
      <c r="D87" s="3">
        <v>3.25</v>
      </c>
      <c r="E87" s="5">
        <f t="shared" si="5"/>
        <v>1727</v>
      </c>
      <c r="F87">
        <v>1.0857000000000001</v>
      </c>
      <c r="G87">
        <f t="shared" si="6"/>
        <v>-0.90510000000000002</v>
      </c>
      <c r="H87">
        <f t="shared" si="6"/>
        <v>-0.99225750000000013</v>
      </c>
      <c r="I87" s="5">
        <f t="shared" si="7"/>
        <v>1727</v>
      </c>
      <c r="J87">
        <f t="shared" si="8"/>
        <v>0.7040719458250061</v>
      </c>
      <c r="K87">
        <f t="shared" si="9"/>
        <v>-0.94742203784920342</v>
      </c>
    </row>
    <row r="88" spans="1:11" x14ac:dyDescent="0.25">
      <c r="A88" s="1"/>
      <c r="B88" t="s">
        <v>102</v>
      </c>
      <c r="C88" t="s">
        <v>24</v>
      </c>
      <c r="D88" s="3">
        <v>3.2916666666666665</v>
      </c>
      <c r="E88" s="5">
        <f t="shared" si="5"/>
        <v>1728</v>
      </c>
      <c r="F88">
        <v>-0.48310999999999998</v>
      </c>
      <c r="G88">
        <f t="shared" si="6"/>
        <v>-0.82766000000000006</v>
      </c>
      <c r="H88">
        <f t="shared" si="6"/>
        <v>0.42260000000000003</v>
      </c>
      <c r="I88" s="5">
        <f t="shared" si="7"/>
        <v>1728</v>
      </c>
      <c r="J88">
        <f t="shared" si="8"/>
        <v>-0.18758714689279682</v>
      </c>
      <c r="K88">
        <f t="shared" si="9"/>
        <v>0.99291414257361199</v>
      </c>
    </row>
    <row r="89" spans="1:11" x14ac:dyDescent="0.25">
      <c r="A89" s="1"/>
      <c r="B89" t="s">
        <v>103</v>
      </c>
      <c r="C89" t="s">
        <v>24</v>
      </c>
      <c r="D89" s="3">
        <v>3.3333333333333335</v>
      </c>
      <c r="E89" s="5">
        <f t="shared" si="5"/>
        <v>1729</v>
      </c>
      <c r="F89">
        <v>-0.56962000000000002</v>
      </c>
      <c r="G89">
        <f t="shared" si="6"/>
        <v>-5.9899999999999981E-2</v>
      </c>
      <c r="H89">
        <f t="shared" si="6"/>
        <v>0.46302000000000004</v>
      </c>
      <c r="I89" s="5">
        <f t="shared" si="7"/>
        <v>1729</v>
      </c>
      <c r="J89">
        <f t="shared" si="8"/>
        <v>-5.4340056317238206E-2</v>
      </c>
      <c r="K89">
        <f t="shared" si="9"/>
        <v>-0.84515231138793701</v>
      </c>
    </row>
    <row r="90" spans="1:11" x14ac:dyDescent="0.25">
      <c r="A90" s="1"/>
      <c r="B90" t="s">
        <v>104</v>
      </c>
      <c r="C90" t="s">
        <v>24</v>
      </c>
      <c r="D90" s="3">
        <v>3.375</v>
      </c>
      <c r="E90" s="5">
        <f t="shared" si="5"/>
        <v>1730</v>
      </c>
      <c r="F90">
        <v>-0.60290999999999995</v>
      </c>
      <c r="G90">
        <f t="shared" si="6"/>
        <v>9.8379999999999995E-2</v>
      </c>
      <c r="H90">
        <f t="shared" si="6"/>
        <v>7.6242499999999977E-2</v>
      </c>
      <c r="I90" s="5">
        <f t="shared" si="7"/>
        <v>1730</v>
      </c>
      <c r="J90">
        <f t="shared" si="8"/>
        <v>-0.41201687116610619</v>
      </c>
      <c r="K90">
        <f t="shared" si="9"/>
        <v>0.53289588432927149</v>
      </c>
    </row>
    <row r="91" spans="1:11" x14ac:dyDescent="0.25">
      <c r="A91" s="1"/>
      <c r="B91" t="s">
        <v>105</v>
      </c>
      <c r="C91" t="s">
        <v>24</v>
      </c>
      <c r="D91" s="3">
        <v>3.4166666666666665</v>
      </c>
      <c r="E91" s="5">
        <f t="shared" si="5"/>
        <v>1731</v>
      </c>
      <c r="F91">
        <v>-0.37286000000000002</v>
      </c>
      <c r="G91">
        <f t="shared" si="6"/>
        <v>9.2584999999999973E-2</v>
      </c>
      <c r="H91">
        <f t="shared" si="6"/>
        <v>-0.33091000000000004</v>
      </c>
      <c r="I91" s="5">
        <f t="shared" si="7"/>
        <v>1731</v>
      </c>
      <c r="J91">
        <f t="shared" si="8"/>
        <v>-0.72400589907628254</v>
      </c>
      <c r="K91">
        <f t="shared" si="9"/>
        <v>-0.11692029096798857</v>
      </c>
    </row>
    <row r="92" spans="1:11" x14ac:dyDescent="0.25">
      <c r="A92" s="1"/>
      <c r="B92" t="s">
        <v>106</v>
      </c>
      <c r="C92" t="s">
        <v>24</v>
      </c>
      <c r="D92" s="3">
        <v>3.4583333333333335</v>
      </c>
      <c r="E92" s="5">
        <f t="shared" si="5"/>
        <v>1732</v>
      </c>
      <c r="F92">
        <v>-0.41774</v>
      </c>
      <c r="G92">
        <f t="shared" si="6"/>
        <v>-0.56344000000000005</v>
      </c>
      <c r="H92">
        <f t="shared" si="6"/>
        <v>7.5034999999999963E-2</v>
      </c>
      <c r="I92" s="5">
        <f t="shared" si="7"/>
        <v>1732</v>
      </c>
      <c r="J92">
        <f t="shared" si="8"/>
        <v>-0.52098107441399399</v>
      </c>
      <c r="K92">
        <f t="shared" si="9"/>
        <v>-0.32181185852209038</v>
      </c>
    </row>
    <row r="93" spans="1:11" x14ac:dyDescent="0.25">
      <c r="A93" s="1"/>
      <c r="B93" t="s">
        <v>107</v>
      </c>
      <c r="C93" t="s">
        <v>24</v>
      </c>
      <c r="D93" s="3">
        <v>3.5</v>
      </c>
      <c r="E93" s="5">
        <f t="shared" si="5"/>
        <v>1733</v>
      </c>
      <c r="F93">
        <v>-1.4997400000000001</v>
      </c>
      <c r="G93">
        <f t="shared" si="6"/>
        <v>0.24265499999999995</v>
      </c>
      <c r="H93">
        <f t="shared" si="6"/>
        <v>0.64579249999999999</v>
      </c>
      <c r="I93" s="5">
        <f t="shared" si="7"/>
        <v>1733</v>
      </c>
      <c r="J93">
        <f t="shared" si="8"/>
        <v>-1.7537741694407105</v>
      </c>
      <c r="K93">
        <f t="shared" si="9"/>
        <v>0.69790877540274421</v>
      </c>
    </row>
    <row r="94" spans="1:11" x14ac:dyDescent="0.25">
      <c r="A94" s="1"/>
      <c r="B94" t="s">
        <v>108</v>
      </c>
      <c r="C94" t="s">
        <v>24</v>
      </c>
      <c r="D94" s="3">
        <v>3.5416666666666665</v>
      </c>
      <c r="E94" s="5">
        <f t="shared" si="5"/>
        <v>1734</v>
      </c>
      <c r="F94">
        <v>6.7570000000000005E-2</v>
      </c>
      <c r="G94">
        <f t="shared" si="6"/>
        <v>0.72814500000000004</v>
      </c>
      <c r="H94">
        <f t="shared" si="6"/>
        <v>-7.6527499999999971E-2</v>
      </c>
      <c r="I94" s="5">
        <f t="shared" si="7"/>
        <v>1734</v>
      </c>
      <c r="J94">
        <f t="shared" si="8"/>
        <v>1.9538648855952967E-2</v>
      </c>
      <c r="K94">
        <f t="shared" si="9"/>
        <v>-0.93816955905637767</v>
      </c>
    </row>
    <row r="95" spans="1:11" x14ac:dyDescent="0.25">
      <c r="A95" s="1"/>
      <c r="B95" t="s">
        <v>109</v>
      </c>
      <c r="C95" t="s">
        <v>24</v>
      </c>
      <c r="D95" s="3">
        <v>3.5833333333333335</v>
      </c>
      <c r="E95" s="5">
        <f t="shared" si="5"/>
        <v>1735</v>
      </c>
      <c r="F95">
        <v>-4.3450000000000003E-2</v>
      </c>
      <c r="G95">
        <f t="shared" si="6"/>
        <v>8.9599999999999985E-2</v>
      </c>
      <c r="H95">
        <f t="shared" si="6"/>
        <v>-0.12242750000000002</v>
      </c>
      <c r="I95" s="5">
        <f t="shared" si="7"/>
        <v>1735</v>
      </c>
      <c r="J95">
        <f t="shared" si="8"/>
        <v>-0.16799030404806645</v>
      </c>
      <c r="K95">
        <f t="shared" si="9"/>
        <v>0.99583151360205424</v>
      </c>
    </row>
    <row r="96" spans="1:11" x14ac:dyDescent="0.25">
      <c r="A96" s="1"/>
      <c r="B96" t="s">
        <v>110</v>
      </c>
      <c r="C96" t="s">
        <v>24</v>
      </c>
      <c r="D96" s="3">
        <v>3.625</v>
      </c>
      <c r="E96" s="5">
        <f t="shared" si="5"/>
        <v>1736</v>
      </c>
      <c r="F96">
        <v>0.24676999999999999</v>
      </c>
      <c r="G96">
        <f t="shared" si="6"/>
        <v>0.48329</v>
      </c>
      <c r="H96">
        <f t="shared" si="6"/>
        <v>0.17308750000000001</v>
      </c>
      <c r="I96" s="5">
        <f t="shared" si="7"/>
        <v>1736</v>
      </c>
      <c r="J96">
        <f t="shared" si="8"/>
        <v>0.3726115758308613</v>
      </c>
      <c r="K96">
        <f t="shared" si="9"/>
        <v>-0.85967171533426923</v>
      </c>
    </row>
    <row r="97" spans="1:11" x14ac:dyDescent="0.25">
      <c r="A97" s="1"/>
      <c r="B97" t="s">
        <v>111</v>
      </c>
      <c r="C97" t="s">
        <v>24</v>
      </c>
      <c r="D97" s="3">
        <v>3.6666666666666665</v>
      </c>
      <c r="E97" s="5">
        <f t="shared" si="5"/>
        <v>1737</v>
      </c>
      <c r="F97">
        <v>0.92313000000000001</v>
      </c>
      <c r="G97">
        <f t="shared" si="6"/>
        <v>0.43577500000000002</v>
      </c>
      <c r="H97">
        <f t="shared" si="6"/>
        <v>-0.6374725</v>
      </c>
      <c r="I97" s="5">
        <f t="shared" si="7"/>
        <v>1737</v>
      </c>
      <c r="J97">
        <f t="shared" si="8"/>
        <v>0.20483603333694878</v>
      </c>
      <c r="K97">
        <f t="shared" si="9"/>
        <v>0.55619136491048182</v>
      </c>
    </row>
    <row r="98" spans="1:11" x14ac:dyDescent="0.25">
      <c r="A98" s="1"/>
      <c r="B98" t="s">
        <v>112</v>
      </c>
      <c r="C98" t="s">
        <v>24</v>
      </c>
      <c r="D98" s="3">
        <v>3.7083333333333335</v>
      </c>
      <c r="E98" s="5">
        <f t="shared" si="5"/>
        <v>1738</v>
      </c>
      <c r="F98">
        <v>1.11832</v>
      </c>
      <c r="G98">
        <f t="shared" si="6"/>
        <v>-0.791655</v>
      </c>
      <c r="H98">
        <f t="shared" si="6"/>
        <v>-0.49737750000000003</v>
      </c>
      <c r="I98" s="5">
        <f t="shared" si="7"/>
        <v>1738</v>
      </c>
      <c r="J98">
        <f t="shared" si="8"/>
        <v>0.92181224730268951</v>
      </c>
      <c r="K98">
        <f t="shared" si="9"/>
        <v>-0.14445777709242152</v>
      </c>
    </row>
    <row r="99" spans="1:11" x14ac:dyDescent="0.25">
      <c r="A99" s="1"/>
      <c r="B99" t="s">
        <v>113</v>
      </c>
      <c r="C99" t="s">
        <v>24</v>
      </c>
      <c r="D99" s="3">
        <v>3.75</v>
      </c>
      <c r="E99" s="5">
        <f t="shared" si="5"/>
        <v>1739</v>
      </c>
      <c r="F99">
        <v>-0.66017999999999999</v>
      </c>
      <c r="G99">
        <f t="shared" si="6"/>
        <v>-0.55898000000000003</v>
      </c>
      <c r="H99">
        <f t="shared" si="6"/>
        <v>0.61697000000000002</v>
      </c>
      <c r="I99" s="5">
        <f t="shared" si="7"/>
        <v>1739</v>
      </c>
      <c r="J99">
        <f t="shared" si="8"/>
        <v>-0.41618547367961889</v>
      </c>
      <c r="K99">
        <f t="shared" si="9"/>
        <v>-0.29539207254504879</v>
      </c>
    </row>
    <row r="100" spans="1:11" x14ac:dyDescent="0.25">
      <c r="A100" s="1"/>
      <c r="B100" t="s">
        <v>114</v>
      </c>
      <c r="C100" t="s">
        <v>24</v>
      </c>
      <c r="D100" s="3">
        <v>3.7916666666666665</v>
      </c>
      <c r="E100" s="5">
        <f t="shared" si="5"/>
        <v>1740</v>
      </c>
      <c r="F100">
        <v>3.6000000000000002E-4</v>
      </c>
      <c r="G100">
        <f t="shared" si="6"/>
        <v>0.44228500000000004</v>
      </c>
      <c r="H100">
        <f t="shared" si="6"/>
        <v>-0.12060249999999995</v>
      </c>
      <c r="I100" s="5">
        <f t="shared" si="7"/>
        <v>1740</v>
      </c>
      <c r="J100">
        <f t="shared" si="8"/>
        <v>-0.12004803588002724</v>
      </c>
      <c r="K100">
        <f t="shared" si="9"/>
        <v>0.67774885384037997</v>
      </c>
    </row>
    <row r="101" spans="1:11" x14ac:dyDescent="0.25">
      <c r="A101" s="1"/>
      <c r="B101" t="s">
        <v>115</v>
      </c>
      <c r="C101" t="s">
        <v>24</v>
      </c>
      <c r="D101" s="3">
        <v>3.8333333333333335</v>
      </c>
      <c r="E101" s="5">
        <f t="shared" si="5"/>
        <v>1741</v>
      </c>
      <c r="F101">
        <v>0.22439000000000001</v>
      </c>
      <c r="G101">
        <f t="shared" si="6"/>
        <v>-0.80018500000000004</v>
      </c>
      <c r="H101">
        <f t="shared" si="6"/>
        <v>-0.40549499999999999</v>
      </c>
      <c r="I101" s="5">
        <f t="shared" si="7"/>
        <v>1741</v>
      </c>
      <c r="J101">
        <f t="shared" si="8"/>
        <v>-0.13253177981828296</v>
      </c>
      <c r="K101">
        <f t="shared" si="9"/>
        <v>-0.9281932894985444</v>
      </c>
    </row>
    <row r="102" spans="1:11" x14ac:dyDescent="0.25">
      <c r="A102" s="1"/>
      <c r="B102" t="s">
        <v>116</v>
      </c>
      <c r="C102" t="s">
        <v>24</v>
      </c>
      <c r="D102" s="3">
        <v>3.875</v>
      </c>
      <c r="E102" s="5">
        <f t="shared" si="5"/>
        <v>1742</v>
      </c>
      <c r="F102">
        <v>-1.6000099999999999</v>
      </c>
      <c r="G102">
        <f t="shared" si="6"/>
        <v>-0.36870500000000006</v>
      </c>
      <c r="H102">
        <f t="shared" si="6"/>
        <v>0.86568500000000004</v>
      </c>
      <c r="I102" s="5">
        <f t="shared" si="7"/>
        <v>1742</v>
      </c>
      <c r="J102">
        <f t="shared" si="8"/>
        <v>-0.53958238710376838</v>
      </c>
      <c r="K102">
        <f t="shared" si="9"/>
        <v>0.99798060810127043</v>
      </c>
    </row>
    <row r="103" spans="1:11" x14ac:dyDescent="0.25">
      <c r="A103" s="1"/>
      <c r="B103" t="s">
        <v>117</v>
      </c>
      <c r="C103" t="s">
        <v>24</v>
      </c>
      <c r="D103" s="3">
        <v>3.9166666666666665</v>
      </c>
      <c r="E103" s="5">
        <f t="shared" si="5"/>
        <v>1743</v>
      </c>
      <c r="F103">
        <v>-0.51302000000000003</v>
      </c>
      <c r="G103">
        <f t="shared" si="6"/>
        <v>0.93118499999999993</v>
      </c>
      <c r="H103">
        <f t="shared" si="6"/>
        <v>0.59630249999999996</v>
      </c>
      <c r="I103" s="5">
        <f t="shared" si="7"/>
        <v>1743</v>
      </c>
      <c r="J103">
        <f t="shared" si="8"/>
        <v>0.17418563955523025</v>
      </c>
      <c r="K103">
        <f t="shared" si="9"/>
        <v>-0.87352788901291212</v>
      </c>
    </row>
    <row r="104" spans="1:11" x14ac:dyDescent="0.25">
      <c r="A104" s="1"/>
      <c r="B104" t="s">
        <v>118</v>
      </c>
      <c r="C104" t="s">
        <v>24</v>
      </c>
      <c r="D104" s="3">
        <v>3.9583333333333335</v>
      </c>
      <c r="E104" s="5">
        <f t="shared" si="5"/>
        <v>1744</v>
      </c>
      <c r="F104">
        <v>0.26235999999999998</v>
      </c>
      <c r="G104">
        <f t="shared" si="6"/>
        <v>0.82389999999999997</v>
      </c>
      <c r="H104">
        <f t="shared" si="6"/>
        <v>-0.13663749999999997</v>
      </c>
      <c r="I104" s="5">
        <f t="shared" si="7"/>
        <v>1744</v>
      </c>
      <c r="J104">
        <f t="shared" si="8"/>
        <v>0.15163916563789598</v>
      </c>
      <c r="K104">
        <f t="shared" si="9"/>
        <v>0.57905774803332244</v>
      </c>
    </row>
    <row r="105" spans="1:11" x14ac:dyDescent="0.25">
      <c r="A105" s="1"/>
      <c r="B105" t="s">
        <v>119</v>
      </c>
      <c r="C105" t="s">
        <v>24</v>
      </c>
      <c r="D105" s="3">
        <v>4</v>
      </c>
      <c r="E105" s="5">
        <f t="shared" si="5"/>
        <v>1745</v>
      </c>
      <c r="F105">
        <v>1.1347799999999999</v>
      </c>
      <c r="G105">
        <f t="shared" si="6"/>
        <v>0.65790999999999999</v>
      </c>
      <c r="H105">
        <f t="shared" si="6"/>
        <v>-0.24419999999999997</v>
      </c>
      <c r="I105" s="5">
        <f t="shared" si="7"/>
        <v>1745</v>
      </c>
      <c r="J105">
        <f t="shared" si="8"/>
        <v>1.4167791164452586</v>
      </c>
      <c r="K105">
        <f t="shared" si="9"/>
        <v>-0.17188381512649362</v>
      </c>
    </row>
    <row r="106" spans="1:11" x14ac:dyDescent="0.25">
      <c r="A106" s="1"/>
      <c r="B106" t="s">
        <v>120</v>
      </c>
      <c r="C106" t="s">
        <v>24</v>
      </c>
      <c r="D106" s="3">
        <v>4.041666666666667</v>
      </c>
      <c r="E106" s="5">
        <f t="shared" si="5"/>
        <v>1746</v>
      </c>
      <c r="F106">
        <v>1.5781799999999999</v>
      </c>
      <c r="G106">
        <f t="shared" si="6"/>
        <v>0.33550000000000002</v>
      </c>
      <c r="H106">
        <f t="shared" si="6"/>
        <v>-0.97245500000000007</v>
      </c>
      <c r="I106" s="5">
        <f t="shared" si="7"/>
        <v>1746</v>
      </c>
      <c r="J106">
        <f t="shared" si="8"/>
        <v>1.5477328196986813</v>
      </c>
      <c r="K106">
        <f t="shared" si="9"/>
        <v>-0.26874439380297066</v>
      </c>
    </row>
    <row r="107" spans="1:11" x14ac:dyDescent="0.25">
      <c r="A107" s="1"/>
      <c r="B107" t="s">
        <v>121</v>
      </c>
      <c r="C107" t="s">
        <v>24</v>
      </c>
      <c r="D107" s="3">
        <v>4.083333333333333</v>
      </c>
      <c r="E107" s="5">
        <f t="shared" si="5"/>
        <v>1747</v>
      </c>
      <c r="F107">
        <v>1.8057799999999999</v>
      </c>
      <c r="G107">
        <f t="shared" si="6"/>
        <v>-1.2869999999999999</v>
      </c>
      <c r="H107">
        <f t="shared" si="6"/>
        <v>-0.34513500000000008</v>
      </c>
      <c r="I107" s="5">
        <f t="shared" si="7"/>
        <v>1747</v>
      </c>
      <c r="J107">
        <f t="shared" si="8"/>
        <v>2.1492270409685768</v>
      </c>
      <c r="K107">
        <f t="shared" si="9"/>
        <v>0.65706605413106645</v>
      </c>
    </row>
    <row r="108" spans="1:11" x14ac:dyDescent="0.25">
      <c r="A108" s="1"/>
      <c r="B108" t="s">
        <v>122</v>
      </c>
      <c r="C108" t="s">
        <v>24</v>
      </c>
      <c r="D108" s="3">
        <v>4.125</v>
      </c>
      <c r="E108" s="5">
        <f t="shared" si="5"/>
        <v>1748</v>
      </c>
      <c r="F108">
        <v>-0.99582000000000004</v>
      </c>
      <c r="G108">
        <f t="shared" si="6"/>
        <v>-0.35477000000000003</v>
      </c>
      <c r="H108">
        <f t="shared" si="6"/>
        <v>1.0721075</v>
      </c>
      <c r="I108" s="5">
        <f t="shared" si="7"/>
        <v>1748</v>
      </c>
      <c r="J108">
        <f t="shared" si="8"/>
        <v>6.9901231514956308E-2</v>
      </c>
      <c r="K108">
        <f t="shared" si="9"/>
        <v>-0.91750092579335119</v>
      </c>
    </row>
    <row r="109" spans="1:11" x14ac:dyDescent="0.25">
      <c r="A109" s="1"/>
      <c r="B109" t="s">
        <v>123</v>
      </c>
      <c r="C109" t="s">
        <v>24</v>
      </c>
      <c r="D109" s="3">
        <v>4.166666666666667</v>
      </c>
      <c r="E109" s="5">
        <f t="shared" si="5"/>
        <v>1749</v>
      </c>
      <c r="F109">
        <v>1.0962400000000001</v>
      </c>
      <c r="G109">
        <f t="shared" si="6"/>
        <v>0.85721499999999995</v>
      </c>
      <c r="H109">
        <f t="shared" si="6"/>
        <v>-2.5010000000000088E-2</v>
      </c>
      <c r="I109" s="5">
        <f t="shared" si="7"/>
        <v>1749</v>
      </c>
      <c r="J109">
        <f t="shared" si="8"/>
        <v>0.85375528204544759</v>
      </c>
      <c r="K109">
        <f t="shared" si="9"/>
        <v>0.99935976806086368</v>
      </c>
    </row>
    <row r="110" spans="1:11" x14ac:dyDescent="0.25">
      <c r="A110" s="1"/>
      <c r="B110" t="s">
        <v>124</v>
      </c>
      <c r="C110" t="s">
        <v>24</v>
      </c>
      <c r="D110" s="3">
        <v>4.208333333333333</v>
      </c>
      <c r="E110" s="5">
        <f t="shared" si="5"/>
        <v>1750</v>
      </c>
      <c r="F110">
        <v>0.71860999999999997</v>
      </c>
      <c r="G110">
        <f t="shared" si="6"/>
        <v>-0.40479000000000004</v>
      </c>
      <c r="H110">
        <f t="shared" si="6"/>
        <v>-1.0793425000000001</v>
      </c>
      <c r="I110" s="5">
        <f t="shared" si="7"/>
        <v>1750</v>
      </c>
      <c r="J110">
        <f t="shared" si="8"/>
        <v>-0.39889308749619945</v>
      </c>
      <c r="K110">
        <f t="shared" si="9"/>
        <v>-0.88671014248909164</v>
      </c>
    </row>
    <row r="111" spans="1:11" x14ac:dyDescent="0.25">
      <c r="A111" s="1"/>
      <c r="B111" t="s">
        <v>125</v>
      </c>
      <c r="C111" t="s">
        <v>24</v>
      </c>
      <c r="D111" s="3">
        <v>4.25</v>
      </c>
      <c r="E111" s="5">
        <f t="shared" si="5"/>
        <v>1751</v>
      </c>
      <c r="F111">
        <v>0.28666000000000003</v>
      </c>
      <c r="G111">
        <f t="shared" si="6"/>
        <v>-1.3014700000000001</v>
      </c>
      <c r="H111">
        <f t="shared" si="6"/>
        <v>-0.15743500000000005</v>
      </c>
      <c r="I111" s="5">
        <f t="shared" si="7"/>
        <v>1751</v>
      </c>
      <c r="J111">
        <f t="shared" si="8"/>
        <v>0.2194047220625755</v>
      </c>
      <c r="K111">
        <f t="shared" si="9"/>
        <v>0.60147739245577669</v>
      </c>
    </row>
    <row r="112" spans="1:11" x14ac:dyDescent="0.25">
      <c r="A112" s="1"/>
      <c r="B112" t="s">
        <v>126</v>
      </c>
      <c r="C112" t="s">
        <v>24</v>
      </c>
      <c r="D112" s="3">
        <v>4.291666666666667</v>
      </c>
      <c r="E112" s="5">
        <f t="shared" si="5"/>
        <v>1752</v>
      </c>
      <c r="F112">
        <v>-1.8843300000000001</v>
      </c>
      <c r="G112">
        <f t="shared" si="6"/>
        <v>-0.71966000000000008</v>
      </c>
      <c r="H112">
        <f t="shared" si="6"/>
        <v>0.93700749999999999</v>
      </c>
      <c r="I112" s="5">
        <f t="shared" si="7"/>
        <v>1752</v>
      </c>
      <c r="J112">
        <f t="shared" si="8"/>
        <v>-2.0432224292346262</v>
      </c>
      <c r="K112">
        <f t="shared" si="9"/>
        <v>-0.19917724608975687</v>
      </c>
    </row>
    <row r="113" spans="1:11" x14ac:dyDescent="0.25">
      <c r="A113" s="1"/>
      <c r="B113" t="s">
        <v>127</v>
      </c>
      <c r="C113" t="s">
        <v>24</v>
      </c>
      <c r="D113" s="3">
        <v>4.333333333333333</v>
      </c>
      <c r="E113" s="5">
        <f t="shared" si="5"/>
        <v>1753</v>
      </c>
      <c r="F113">
        <v>-1.15266</v>
      </c>
      <c r="G113">
        <f t="shared" si="6"/>
        <v>0.57254500000000008</v>
      </c>
      <c r="H113">
        <f t="shared" si="6"/>
        <v>0.38495750000000001</v>
      </c>
      <c r="I113" s="5">
        <f t="shared" si="7"/>
        <v>1753</v>
      </c>
      <c r="J113">
        <f t="shared" si="8"/>
        <v>-1.3593275828911133</v>
      </c>
      <c r="K113">
        <f t="shared" si="9"/>
        <v>-0.24188938078149891</v>
      </c>
    </row>
    <row r="114" spans="1:11" x14ac:dyDescent="0.25">
      <c r="A114" s="1"/>
      <c r="B114" t="s">
        <v>128</v>
      </c>
      <c r="C114" t="s">
        <v>24</v>
      </c>
      <c r="D114" s="3">
        <v>4.375</v>
      </c>
      <c r="E114" s="5">
        <f t="shared" si="5"/>
        <v>1754</v>
      </c>
      <c r="F114">
        <v>-0.73924000000000001</v>
      </c>
      <c r="G114">
        <f t="shared" si="6"/>
        <v>5.025500000000005E-2</v>
      </c>
      <c r="H114">
        <f t="shared" si="6"/>
        <v>-0.15418500000000004</v>
      </c>
      <c r="I114" s="5">
        <f t="shared" si="7"/>
        <v>1754</v>
      </c>
      <c r="J114">
        <f t="shared" si="8"/>
        <v>-1.0188521799244099</v>
      </c>
      <c r="K114">
        <f t="shared" si="9"/>
        <v>0.63587633289799927</v>
      </c>
    </row>
    <row r="115" spans="1:11" x14ac:dyDescent="0.25">
      <c r="A115" s="1"/>
      <c r="B115" t="s">
        <v>129</v>
      </c>
      <c r="C115" t="s">
        <v>24</v>
      </c>
      <c r="D115" s="3">
        <v>4.416666666666667</v>
      </c>
      <c r="E115" s="5">
        <f t="shared" si="5"/>
        <v>1755</v>
      </c>
      <c r="F115">
        <v>-1.0521499999999999</v>
      </c>
      <c r="G115">
        <f t="shared" si="6"/>
        <v>0.26417499999999999</v>
      </c>
      <c r="H115">
        <f t="shared" si="6"/>
        <v>-0.18710500000000005</v>
      </c>
      <c r="I115" s="5">
        <f t="shared" si="7"/>
        <v>1755</v>
      </c>
      <c r="J115">
        <f t="shared" si="8"/>
        <v>-1.0842978231400571</v>
      </c>
      <c r="K115">
        <f t="shared" si="9"/>
        <v>-0.90610071701873107</v>
      </c>
    </row>
    <row r="116" spans="1:11" x14ac:dyDescent="0.25">
      <c r="A116" s="1"/>
      <c r="B116" t="s">
        <v>130</v>
      </c>
      <c r="C116" t="s">
        <v>24</v>
      </c>
      <c r="D116" s="3">
        <v>4.458333333333333</v>
      </c>
      <c r="E116" s="5">
        <f t="shared" si="5"/>
        <v>1756</v>
      </c>
      <c r="F116">
        <v>-0.21088999999999999</v>
      </c>
      <c r="G116">
        <f t="shared" si="6"/>
        <v>-0.32395499999999999</v>
      </c>
      <c r="H116">
        <f t="shared" si="6"/>
        <v>-0.2356375</v>
      </c>
      <c r="I116" s="5">
        <f t="shared" si="7"/>
        <v>1756</v>
      </c>
      <c r="J116">
        <f t="shared" si="8"/>
        <v>-0.4129837737649405</v>
      </c>
      <c r="K116">
        <f t="shared" si="9"/>
        <v>0.9999679294693794</v>
      </c>
    </row>
    <row r="117" spans="1:11" x14ac:dyDescent="0.25">
      <c r="A117" s="1"/>
      <c r="B117" t="s">
        <v>131</v>
      </c>
      <c r="C117" t="s">
        <v>24</v>
      </c>
      <c r="D117" s="3">
        <v>4.5</v>
      </c>
      <c r="E117" s="5">
        <f t="shared" si="5"/>
        <v>1757</v>
      </c>
      <c r="F117">
        <v>-1.7000599999999999</v>
      </c>
      <c r="G117">
        <f t="shared" si="6"/>
        <v>-0.20709999999999995</v>
      </c>
      <c r="H117">
        <f t="shared" si="6"/>
        <v>0.69219249999999999</v>
      </c>
      <c r="I117" s="5">
        <f t="shared" si="7"/>
        <v>1757</v>
      </c>
      <c r="J117">
        <f t="shared" si="8"/>
        <v>-1.2538311488165732</v>
      </c>
      <c r="K117">
        <f t="shared" si="9"/>
        <v>-0.89920830575417521</v>
      </c>
    </row>
    <row r="118" spans="1:11" x14ac:dyDescent="0.25">
      <c r="A118" s="1"/>
      <c r="B118" t="s">
        <v>132</v>
      </c>
      <c r="C118" t="s">
        <v>24</v>
      </c>
      <c r="D118" s="3">
        <v>4.541666666666667</v>
      </c>
      <c r="E118" s="5">
        <f t="shared" si="5"/>
        <v>1758</v>
      </c>
      <c r="F118">
        <v>-0.62509000000000003</v>
      </c>
      <c r="G118">
        <f t="shared" si="6"/>
        <v>1.06043</v>
      </c>
      <c r="H118">
        <f t="shared" si="6"/>
        <v>0.27318249999999988</v>
      </c>
      <c r="I118" s="5">
        <f t="shared" si="7"/>
        <v>1758</v>
      </c>
      <c r="J118">
        <f t="shared" si="8"/>
        <v>-0.6625954458923724</v>
      </c>
      <c r="K118">
        <f t="shared" si="9"/>
        <v>0.62343300158918336</v>
      </c>
    </row>
    <row r="119" spans="1:11" x14ac:dyDescent="0.25">
      <c r="A119" s="1"/>
      <c r="B119" t="s">
        <v>133</v>
      </c>
      <c r="C119" t="s">
        <v>24</v>
      </c>
      <c r="D119" s="3">
        <v>4.583333333333333</v>
      </c>
      <c r="E119" s="5">
        <f t="shared" si="5"/>
        <v>1759</v>
      </c>
      <c r="F119">
        <v>0.42080000000000001</v>
      </c>
      <c r="G119">
        <f t="shared" si="6"/>
        <v>0.33926499999999998</v>
      </c>
      <c r="H119">
        <f t="shared" si="6"/>
        <v>-0.84294750000000007</v>
      </c>
      <c r="I119" s="5">
        <f t="shared" si="7"/>
        <v>1759</v>
      </c>
      <c r="J119">
        <f t="shared" si="8"/>
        <v>-0.17456245071604648</v>
      </c>
      <c r="K119">
        <f t="shared" si="9"/>
        <v>-0.2263170133035402</v>
      </c>
    </row>
    <row r="120" spans="1:11" x14ac:dyDescent="0.25">
      <c r="A120" s="1"/>
      <c r="B120" t="s">
        <v>134</v>
      </c>
      <c r="C120" t="s">
        <v>24</v>
      </c>
      <c r="D120" s="3">
        <v>4.625</v>
      </c>
      <c r="E120" s="5">
        <f t="shared" si="5"/>
        <v>1760</v>
      </c>
      <c r="F120">
        <v>5.3440000000000001E-2</v>
      </c>
      <c r="G120">
        <f t="shared" si="6"/>
        <v>-0.62546500000000005</v>
      </c>
      <c r="H120">
        <f t="shared" si="6"/>
        <v>-4.8137500000000055E-2</v>
      </c>
      <c r="I120" s="5">
        <f t="shared" si="7"/>
        <v>1760</v>
      </c>
      <c r="J120">
        <f t="shared" si="8"/>
        <v>2.3388296984484844E-2</v>
      </c>
      <c r="K120">
        <f t="shared" si="9"/>
        <v>-0.21484775191961278</v>
      </c>
    </row>
    <row r="121" spans="1:11" x14ac:dyDescent="0.25">
      <c r="A121" s="1"/>
      <c r="B121" t="s">
        <v>135</v>
      </c>
      <c r="C121" t="s">
        <v>24</v>
      </c>
      <c r="D121" s="3">
        <v>4.666666666666667</v>
      </c>
      <c r="E121" s="5">
        <f t="shared" si="5"/>
        <v>1761</v>
      </c>
      <c r="F121">
        <v>-0.83013000000000003</v>
      </c>
      <c r="G121">
        <f t="shared" si="6"/>
        <v>0.24298999999999998</v>
      </c>
      <c r="H121">
        <f t="shared" si="6"/>
        <v>0.32718749999999996</v>
      </c>
      <c r="I121" s="5">
        <f t="shared" si="7"/>
        <v>1761</v>
      </c>
      <c r="J121">
        <f t="shared" si="8"/>
        <v>-0.47542416025326595</v>
      </c>
      <c r="K121">
        <f t="shared" si="9"/>
        <v>0.61419603785326105</v>
      </c>
    </row>
    <row r="122" spans="1:11" x14ac:dyDescent="0.25">
      <c r="A122" s="1"/>
      <c r="B122" t="s">
        <v>136</v>
      </c>
      <c r="C122" t="s">
        <v>24</v>
      </c>
      <c r="D122" s="3">
        <v>4.708333333333333</v>
      </c>
      <c r="E122" s="5">
        <f t="shared" si="5"/>
        <v>1762</v>
      </c>
      <c r="F122">
        <v>0.53942000000000001</v>
      </c>
      <c r="G122">
        <f t="shared" si="6"/>
        <v>2.8909999999999991E-2</v>
      </c>
      <c r="H122">
        <f t="shared" si="6"/>
        <v>-0.27215500000000004</v>
      </c>
      <c r="I122" s="5">
        <f t="shared" si="7"/>
        <v>1762</v>
      </c>
      <c r="J122">
        <f t="shared" si="8"/>
        <v>0.15946030949459283</v>
      </c>
      <c r="K122">
        <f t="shared" si="9"/>
        <v>-0.89400145834967593</v>
      </c>
    </row>
    <row r="123" spans="1:11" x14ac:dyDescent="0.25">
      <c r="A123" s="1"/>
      <c r="B123" t="s">
        <v>137</v>
      </c>
      <c r="C123" t="s">
        <v>24</v>
      </c>
      <c r="D123" s="3">
        <v>4.75</v>
      </c>
      <c r="E123" s="5">
        <f t="shared" si="5"/>
        <v>1763</v>
      </c>
      <c r="F123">
        <v>-0.77231000000000005</v>
      </c>
      <c r="G123">
        <f t="shared" si="6"/>
        <v>-0.30132000000000003</v>
      </c>
      <c r="H123">
        <f t="shared" si="6"/>
        <v>0.11168</v>
      </c>
      <c r="I123" s="5">
        <f t="shared" si="7"/>
        <v>1763</v>
      </c>
      <c r="J123">
        <f t="shared" si="8"/>
        <v>-0.64889882402420695</v>
      </c>
      <c r="K123">
        <f t="shared" si="9"/>
        <v>0.99980462313482144</v>
      </c>
    </row>
    <row r="124" spans="1:11" x14ac:dyDescent="0.25">
      <c r="A124" s="1"/>
      <c r="B124" t="s">
        <v>138</v>
      </c>
      <c r="C124" t="s">
        <v>24</v>
      </c>
      <c r="D124" s="3">
        <v>4.791666666666667</v>
      </c>
      <c r="E124" s="5">
        <f t="shared" si="5"/>
        <v>1764</v>
      </c>
      <c r="F124">
        <v>-6.3219999999999998E-2</v>
      </c>
      <c r="G124">
        <f t="shared" si="6"/>
        <v>0.25226999999999999</v>
      </c>
      <c r="H124">
        <f t="shared" si="6"/>
        <v>0.33511750000000001</v>
      </c>
      <c r="I124" s="5">
        <f t="shared" si="7"/>
        <v>1764</v>
      </c>
      <c r="J124">
        <f t="shared" si="8"/>
        <v>0.24922874666193146</v>
      </c>
      <c r="K124">
        <f t="shared" si="9"/>
        <v>-0.91101273656830639</v>
      </c>
    </row>
    <row r="125" spans="1:11" x14ac:dyDescent="0.25">
      <c r="A125" s="1"/>
      <c r="B125" t="s">
        <v>139</v>
      </c>
      <c r="C125" t="s">
        <v>24</v>
      </c>
      <c r="D125" s="3">
        <v>4.833333333333333</v>
      </c>
      <c r="E125" s="5">
        <f t="shared" si="5"/>
        <v>1765</v>
      </c>
      <c r="F125">
        <v>-0.26777000000000001</v>
      </c>
      <c r="G125">
        <f t="shared" si="6"/>
        <v>0.36891499999999999</v>
      </c>
      <c r="H125">
        <f t="shared" si="6"/>
        <v>3.9544999999999997E-2</v>
      </c>
      <c r="I125" s="5">
        <f t="shared" si="7"/>
        <v>1765</v>
      </c>
      <c r="J125">
        <f t="shared" si="8"/>
        <v>-0.38700917777079874</v>
      </c>
      <c r="K125">
        <f t="shared" si="9"/>
        <v>0.64490763684752428</v>
      </c>
    </row>
    <row r="126" spans="1:11" x14ac:dyDescent="0.25">
      <c r="A126" s="1"/>
      <c r="B126" t="s">
        <v>140</v>
      </c>
      <c r="C126" t="s">
        <v>24</v>
      </c>
      <c r="D126" s="3">
        <v>4.875</v>
      </c>
      <c r="E126" s="5">
        <f t="shared" si="5"/>
        <v>1766</v>
      </c>
      <c r="F126">
        <v>0.67461000000000004</v>
      </c>
      <c r="G126">
        <f t="shared" si="6"/>
        <v>0.33135999999999999</v>
      </c>
      <c r="H126">
        <f t="shared" si="6"/>
        <v>-0.370535</v>
      </c>
      <c r="I126" s="5">
        <f t="shared" si="7"/>
        <v>1766</v>
      </c>
      <c r="J126">
        <f t="shared" si="8"/>
        <v>0.62928524603250158</v>
      </c>
      <c r="K126">
        <f t="shared" si="9"/>
        <v>-0.25328217864228364</v>
      </c>
    </row>
    <row r="127" spans="1:11" x14ac:dyDescent="0.25">
      <c r="A127" s="1"/>
      <c r="B127" t="s">
        <v>141</v>
      </c>
      <c r="C127" t="s">
        <v>24</v>
      </c>
      <c r="D127" s="3">
        <v>4.916666666666667</v>
      </c>
      <c r="E127" s="5">
        <f t="shared" si="5"/>
        <v>1767</v>
      </c>
      <c r="F127">
        <v>0.39495000000000002</v>
      </c>
      <c r="G127">
        <f t="shared" si="6"/>
        <v>-0.37215500000000001</v>
      </c>
      <c r="H127">
        <f t="shared" si="6"/>
        <v>-0.18259999999999998</v>
      </c>
      <c r="I127" s="5">
        <f t="shared" si="7"/>
        <v>1767</v>
      </c>
      <c r="J127">
        <f t="shared" si="8"/>
        <v>0.26104271556508163</v>
      </c>
      <c r="K127">
        <f t="shared" si="9"/>
        <v>-0.18764036963253788</v>
      </c>
    </row>
    <row r="128" spans="1:11" x14ac:dyDescent="0.25">
      <c r="A128" s="1"/>
      <c r="B128" t="s">
        <v>142</v>
      </c>
      <c r="C128" t="s">
        <v>24</v>
      </c>
      <c r="D128" s="3">
        <v>4.958333333333333</v>
      </c>
      <c r="E128" s="5">
        <f t="shared" si="5"/>
        <v>1768</v>
      </c>
      <c r="F128">
        <v>-6.9699999999999998E-2</v>
      </c>
      <c r="G128">
        <f t="shared" si="6"/>
        <v>-3.3840000000000009E-2</v>
      </c>
      <c r="H128">
        <f t="shared" si="6"/>
        <v>0.4148925</v>
      </c>
      <c r="I128" s="5">
        <f t="shared" si="7"/>
        <v>1768</v>
      </c>
      <c r="J128">
        <f t="shared" si="8"/>
        <v>0.35690804168549628</v>
      </c>
      <c r="K128">
        <f t="shared" si="9"/>
        <v>0.59204189518013761</v>
      </c>
    </row>
    <row r="129" spans="1:11" x14ac:dyDescent="0.25">
      <c r="A129" s="1"/>
      <c r="B129" t="s">
        <v>143</v>
      </c>
      <c r="C129" t="s">
        <v>24</v>
      </c>
      <c r="D129" s="3">
        <v>5</v>
      </c>
      <c r="E129" s="5">
        <f t="shared" si="5"/>
        <v>1769</v>
      </c>
      <c r="F129">
        <v>0.32727000000000001</v>
      </c>
      <c r="G129">
        <f t="shared" si="6"/>
        <v>0.45762999999999998</v>
      </c>
      <c r="H129">
        <f t="shared" si="6"/>
        <v>0.10646249999999999</v>
      </c>
      <c r="I129" s="5">
        <f t="shared" si="7"/>
        <v>1769</v>
      </c>
      <c r="J129">
        <f t="shared" si="8"/>
        <v>0.38922129913466263</v>
      </c>
      <c r="K129">
        <f t="shared" si="9"/>
        <v>-0.88121248427411791</v>
      </c>
    </row>
    <row r="130" spans="1:11" x14ac:dyDescent="0.25">
      <c r="A130" s="1"/>
      <c r="B130" t="s">
        <v>144</v>
      </c>
      <c r="C130" t="s">
        <v>24</v>
      </c>
      <c r="D130" s="3">
        <v>5.041666666666667</v>
      </c>
      <c r="E130" s="5">
        <f t="shared" si="5"/>
        <v>1770</v>
      </c>
      <c r="F130">
        <v>0.84555999999999998</v>
      </c>
      <c r="G130">
        <f t="shared" si="6"/>
        <v>0.17908499999999999</v>
      </c>
      <c r="H130">
        <f t="shared" si="6"/>
        <v>-0.60846</v>
      </c>
      <c r="I130" s="5">
        <f t="shared" si="7"/>
        <v>1770</v>
      </c>
      <c r="J130">
        <f t="shared" si="8"/>
        <v>0.39888384843136881</v>
      </c>
      <c r="K130">
        <f t="shared" si="9"/>
        <v>0.99886997504683206</v>
      </c>
    </row>
    <row r="131" spans="1:11" x14ac:dyDescent="0.25">
      <c r="A131" s="1"/>
      <c r="B131" t="s">
        <v>145</v>
      </c>
      <c r="C131" t="s">
        <v>24</v>
      </c>
      <c r="D131" s="3">
        <v>5.083333333333333</v>
      </c>
      <c r="E131" s="5">
        <f t="shared" si="5"/>
        <v>1771</v>
      </c>
      <c r="F131">
        <v>0.68544000000000005</v>
      </c>
      <c r="G131">
        <f t="shared" si="6"/>
        <v>-0.75929000000000002</v>
      </c>
      <c r="H131">
        <f t="shared" si="6"/>
        <v>-0.61404500000000006</v>
      </c>
      <c r="I131" s="5">
        <f t="shared" si="7"/>
        <v>1771</v>
      </c>
      <c r="J131">
        <f t="shared" si="8"/>
        <v>0.43213524505195278</v>
      </c>
      <c r="K131">
        <f t="shared" si="9"/>
        <v>-0.92211432790259229</v>
      </c>
    </row>
    <row r="132" spans="1:11" x14ac:dyDescent="0.25">
      <c r="A132" s="1"/>
      <c r="B132" t="s">
        <v>146</v>
      </c>
      <c r="C132" t="s">
        <v>24</v>
      </c>
      <c r="D132" s="3">
        <v>5.125</v>
      </c>
      <c r="E132" s="5">
        <f t="shared" si="5"/>
        <v>1772</v>
      </c>
      <c r="F132">
        <v>-0.67301999999999995</v>
      </c>
      <c r="G132">
        <f t="shared" si="6"/>
        <v>-1.0490050000000002</v>
      </c>
      <c r="H132">
        <f t="shared" si="6"/>
        <v>0.49581999999999993</v>
      </c>
      <c r="I132" s="5">
        <f t="shared" si="7"/>
        <v>1772</v>
      </c>
      <c r="J132">
        <f t="shared" si="8"/>
        <v>-0.56386520506003857</v>
      </c>
      <c r="K132">
        <f t="shared" si="9"/>
        <v>0.66588473070966869</v>
      </c>
    </row>
    <row r="133" spans="1:11" x14ac:dyDescent="0.25">
      <c r="A133" s="1"/>
      <c r="B133" t="s">
        <v>147</v>
      </c>
      <c r="C133" t="s">
        <v>24</v>
      </c>
      <c r="D133" s="3">
        <v>5.166666666666667</v>
      </c>
      <c r="E133" s="5">
        <f t="shared" si="5"/>
        <v>1773</v>
      </c>
      <c r="F133">
        <v>-1.4125700000000001</v>
      </c>
      <c r="G133">
        <f t="shared" si="6"/>
        <v>0.23234999999999995</v>
      </c>
      <c r="H133">
        <f t="shared" si="6"/>
        <v>0.86058500000000004</v>
      </c>
      <c r="I133" s="5">
        <f t="shared" si="7"/>
        <v>1773</v>
      </c>
      <c r="J133">
        <f t="shared" si="8"/>
        <v>-0.96678221378020324</v>
      </c>
      <c r="K133">
        <f t="shared" si="9"/>
        <v>-0.28005193868443884</v>
      </c>
    </row>
    <row r="134" spans="1:11" x14ac:dyDescent="0.25">
      <c r="A134" s="1"/>
      <c r="B134" t="s">
        <v>148</v>
      </c>
      <c r="C134" t="s">
        <v>24</v>
      </c>
      <c r="D134" s="3">
        <v>5.208333333333333</v>
      </c>
      <c r="E134" s="5">
        <f t="shared" si="5"/>
        <v>1774</v>
      </c>
      <c r="F134">
        <v>-0.20832000000000001</v>
      </c>
      <c r="G134">
        <f t="shared" si="6"/>
        <v>0.67216500000000001</v>
      </c>
      <c r="H134">
        <f t="shared" si="6"/>
        <v>-0.17664999999999997</v>
      </c>
      <c r="I134" s="5">
        <f t="shared" si="7"/>
        <v>1774</v>
      </c>
      <c r="J134">
        <f t="shared" si="8"/>
        <v>-0.37048764495770609</v>
      </c>
      <c r="K134">
        <f t="shared" si="9"/>
        <v>-0.16028822420947086</v>
      </c>
    </row>
    <row r="135" spans="1:11" x14ac:dyDescent="0.25">
      <c r="A135" s="1"/>
      <c r="B135" t="s">
        <v>149</v>
      </c>
      <c r="C135" t="s">
        <v>24</v>
      </c>
      <c r="D135" s="3">
        <v>5.25</v>
      </c>
      <c r="E135" s="5">
        <f t="shared" si="5"/>
        <v>1775</v>
      </c>
      <c r="F135">
        <v>-6.8239999999999995E-2</v>
      </c>
      <c r="G135">
        <f t="shared" si="6"/>
        <v>-0.12094999999999999</v>
      </c>
      <c r="H135">
        <f t="shared" si="6"/>
        <v>-0.45578999999999997</v>
      </c>
      <c r="I135" s="5">
        <f t="shared" si="7"/>
        <v>1775</v>
      </c>
      <c r="J135">
        <f t="shared" si="8"/>
        <v>-0.51066526968132842</v>
      </c>
      <c r="K135">
        <f t="shared" si="9"/>
        <v>0.56943099663466812</v>
      </c>
    </row>
    <row r="136" spans="1:11" x14ac:dyDescent="0.25">
      <c r="A136" s="1"/>
      <c r="B136" t="s">
        <v>150</v>
      </c>
      <c r="C136" t="s">
        <v>24</v>
      </c>
      <c r="D136" s="3">
        <v>5.291666666666667</v>
      </c>
      <c r="E136" s="5">
        <f t="shared" si="5"/>
        <v>1776</v>
      </c>
      <c r="F136">
        <v>-0.45022000000000001</v>
      </c>
      <c r="G136">
        <f t="shared" si="6"/>
        <v>-0.23941499999999996</v>
      </c>
      <c r="H136">
        <f t="shared" si="6"/>
        <v>-4.6902500000000007E-2</v>
      </c>
      <c r="I136" s="5">
        <f t="shared" si="7"/>
        <v>1776</v>
      </c>
      <c r="J136">
        <f t="shared" si="8"/>
        <v>-0.50867972797369809</v>
      </c>
      <c r="K136">
        <f t="shared" si="9"/>
        <v>-0.86774366138861314</v>
      </c>
    </row>
    <row r="137" spans="1:11" x14ac:dyDescent="0.25">
      <c r="A137" s="1"/>
      <c r="B137" t="s">
        <v>151</v>
      </c>
      <c r="C137" t="s">
        <v>24</v>
      </c>
      <c r="D137" s="3">
        <v>5.333333333333333</v>
      </c>
      <c r="E137" s="5">
        <f t="shared" si="5"/>
        <v>1777</v>
      </c>
      <c r="F137">
        <v>-0.54706999999999995</v>
      </c>
      <c r="G137">
        <f t="shared" si="6"/>
        <v>-0.214755</v>
      </c>
      <c r="H137">
        <f t="shared" si="6"/>
        <v>0.10094249999999998</v>
      </c>
      <c r="I137" s="5">
        <f t="shared" si="7"/>
        <v>1777</v>
      </c>
      <c r="J137">
        <f t="shared" si="8"/>
        <v>-0.6651633094019842</v>
      </c>
      <c r="K137">
        <f t="shared" si="9"/>
        <v>0.9971647062793193</v>
      </c>
    </row>
    <row r="138" spans="1:11" x14ac:dyDescent="0.25">
      <c r="A138" s="1"/>
      <c r="B138" t="s">
        <v>152</v>
      </c>
      <c r="C138" t="s">
        <v>24</v>
      </c>
      <c r="D138" s="3">
        <v>5.375</v>
      </c>
      <c r="E138" s="5">
        <f t="shared" si="5"/>
        <v>1778</v>
      </c>
      <c r="F138">
        <v>-0.87973000000000001</v>
      </c>
      <c r="G138">
        <f t="shared" si="6"/>
        <v>-3.7530000000000008E-2</v>
      </c>
      <c r="H138">
        <f t="shared" si="6"/>
        <v>0.31220249999999999</v>
      </c>
      <c r="I138" s="5">
        <f t="shared" si="7"/>
        <v>1778</v>
      </c>
      <c r="J138">
        <f t="shared" si="8"/>
        <v>-1.0944925868381368</v>
      </c>
      <c r="K138">
        <f t="shared" si="9"/>
        <v>-0.93250451496201747</v>
      </c>
    </row>
    <row r="139" spans="1:11" x14ac:dyDescent="0.25">
      <c r="A139" s="1"/>
      <c r="B139" t="s">
        <v>153</v>
      </c>
      <c r="C139" t="s">
        <v>24</v>
      </c>
      <c r="D139" s="3">
        <v>5.416666666666667</v>
      </c>
      <c r="E139" s="5">
        <f t="shared" si="5"/>
        <v>1779</v>
      </c>
      <c r="F139">
        <v>-0.62212999999999996</v>
      </c>
      <c r="G139">
        <f t="shared" si="6"/>
        <v>0.40965000000000001</v>
      </c>
      <c r="H139">
        <f t="shared" si="6"/>
        <v>-2.8065000000000007E-2</v>
      </c>
      <c r="I139" s="5">
        <f t="shared" si="7"/>
        <v>1779</v>
      </c>
      <c r="J139">
        <f t="shared" si="8"/>
        <v>-0.92829431662702477</v>
      </c>
      <c r="K139">
        <f t="shared" si="9"/>
        <v>0.68634809950671294</v>
      </c>
    </row>
    <row r="140" spans="1:11" x14ac:dyDescent="0.25">
      <c r="A140" s="1"/>
      <c r="B140" t="s">
        <v>154</v>
      </c>
      <c r="C140" t="s">
        <v>24</v>
      </c>
      <c r="D140" s="3">
        <v>5.458333333333333</v>
      </c>
      <c r="E140" s="5">
        <f t="shared" ref="E140:E203" si="10">+E139+1</f>
        <v>1780</v>
      </c>
      <c r="F140">
        <v>-6.0429999999999998E-2</v>
      </c>
      <c r="G140">
        <f t="shared" ref="G140:H203" si="11">+(F141-F140)/2+(F140-F139)/2</f>
        <v>-9.3660000000000021E-2</v>
      </c>
      <c r="H140">
        <f t="shared" si="11"/>
        <v>-0.45828999999999998</v>
      </c>
      <c r="I140" s="5">
        <f t="shared" si="7"/>
        <v>1780</v>
      </c>
      <c r="J140">
        <f t="shared" si="8"/>
        <v>-0.52343090939171855</v>
      </c>
      <c r="K140">
        <f t="shared" si="9"/>
        <v>-0.30660564075954938</v>
      </c>
    </row>
    <row r="141" spans="1:11" x14ac:dyDescent="0.25">
      <c r="A141" s="1"/>
      <c r="B141" t="s">
        <v>155</v>
      </c>
      <c r="C141" t="s">
        <v>24</v>
      </c>
      <c r="D141" s="3">
        <v>5.5</v>
      </c>
      <c r="E141" s="5">
        <f t="shared" si="10"/>
        <v>1781</v>
      </c>
      <c r="F141">
        <v>-0.80945</v>
      </c>
      <c r="G141">
        <f t="shared" si="11"/>
        <v>-0.50692999999999999</v>
      </c>
      <c r="H141">
        <f t="shared" si="11"/>
        <v>0.45525249999999995</v>
      </c>
      <c r="I141" s="5">
        <f t="shared" ref="I141:I204" si="12">+E141</f>
        <v>1781</v>
      </c>
      <c r="J141">
        <f t="shared" ref="J141:J204" si="13">+$J$6*F141+F141*$J$7*COS(2*PI()*$I141/$J$8+$J$9)+H141</f>
        <v>-0.20537678395070835</v>
      </c>
      <c r="K141">
        <f t="shared" ref="K141:K204" si="14">+$K$8*COS(2*PI()*$I141/$K$6+$K$7)</f>
        <v>-0.1328124176268512</v>
      </c>
    </row>
    <row r="142" spans="1:11" x14ac:dyDescent="0.25">
      <c r="A142" s="1"/>
      <c r="B142" t="s">
        <v>156</v>
      </c>
      <c r="C142" t="s">
        <v>24</v>
      </c>
      <c r="D142" s="3">
        <v>5.541666666666667</v>
      </c>
      <c r="E142" s="5">
        <f t="shared" si="10"/>
        <v>1782</v>
      </c>
      <c r="F142">
        <v>-1.07429</v>
      </c>
      <c r="G142">
        <f t="shared" si="11"/>
        <v>0.81684500000000004</v>
      </c>
      <c r="H142">
        <f t="shared" si="11"/>
        <v>0.90137499999999993</v>
      </c>
      <c r="I142" s="5">
        <f t="shared" si="12"/>
        <v>1782</v>
      </c>
      <c r="J142">
        <f t="shared" si="13"/>
        <v>-5.650842605708617E-2</v>
      </c>
      <c r="K142">
        <f t="shared" si="14"/>
        <v>0.54638078635368503</v>
      </c>
    </row>
    <row r="143" spans="1:11" x14ac:dyDescent="0.25">
      <c r="A143" s="1"/>
      <c r="B143" t="s">
        <v>157</v>
      </c>
      <c r="C143" t="s">
        <v>24</v>
      </c>
      <c r="D143" s="3">
        <v>5.583333333333333</v>
      </c>
      <c r="E143" s="5">
        <f t="shared" si="10"/>
        <v>1783</v>
      </c>
      <c r="F143">
        <v>0.82423999999999997</v>
      </c>
      <c r="G143">
        <f t="shared" si="11"/>
        <v>1.29582</v>
      </c>
      <c r="H143">
        <f t="shared" si="11"/>
        <v>-0.75380500000000006</v>
      </c>
      <c r="I143" s="5">
        <f t="shared" si="12"/>
        <v>1783</v>
      </c>
      <c r="J143">
        <f t="shared" si="13"/>
        <v>0.26669150321994284</v>
      </c>
      <c r="K143">
        <f t="shared" si="14"/>
        <v>-0.85360538078968429</v>
      </c>
    </row>
    <row r="144" spans="1:11" x14ac:dyDescent="0.25">
      <c r="A144" s="1"/>
      <c r="B144" t="s">
        <v>158</v>
      </c>
      <c r="C144" t="s">
        <v>24</v>
      </c>
      <c r="D144" s="3">
        <v>5.625</v>
      </c>
      <c r="E144" s="5">
        <f t="shared" si="10"/>
        <v>1784</v>
      </c>
      <c r="F144">
        <v>1.51735</v>
      </c>
      <c r="G144">
        <f t="shared" si="11"/>
        <v>-0.69076500000000007</v>
      </c>
      <c r="H144">
        <f t="shared" si="11"/>
        <v>-1.2953299999999999</v>
      </c>
      <c r="I144" s="5">
        <f t="shared" si="12"/>
        <v>1784</v>
      </c>
      <c r="J144">
        <f t="shared" si="13"/>
        <v>1.0582065556849147</v>
      </c>
      <c r="K144">
        <f t="shared" si="14"/>
        <v>0.99469013243443394</v>
      </c>
    </row>
    <row r="145" spans="1:11" x14ac:dyDescent="0.25">
      <c r="A145" s="1"/>
      <c r="B145" t="s">
        <v>159</v>
      </c>
      <c r="C145" t="s">
        <v>24</v>
      </c>
      <c r="D145" s="3">
        <v>5.666666666666667</v>
      </c>
      <c r="E145" s="5">
        <f t="shared" si="10"/>
        <v>1785</v>
      </c>
      <c r="F145">
        <v>-0.55728999999999995</v>
      </c>
      <c r="G145">
        <f t="shared" si="11"/>
        <v>-1.29484</v>
      </c>
      <c r="H145">
        <f t="shared" si="11"/>
        <v>0.46617249999999999</v>
      </c>
      <c r="I145" s="5">
        <f t="shared" si="12"/>
        <v>1785</v>
      </c>
      <c r="J145">
        <f t="shared" si="13"/>
        <v>-0.40071989608126823</v>
      </c>
      <c r="K145">
        <f t="shared" si="14"/>
        <v>-0.94217528179602572</v>
      </c>
    </row>
    <row r="146" spans="1:11" x14ac:dyDescent="0.25">
      <c r="A146" s="1"/>
      <c r="B146" t="s">
        <v>160</v>
      </c>
      <c r="C146" t="s">
        <v>24</v>
      </c>
      <c r="D146" s="3">
        <v>5.708333333333333</v>
      </c>
      <c r="E146" s="5">
        <f t="shared" si="10"/>
        <v>1786</v>
      </c>
      <c r="F146">
        <v>-1.07233</v>
      </c>
      <c r="G146">
        <f t="shared" si="11"/>
        <v>0.24157999999999996</v>
      </c>
      <c r="H146">
        <f t="shared" si="11"/>
        <v>0.94342249999999994</v>
      </c>
      <c r="I146" s="5">
        <f t="shared" si="12"/>
        <v>1786</v>
      </c>
      <c r="J146">
        <f t="shared" si="13"/>
        <v>-0.39439536196057745</v>
      </c>
      <c r="K146">
        <f t="shared" si="14"/>
        <v>0.70628195590206788</v>
      </c>
    </row>
    <row r="147" spans="1:11" x14ac:dyDescent="0.25">
      <c r="A147" s="1"/>
      <c r="B147" t="s">
        <v>161</v>
      </c>
      <c r="C147" t="s">
        <v>24</v>
      </c>
      <c r="D147" s="3">
        <v>5.75</v>
      </c>
      <c r="E147" s="5">
        <f t="shared" si="10"/>
        <v>1787</v>
      </c>
      <c r="F147">
        <v>-7.4130000000000001E-2</v>
      </c>
      <c r="G147">
        <f t="shared" si="11"/>
        <v>0.592005</v>
      </c>
      <c r="H147">
        <f t="shared" si="11"/>
        <v>-0.33386500000000008</v>
      </c>
      <c r="I147" s="5">
        <f t="shared" si="12"/>
        <v>1787</v>
      </c>
      <c r="J147">
        <f t="shared" si="13"/>
        <v>-0.40041892031138787</v>
      </c>
      <c r="K147">
        <f t="shared" si="14"/>
        <v>-0.33292279888774717</v>
      </c>
    </row>
    <row r="148" spans="1:11" x14ac:dyDescent="0.25">
      <c r="A148" s="1"/>
      <c r="B148" t="s">
        <v>162</v>
      </c>
      <c r="C148" t="s">
        <v>24</v>
      </c>
      <c r="D148" s="3">
        <v>5.791666666666667</v>
      </c>
      <c r="E148" s="5">
        <f t="shared" si="10"/>
        <v>1788</v>
      </c>
      <c r="F148">
        <v>0.11168</v>
      </c>
      <c r="G148">
        <f t="shared" si="11"/>
        <v>-0.42615000000000003</v>
      </c>
      <c r="H148">
        <f t="shared" si="11"/>
        <v>-0.6883125000000001</v>
      </c>
      <c r="I148" s="5">
        <f t="shared" si="12"/>
        <v>1788</v>
      </c>
      <c r="J148">
        <f t="shared" si="13"/>
        <v>-0.59745245080084741</v>
      </c>
      <c r="K148">
        <f t="shared" si="14"/>
        <v>-0.10523414726208925</v>
      </c>
    </row>
    <row r="149" spans="1:11" x14ac:dyDescent="0.25">
      <c r="A149" s="1"/>
      <c r="B149" t="s">
        <v>163</v>
      </c>
      <c r="C149" t="s">
        <v>24</v>
      </c>
      <c r="D149" s="3">
        <v>5.833333333333333</v>
      </c>
      <c r="E149" s="5">
        <f t="shared" si="10"/>
        <v>1789</v>
      </c>
      <c r="F149">
        <v>-0.92642999999999998</v>
      </c>
      <c r="G149">
        <f t="shared" si="11"/>
        <v>-0.7846200000000001</v>
      </c>
      <c r="H149">
        <f t="shared" si="11"/>
        <v>0.7712024999999999</v>
      </c>
      <c r="I149" s="5">
        <f t="shared" si="12"/>
        <v>1789</v>
      </c>
      <c r="J149">
        <f t="shared" si="13"/>
        <v>-0.21907421817521711</v>
      </c>
      <c r="K149">
        <f t="shared" si="14"/>
        <v>0.52290904740271205</v>
      </c>
    </row>
    <row r="150" spans="1:11" x14ac:dyDescent="0.25">
      <c r="A150" s="1"/>
      <c r="B150" t="s">
        <v>164</v>
      </c>
      <c r="C150" t="s">
        <v>24</v>
      </c>
      <c r="D150" s="3">
        <v>5.875</v>
      </c>
      <c r="E150" s="5">
        <f t="shared" si="10"/>
        <v>1790</v>
      </c>
      <c r="F150">
        <v>-1.45756</v>
      </c>
      <c r="G150">
        <f t="shared" si="11"/>
        <v>1.1162549999999998</v>
      </c>
      <c r="H150">
        <f t="shared" si="11"/>
        <v>1.3026974999999998</v>
      </c>
      <c r="I150" s="5">
        <f t="shared" si="12"/>
        <v>1790</v>
      </c>
      <c r="J150">
        <f t="shared" si="13"/>
        <v>-0.79538266710277883</v>
      </c>
      <c r="K150">
        <f t="shared" si="14"/>
        <v>-0.83880855005364241</v>
      </c>
    </row>
    <row r="151" spans="1:11" x14ac:dyDescent="0.25">
      <c r="A151" s="1"/>
      <c r="B151" t="s">
        <v>165</v>
      </c>
      <c r="C151" t="s">
        <v>24</v>
      </c>
      <c r="D151" s="3">
        <v>5.916666666666667</v>
      </c>
      <c r="E151" s="5">
        <f t="shared" si="10"/>
        <v>1791</v>
      </c>
      <c r="F151">
        <v>1.3060799999999999</v>
      </c>
      <c r="G151">
        <f t="shared" si="11"/>
        <v>1.8207749999999998</v>
      </c>
      <c r="H151">
        <f t="shared" si="11"/>
        <v>-0.46594749999999985</v>
      </c>
      <c r="I151" s="5">
        <f t="shared" si="12"/>
        <v>1791</v>
      </c>
      <c r="J151">
        <f t="shared" si="13"/>
        <v>1.6232126934514435</v>
      </c>
      <c r="K151">
        <f t="shared" si="14"/>
        <v>0.99144816262713964</v>
      </c>
    </row>
    <row r="152" spans="1:11" x14ac:dyDescent="0.25">
      <c r="A152" s="1"/>
      <c r="B152" t="s">
        <v>166</v>
      </c>
      <c r="C152" t="s">
        <v>24</v>
      </c>
      <c r="D152" s="3">
        <v>5.958333333333333</v>
      </c>
      <c r="E152" s="5">
        <f t="shared" si="10"/>
        <v>1792</v>
      </c>
      <c r="F152">
        <v>2.1839900000000001</v>
      </c>
      <c r="G152">
        <f t="shared" si="11"/>
        <v>0.18436000000000008</v>
      </c>
      <c r="H152">
        <f t="shared" si="11"/>
        <v>-1.3908125</v>
      </c>
      <c r="I152" s="5">
        <f t="shared" si="12"/>
        <v>1792</v>
      </c>
      <c r="J152">
        <f t="shared" si="13"/>
        <v>1.6854896288937509</v>
      </c>
      <c r="K152">
        <f t="shared" si="14"/>
        <v>-0.95111916748004477</v>
      </c>
    </row>
    <row r="153" spans="1:11" x14ac:dyDescent="0.25">
      <c r="A153" s="1"/>
      <c r="B153" t="s">
        <v>167</v>
      </c>
      <c r="C153" t="s">
        <v>24</v>
      </c>
      <c r="D153" s="3">
        <v>6</v>
      </c>
      <c r="E153" s="5">
        <f t="shared" si="10"/>
        <v>1793</v>
      </c>
      <c r="F153">
        <v>1.6748000000000001</v>
      </c>
      <c r="G153">
        <f t="shared" si="11"/>
        <v>-0.96085000000000009</v>
      </c>
      <c r="H153">
        <f t="shared" si="11"/>
        <v>-0.35719250000000002</v>
      </c>
      <c r="I153" s="5">
        <f t="shared" si="12"/>
        <v>1793</v>
      </c>
      <c r="J153">
        <f t="shared" si="13"/>
        <v>1.3750457793612796</v>
      </c>
      <c r="K153">
        <f t="shared" si="14"/>
        <v>0.72567092107662745</v>
      </c>
    </row>
    <row r="154" spans="1:11" x14ac:dyDescent="0.25">
      <c r="A154" s="1"/>
      <c r="B154" t="s">
        <v>168</v>
      </c>
      <c r="C154" t="s">
        <v>24</v>
      </c>
      <c r="D154" s="3">
        <v>6.041666666666667</v>
      </c>
      <c r="E154" s="5">
        <f t="shared" si="10"/>
        <v>1794</v>
      </c>
      <c r="F154">
        <v>0.26229000000000002</v>
      </c>
      <c r="G154">
        <f t="shared" si="11"/>
        <v>-0.53002500000000008</v>
      </c>
      <c r="H154">
        <f t="shared" si="11"/>
        <v>0.46236750000000004</v>
      </c>
      <c r="I154" s="5">
        <f t="shared" si="12"/>
        <v>1794</v>
      </c>
      <c r="J154">
        <f t="shared" si="13"/>
        <v>0.67367687173665236</v>
      </c>
      <c r="K154">
        <f t="shared" si="14"/>
        <v>-0.35898310957758078</v>
      </c>
    </row>
    <row r="155" spans="1:11" x14ac:dyDescent="0.25">
      <c r="A155" s="1"/>
      <c r="B155" t="s">
        <v>169</v>
      </c>
      <c r="C155" t="s">
        <v>24</v>
      </c>
      <c r="D155" s="3">
        <v>6.083333333333333</v>
      </c>
      <c r="E155" s="5">
        <f t="shared" si="10"/>
        <v>1795</v>
      </c>
      <c r="F155">
        <v>0.61475000000000002</v>
      </c>
      <c r="G155">
        <f t="shared" si="11"/>
        <v>-3.6115000000000008E-2</v>
      </c>
      <c r="H155">
        <f t="shared" si="11"/>
        <v>-9.0742500000000004E-2</v>
      </c>
      <c r="I155" s="5">
        <f t="shared" si="12"/>
        <v>1795</v>
      </c>
      <c r="J155">
        <f t="shared" si="13"/>
        <v>0.47698894712169965</v>
      </c>
      <c r="K155">
        <f t="shared" si="14"/>
        <v>-7.7574689542619868E-2</v>
      </c>
    </row>
    <row r="156" spans="1:11" x14ac:dyDescent="0.25">
      <c r="A156" s="1"/>
      <c r="B156" t="s">
        <v>170</v>
      </c>
      <c r="C156" t="s">
        <v>24</v>
      </c>
      <c r="D156" s="3">
        <v>6.125</v>
      </c>
      <c r="E156" s="5">
        <f t="shared" si="10"/>
        <v>1796</v>
      </c>
      <c r="F156">
        <v>0.19006000000000001</v>
      </c>
      <c r="G156">
        <f t="shared" si="11"/>
        <v>-0.71151000000000009</v>
      </c>
      <c r="H156">
        <f t="shared" si="11"/>
        <v>-0.23143</v>
      </c>
      <c r="I156" s="5">
        <f t="shared" si="12"/>
        <v>1796</v>
      </c>
      <c r="J156">
        <f t="shared" si="13"/>
        <v>1.2674877369429599E-2</v>
      </c>
      <c r="K156">
        <f t="shared" si="14"/>
        <v>0.49903388805042903</v>
      </c>
    </row>
    <row r="157" spans="1:11" x14ac:dyDescent="0.25">
      <c r="A157" s="1"/>
      <c r="B157" t="s">
        <v>171</v>
      </c>
      <c r="C157" t="s">
        <v>24</v>
      </c>
      <c r="D157" s="3">
        <v>6.166666666666667</v>
      </c>
      <c r="E157" s="5">
        <f t="shared" si="10"/>
        <v>1797</v>
      </c>
      <c r="F157">
        <v>-0.80827000000000004</v>
      </c>
      <c r="G157">
        <f t="shared" si="11"/>
        <v>-0.498975</v>
      </c>
      <c r="H157">
        <f t="shared" si="11"/>
        <v>0.7757750000000001</v>
      </c>
      <c r="I157" s="5">
        <f t="shared" si="12"/>
        <v>1797</v>
      </c>
      <c r="J157">
        <f t="shared" si="13"/>
        <v>-0.49407380751866614</v>
      </c>
      <c r="K157">
        <f t="shared" si="14"/>
        <v>-0.82336458482517416</v>
      </c>
    </row>
    <row r="158" spans="1:11" x14ac:dyDescent="0.25">
      <c r="A158" s="1"/>
      <c r="B158" t="s">
        <v>172</v>
      </c>
      <c r="C158" t="s">
        <v>24</v>
      </c>
      <c r="D158" s="3">
        <v>6.208333333333333</v>
      </c>
      <c r="E158" s="5">
        <f t="shared" si="10"/>
        <v>1798</v>
      </c>
      <c r="F158">
        <v>-0.80789</v>
      </c>
      <c r="G158">
        <f t="shared" si="11"/>
        <v>0.84004000000000001</v>
      </c>
      <c r="H158">
        <f t="shared" si="11"/>
        <v>0.70318750000000008</v>
      </c>
      <c r="I158" s="5">
        <f t="shared" si="12"/>
        <v>1798</v>
      </c>
      <c r="J158">
        <f t="shared" si="13"/>
        <v>-0.5342649783126896</v>
      </c>
      <c r="K158">
        <f t="shared" si="14"/>
        <v>0.9874412980129923</v>
      </c>
    </row>
    <row r="159" spans="1:11" x14ac:dyDescent="0.25">
      <c r="A159" s="1"/>
      <c r="B159" t="s">
        <v>173</v>
      </c>
      <c r="C159" t="s">
        <v>24</v>
      </c>
      <c r="D159" s="3">
        <v>6.25</v>
      </c>
      <c r="E159" s="5">
        <f t="shared" si="10"/>
        <v>1799</v>
      </c>
      <c r="F159">
        <v>0.87180999999999997</v>
      </c>
      <c r="G159">
        <f t="shared" si="11"/>
        <v>0.90739999999999998</v>
      </c>
      <c r="H159">
        <f t="shared" si="11"/>
        <v>-0.91997249999999986</v>
      </c>
      <c r="I159" s="5">
        <f t="shared" si="12"/>
        <v>1799</v>
      </c>
      <c r="J159">
        <f t="shared" si="13"/>
        <v>0.12695109051443243</v>
      </c>
      <c r="K159">
        <f t="shared" si="14"/>
        <v>-0.95932927187380956</v>
      </c>
    </row>
    <row r="160" spans="1:11" x14ac:dyDescent="0.25">
      <c r="A160" s="1"/>
      <c r="B160" t="s">
        <v>174</v>
      </c>
      <c r="C160" t="s">
        <v>24</v>
      </c>
      <c r="D160" s="3">
        <v>6.291666666666667</v>
      </c>
      <c r="E160" s="5">
        <f t="shared" si="10"/>
        <v>1800</v>
      </c>
      <c r="F160">
        <v>1.00691</v>
      </c>
      <c r="G160">
        <f t="shared" si="11"/>
        <v>-0.99990499999999982</v>
      </c>
      <c r="H160">
        <f t="shared" si="11"/>
        <v>-0.91659999999999997</v>
      </c>
      <c r="I160" s="5">
        <f t="shared" si="12"/>
        <v>1800</v>
      </c>
      <c r="J160">
        <f t="shared" si="13"/>
        <v>-4.1335904944428736E-2</v>
      </c>
      <c r="K160">
        <f t="shared" si="14"/>
        <v>0.74450003658819386</v>
      </c>
    </row>
    <row r="161" spans="1:11" x14ac:dyDescent="0.25">
      <c r="A161" s="1"/>
      <c r="B161" t="s">
        <v>175</v>
      </c>
      <c r="C161" t="s">
        <v>24</v>
      </c>
      <c r="D161" s="3">
        <v>6.333333333333333</v>
      </c>
      <c r="E161" s="5">
        <f t="shared" si="10"/>
        <v>1801</v>
      </c>
      <c r="F161">
        <v>-1.1279999999999999</v>
      </c>
      <c r="G161">
        <f t="shared" si="11"/>
        <v>-0.92579999999999996</v>
      </c>
      <c r="H161">
        <f t="shared" si="11"/>
        <v>0.72417249999999989</v>
      </c>
      <c r="I161" s="5">
        <f t="shared" si="12"/>
        <v>1801</v>
      </c>
      <c r="J161">
        <f t="shared" si="13"/>
        <v>-0.21013814363736794</v>
      </c>
      <c r="K161">
        <f t="shared" si="14"/>
        <v>-0.38476646749689575</v>
      </c>
    </row>
    <row r="162" spans="1:11" x14ac:dyDescent="0.25">
      <c r="A162" s="1"/>
      <c r="B162" t="s">
        <v>176</v>
      </c>
      <c r="C162" t="s">
        <v>24</v>
      </c>
      <c r="D162" s="3">
        <v>6.375</v>
      </c>
      <c r="E162" s="5">
        <f t="shared" si="10"/>
        <v>1802</v>
      </c>
      <c r="F162">
        <v>-0.84469000000000005</v>
      </c>
      <c r="G162">
        <f t="shared" si="11"/>
        <v>0.44843999999999995</v>
      </c>
      <c r="H162">
        <f t="shared" si="11"/>
        <v>0.9567175</v>
      </c>
      <c r="I162" s="5">
        <f t="shared" si="12"/>
        <v>1802</v>
      </c>
      <c r="J162">
        <f t="shared" si="13"/>
        <v>1.5767951208547348E-2</v>
      </c>
      <c r="K162">
        <f t="shared" si="14"/>
        <v>-4.9855383534029941E-2</v>
      </c>
    </row>
    <row r="163" spans="1:11" x14ac:dyDescent="0.25">
      <c r="A163" s="1"/>
      <c r="B163" t="s">
        <v>177</v>
      </c>
      <c r="C163" t="s">
        <v>24</v>
      </c>
      <c r="D163" s="3">
        <v>6.416666666666667</v>
      </c>
      <c r="E163" s="5">
        <f t="shared" si="10"/>
        <v>1803</v>
      </c>
      <c r="F163">
        <v>-0.23111999999999999</v>
      </c>
      <c r="G163">
        <f t="shared" si="11"/>
        <v>0.98763500000000004</v>
      </c>
      <c r="H163">
        <f t="shared" si="11"/>
        <v>-0.44184250000000003</v>
      </c>
      <c r="I163" s="5">
        <f t="shared" si="12"/>
        <v>1803</v>
      </c>
      <c r="J163">
        <f t="shared" si="13"/>
        <v>-0.78279891762940279</v>
      </c>
      <c r="K163">
        <f t="shared" si="14"/>
        <v>0.47477372780442295</v>
      </c>
    </row>
    <row r="164" spans="1:11" x14ac:dyDescent="0.25">
      <c r="A164" s="1"/>
      <c r="B164" t="s">
        <v>178</v>
      </c>
      <c r="C164" t="s">
        <v>24</v>
      </c>
      <c r="D164" s="3">
        <v>6.458333333333333</v>
      </c>
      <c r="E164" s="5">
        <f t="shared" si="10"/>
        <v>1804</v>
      </c>
      <c r="F164">
        <v>1.1305799999999999</v>
      </c>
      <c r="G164">
        <f t="shared" si="11"/>
        <v>-0.4352450000000001</v>
      </c>
      <c r="H164">
        <f t="shared" si="11"/>
        <v>-1.0104475000000002</v>
      </c>
      <c r="I164" s="5">
        <f t="shared" si="12"/>
        <v>1804</v>
      </c>
      <c r="J164">
        <f t="shared" si="13"/>
        <v>0.7924342481068456</v>
      </c>
      <c r="K164">
        <f t="shared" si="14"/>
        <v>-0.80728540000638471</v>
      </c>
    </row>
    <row r="165" spans="1:11" x14ac:dyDescent="0.25">
      <c r="A165" s="1"/>
      <c r="B165" t="s">
        <v>179</v>
      </c>
      <c r="C165" t="s">
        <v>24</v>
      </c>
      <c r="D165" s="3">
        <v>6.5</v>
      </c>
      <c r="E165" s="5">
        <f t="shared" si="10"/>
        <v>1805</v>
      </c>
      <c r="F165">
        <v>-1.10161</v>
      </c>
      <c r="G165">
        <f t="shared" si="11"/>
        <v>-1.0332600000000001</v>
      </c>
      <c r="H165">
        <f t="shared" si="11"/>
        <v>0.58434750000000002</v>
      </c>
      <c r="I165" s="5">
        <f t="shared" si="12"/>
        <v>1805</v>
      </c>
      <c r="J165">
        <f t="shared" si="13"/>
        <v>-0.9218531764786182</v>
      </c>
      <c r="K165">
        <f t="shared" si="14"/>
        <v>0.98267262985766879</v>
      </c>
    </row>
    <row r="166" spans="1:11" x14ac:dyDescent="0.25">
      <c r="A166" s="1"/>
      <c r="B166" t="s">
        <v>180</v>
      </c>
      <c r="C166" t="s">
        <v>24</v>
      </c>
      <c r="D166" s="3">
        <v>6.541666666666667</v>
      </c>
      <c r="E166" s="5">
        <f t="shared" si="10"/>
        <v>1806</v>
      </c>
      <c r="F166">
        <v>-0.93593999999999999</v>
      </c>
      <c r="G166">
        <f t="shared" si="11"/>
        <v>0.73344999999999994</v>
      </c>
      <c r="H166">
        <f t="shared" si="11"/>
        <v>0.5325725</v>
      </c>
      <c r="I166" s="5">
        <f t="shared" si="12"/>
        <v>1806</v>
      </c>
      <c r="J166">
        <f t="shared" si="13"/>
        <v>-0.39672560245871102</v>
      </c>
      <c r="K166">
        <f t="shared" si="14"/>
        <v>-0.9667992609437096</v>
      </c>
    </row>
    <row r="167" spans="1:11" x14ac:dyDescent="0.25">
      <c r="A167" s="1"/>
      <c r="B167" t="s">
        <v>181</v>
      </c>
      <c r="C167" t="s">
        <v>24</v>
      </c>
      <c r="D167" s="3">
        <v>6.583333333333333</v>
      </c>
      <c r="E167" s="5">
        <f t="shared" si="10"/>
        <v>1807</v>
      </c>
      <c r="F167">
        <v>0.36529</v>
      </c>
      <c r="G167">
        <f t="shared" si="11"/>
        <v>3.1884999999999941E-2</v>
      </c>
      <c r="H167">
        <f t="shared" si="11"/>
        <v>-0.51185499999999995</v>
      </c>
      <c r="I167" s="5">
        <f t="shared" si="12"/>
        <v>1807</v>
      </c>
      <c r="J167">
        <f t="shared" si="13"/>
        <v>-0.21943348068525342</v>
      </c>
      <c r="K167">
        <f t="shared" si="14"/>
        <v>0.76275477591687868</v>
      </c>
    </row>
    <row r="168" spans="1:11" x14ac:dyDescent="0.25">
      <c r="A168" s="1"/>
      <c r="B168" t="s">
        <v>182</v>
      </c>
      <c r="C168" t="s">
        <v>24</v>
      </c>
      <c r="D168" s="3">
        <v>6.625</v>
      </c>
      <c r="E168" s="5">
        <f t="shared" si="10"/>
        <v>1808</v>
      </c>
      <c r="F168">
        <v>-0.87217</v>
      </c>
      <c r="G168">
        <f t="shared" si="11"/>
        <v>-0.29026000000000002</v>
      </c>
      <c r="H168">
        <f t="shared" si="11"/>
        <v>0.20193250000000004</v>
      </c>
      <c r="I168" s="5">
        <f t="shared" si="12"/>
        <v>1808</v>
      </c>
      <c r="J168">
        <f t="shared" si="13"/>
        <v>-0.63463047574154108</v>
      </c>
      <c r="K168">
        <f t="shared" si="14"/>
        <v>-0.41025298097712548</v>
      </c>
    </row>
    <row r="169" spans="1:11" x14ac:dyDescent="0.25">
      <c r="A169" s="1"/>
      <c r="B169" t="s">
        <v>183</v>
      </c>
      <c r="C169" t="s">
        <v>24</v>
      </c>
      <c r="D169" s="3">
        <v>6.666666666666667</v>
      </c>
      <c r="E169" s="5">
        <f t="shared" si="10"/>
        <v>1809</v>
      </c>
      <c r="F169">
        <v>-0.21523</v>
      </c>
      <c r="G169">
        <f t="shared" si="11"/>
        <v>0.43574999999999997</v>
      </c>
      <c r="H169">
        <f t="shared" si="11"/>
        <v>7.3955000000000048E-2</v>
      </c>
      <c r="I169" s="5">
        <f t="shared" si="12"/>
        <v>1809</v>
      </c>
      <c r="J169">
        <f t="shared" si="13"/>
        <v>-0.21218313770891373</v>
      </c>
      <c r="K169">
        <f t="shared" si="14"/>
        <v>-2.2097614470786744E-2</v>
      </c>
    </row>
    <row r="170" spans="1:11" x14ac:dyDescent="0.25">
      <c r="A170" s="1"/>
      <c r="B170" t="s">
        <v>184</v>
      </c>
      <c r="C170" t="s">
        <v>24</v>
      </c>
      <c r="D170" s="3">
        <v>6.708333333333333</v>
      </c>
      <c r="E170" s="5">
        <f t="shared" si="10"/>
        <v>1810</v>
      </c>
      <c r="F170">
        <v>-6.7000000000000002E-4</v>
      </c>
      <c r="G170">
        <f t="shared" si="11"/>
        <v>-0.14234999999999998</v>
      </c>
      <c r="H170">
        <f t="shared" si="11"/>
        <v>-0.35150999999999999</v>
      </c>
      <c r="I170" s="5">
        <f t="shared" si="12"/>
        <v>1810</v>
      </c>
      <c r="J170">
        <f t="shared" si="13"/>
        <v>-0.35257260398409923</v>
      </c>
      <c r="K170">
        <f t="shared" si="14"/>
        <v>0.45014728319523839</v>
      </c>
    </row>
    <row r="171" spans="1:11" x14ac:dyDescent="0.25">
      <c r="A171" s="1"/>
      <c r="B171" t="s">
        <v>185</v>
      </c>
      <c r="C171" t="s">
        <v>24</v>
      </c>
      <c r="D171" s="3">
        <v>6.75</v>
      </c>
      <c r="E171" s="5">
        <f t="shared" si="10"/>
        <v>1811</v>
      </c>
      <c r="F171">
        <v>-0.49992999999999999</v>
      </c>
      <c r="G171">
        <f t="shared" si="11"/>
        <v>-0.26727000000000001</v>
      </c>
      <c r="H171">
        <f t="shared" si="11"/>
        <v>1.5289999999999998E-2</v>
      </c>
      <c r="I171" s="5">
        <f t="shared" si="12"/>
        <v>1811</v>
      </c>
      <c r="J171">
        <f t="shared" si="13"/>
        <v>-0.73626812568710043</v>
      </c>
      <c r="K171">
        <f t="shared" si="14"/>
        <v>-0.79058340056858301</v>
      </c>
    </row>
    <row r="172" spans="1:11" x14ac:dyDescent="0.25">
      <c r="A172" s="1"/>
      <c r="B172" t="s">
        <v>186</v>
      </c>
      <c r="C172" t="s">
        <v>24</v>
      </c>
      <c r="D172" s="3">
        <v>6.791666666666667</v>
      </c>
      <c r="E172" s="5">
        <f t="shared" si="10"/>
        <v>1812</v>
      </c>
      <c r="F172">
        <v>-0.53520999999999996</v>
      </c>
      <c r="G172">
        <f t="shared" si="11"/>
        <v>-0.11176999999999998</v>
      </c>
      <c r="H172">
        <f t="shared" si="11"/>
        <v>0.39962249999999988</v>
      </c>
      <c r="I172" s="5">
        <f t="shared" si="12"/>
        <v>1812</v>
      </c>
      <c r="J172">
        <f t="shared" si="13"/>
        <v>-0.21808050378635591</v>
      </c>
      <c r="K172">
        <f t="shared" si="14"/>
        <v>0.97714583715312775</v>
      </c>
    </row>
    <row r="173" spans="1:11" x14ac:dyDescent="0.25">
      <c r="A173" s="1"/>
      <c r="B173" t="s">
        <v>187</v>
      </c>
      <c r="C173" t="s">
        <v>24</v>
      </c>
      <c r="D173" s="3">
        <v>6.833333333333333</v>
      </c>
      <c r="E173" s="5">
        <f t="shared" si="10"/>
        <v>1813</v>
      </c>
      <c r="F173">
        <v>-0.72346999999999995</v>
      </c>
      <c r="G173">
        <f t="shared" si="11"/>
        <v>0.53197499999999986</v>
      </c>
      <c r="H173">
        <f t="shared" si="11"/>
        <v>0.53013999999999994</v>
      </c>
      <c r="I173" s="5">
        <f t="shared" si="12"/>
        <v>1813</v>
      </c>
      <c r="J173">
        <f t="shared" si="13"/>
        <v>-8.1368214543603989E-2</v>
      </c>
      <c r="K173">
        <f t="shared" si="14"/>
        <v>-0.97352337164882397</v>
      </c>
    </row>
    <row r="174" spans="1:11" x14ac:dyDescent="0.25">
      <c r="A174" s="1"/>
      <c r="B174" t="s">
        <v>188</v>
      </c>
      <c r="C174" t="s">
        <v>24</v>
      </c>
      <c r="D174" s="3">
        <v>6.875</v>
      </c>
      <c r="E174" s="5">
        <f t="shared" si="10"/>
        <v>1814</v>
      </c>
      <c r="F174">
        <v>0.52873999999999999</v>
      </c>
      <c r="G174">
        <f t="shared" si="11"/>
        <v>0.94850999999999996</v>
      </c>
      <c r="H174">
        <f t="shared" si="11"/>
        <v>2.9372500000000079E-2</v>
      </c>
      <c r="I174" s="5">
        <f t="shared" si="12"/>
        <v>1814</v>
      </c>
      <c r="J174">
        <f t="shared" si="13"/>
        <v>0.47779347225229191</v>
      </c>
      <c r="K174">
        <f t="shared" si="14"/>
        <v>0.78042105566727482</v>
      </c>
    </row>
    <row r="175" spans="1:11" x14ac:dyDescent="0.25">
      <c r="A175" s="1"/>
      <c r="B175" t="s">
        <v>189</v>
      </c>
      <c r="C175" t="s">
        <v>24</v>
      </c>
      <c r="D175" s="3">
        <v>6.916666666666667</v>
      </c>
      <c r="E175" s="5">
        <f t="shared" si="10"/>
        <v>1815</v>
      </c>
      <c r="F175">
        <v>1.1735500000000001</v>
      </c>
      <c r="G175">
        <f t="shared" si="11"/>
        <v>0.59072000000000002</v>
      </c>
      <c r="H175">
        <f t="shared" si="11"/>
        <v>-0.693635</v>
      </c>
      <c r="I175" s="5">
        <f t="shared" si="12"/>
        <v>1815</v>
      </c>
      <c r="J175">
        <f t="shared" si="13"/>
        <v>0.66789186365594655</v>
      </c>
      <c r="K175">
        <f t="shared" si="14"/>
        <v>-0.43542298736631319</v>
      </c>
    </row>
    <row r="176" spans="1:11" x14ac:dyDescent="0.25">
      <c r="A176" s="1"/>
      <c r="B176" t="s">
        <v>190</v>
      </c>
      <c r="C176" t="s">
        <v>24</v>
      </c>
      <c r="D176" s="3">
        <v>6.958333333333333</v>
      </c>
      <c r="E176" s="5">
        <f t="shared" si="10"/>
        <v>1816</v>
      </c>
      <c r="F176">
        <v>1.71018</v>
      </c>
      <c r="G176">
        <f t="shared" si="11"/>
        <v>-0.43876000000000004</v>
      </c>
      <c r="H176">
        <f t="shared" si="11"/>
        <v>-1.0044599999999999</v>
      </c>
      <c r="I176" s="5">
        <f t="shared" si="12"/>
        <v>1816</v>
      </c>
      <c r="J176">
        <f t="shared" si="13"/>
        <v>1.5732184288358462</v>
      </c>
      <c r="K176">
        <f t="shared" si="14"/>
        <v>5.6772027350534653E-3</v>
      </c>
    </row>
    <row r="177" spans="1:11" x14ac:dyDescent="0.25">
      <c r="A177" s="1"/>
      <c r="B177" t="s">
        <v>191</v>
      </c>
      <c r="C177" t="s">
        <v>24</v>
      </c>
      <c r="D177" s="3">
        <v>7</v>
      </c>
      <c r="E177" s="5">
        <f t="shared" si="10"/>
        <v>1817</v>
      </c>
      <c r="F177">
        <v>0.29603000000000002</v>
      </c>
      <c r="G177">
        <f t="shared" si="11"/>
        <v>-1.4182000000000001</v>
      </c>
      <c r="H177">
        <f t="shared" si="11"/>
        <v>-0.21458499999999997</v>
      </c>
      <c r="I177" s="5">
        <f t="shared" si="12"/>
        <v>1817</v>
      </c>
      <c r="J177">
        <f t="shared" si="13"/>
        <v>0.25442583209212355</v>
      </c>
      <c r="K177">
        <f t="shared" si="14"/>
        <v>0.42517355333900581</v>
      </c>
    </row>
    <row r="178" spans="1:11" x14ac:dyDescent="0.25">
      <c r="A178" s="1"/>
      <c r="B178" t="s">
        <v>192</v>
      </c>
      <c r="C178" t="s">
        <v>24</v>
      </c>
      <c r="D178" s="3">
        <v>7.041666666666667</v>
      </c>
      <c r="E178" s="5">
        <f t="shared" si="10"/>
        <v>1818</v>
      </c>
      <c r="F178">
        <v>-1.12622</v>
      </c>
      <c r="G178">
        <f t="shared" si="11"/>
        <v>-0.86792999999999998</v>
      </c>
      <c r="H178">
        <f t="shared" si="11"/>
        <v>0.49764000000000008</v>
      </c>
      <c r="I178" s="5">
        <f t="shared" si="12"/>
        <v>1818</v>
      </c>
      <c r="J178">
        <f t="shared" si="13"/>
        <v>-0.99311982974375312</v>
      </c>
      <c r="K178">
        <f t="shared" si="14"/>
        <v>-0.7732714719777305</v>
      </c>
    </row>
    <row r="179" spans="1:11" x14ac:dyDescent="0.25">
      <c r="A179" s="1"/>
      <c r="B179" t="s">
        <v>193</v>
      </c>
      <c r="C179" t="s">
        <v>24</v>
      </c>
      <c r="D179" s="3">
        <v>7.083333333333333</v>
      </c>
      <c r="E179" s="5">
        <f t="shared" si="10"/>
        <v>1819</v>
      </c>
      <c r="F179">
        <v>-1.4398299999999999</v>
      </c>
      <c r="G179">
        <f t="shared" si="11"/>
        <v>-0.42291999999999996</v>
      </c>
      <c r="H179">
        <f t="shared" si="11"/>
        <v>0.89212999999999987</v>
      </c>
      <c r="I179" s="5">
        <f t="shared" si="12"/>
        <v>1819</v>
      </c>
      <c r="J179">
        <f t="shared" si="13"/>
        <v>-0.48196726792906786</v>
      </c>
      <c r="K179">
        <f t="shared" si="14"/>
        <v>0.97086518377804643</v>
      </c>
    </row>
    <row r="180" spans="1:11" x14ac:dyDescent="0.25">
      <c r="A180" s="1"/>
      <c r="B180" t="s">
        <v>194</v>
      </c>
      <c r="C180" t="s">
        <v>24</v>
      </c>
      <c r="D180" s="3">
        <v>7.125</v>
      </c>
      <c r="E180" s="5">
        <f t="shared" si="10"/>
        <v>1820</v>
      </c>
      <c r="F180">
        <v>-1.9720599999999999</v>
      </c>
      <c r="G180">
        <f t="shared" si="11"/>
        <v>0.91632999999999998</v>
      </c>
      <c r="H180">
        <f t="shared" si="11"/>
        <v>0.56275249999999999</v>
      </c>
      <c r="I180" s="5">
        <f t="shared" si="12"/>
        <v>1820</v>
      </c>
      <c r="J180">
        <f t="shared" si="13"/>
        <v>-1.0166202383528231</v>
      </c>
      <c r="K180">
        <f t="shared" si="14"/>
        <v>-0.97949641638871365</v>
      </c>
    </row>
    <row r="181" spans="1:11" x14ac:dyDescent="0.25">
      <c r="A181" s="1"/>
      <c r="B181" t="s">
        <v>195</v>
      </c>
      <c r="C181" t="s">
        <v>24</v>
      </c>
      <c r="D181" s="3">
        <v>7.166666666666667</v>
      </c>
      <c r="E181" s="5">
        <f t="shared" si="10"/>
        <v>1821</v>
      </c>
      <c r="F181">
        <v>0.39283000000000001</v>
      </c>
      <c r="G181">
        <f t="shared" si="11"/>
        <v>0.70258500000000002</v>
      </c>
      <c r="H181">
        <f t="shared" si="11"/>
        <v>-0.71552749999999987</v>
      </c>
      <c r="I181" s="5">
        <f t="shared" si="12"/>
        <v>1821</v>
      </c>
      <c r="J181">
        <f t="shared" si="13"/>
        <v>-0.32343219206710594</v>
      </c>
      <c r="K181">
        <f t="shared" si="14"/>
        <v>0.79748524643792051</v>
      </c>
    </row>
    <row r="182" spans="1:11" x14ac:dyDescent="0.25">
      <c r="A182" s="1"/>
      <c r="B182" t="s">
        <v>196</v>
      </c>
      <c r="C182" t="s">
        <v>24</v>
      </c>
      <c r="D182" s="3">
        <v>7.208333333333333</v>
      </c>
      <c r="E182" s="5">
        <f t="shared" si="10"/>
        <v>1822</v>
      </c>
      <c r="F182">
        <v>-0.56689000000000001</v>
      </c>
      <c r="G182">
        <f t="shared" si="11"/>
        <v>-0.51472499999999999</v>
      </c>
      <c r="H182">
        <f t="shared" si="11"/>
        <v>-0.15780749999999999</v>
      </c>
      <c r="I182" s="5">
        <f t="shared" si="12"/>
        <v>1822</v>
      </c>
      <c r="J182">
        <f t="shared" si="13"/>
        <v>-0.93602069303203295</v>
      </c>
      <c r="K182">
        <f t="shared" si="14"/>
        <v>-0.46025706819202866</v>
      </c>
    </row>
    <row r="183" spans="1:11" x14ac:dyDescent="0.25">
      <c r="A183" s="1"/>
      <c r="B183" t="s">
        <v>197</v>
      </c>
      <c r="C183" t="s">
        <v>24</v>
      </c>
      <c r="D183" s="3">
        <v>7.25</v>
      </c>
      <c r="E183" s="5">
        <f t="shared" si="10"/>
        <v>1823</v>
      </c>
      <c r="F183">
        <v>-0.63661999999999996</v>
      </c>
      <c r="G183">
        <f t="shared" si="11"/>
        <v>0.38696999999999998</v>
      </c>
      <c r="H183">
        <f t="shared" si="11"/>
        <v>0.57118499999999994</v>
      </c>
      <c r="I183" s="5">
        <f t="shared" si="12"/>
        <v>1823</v>
      </c>
      <c r="J183">
        <f t="shared" si="13"/>
        <v>-0.44460427195080732</v>
      </c>
      <c r="K183">
        <f t="shared" si="14"/>
        <v>3.3447640022555528E-2</v>
      </c>
    </row>
    <row r="184" spans="1:11" x14ac:dyDescent="0.25">
      <c r="A184" s="1"/>
      <c r="B184" t="s">
        <v>198</v>
      </c>
      <c r="C184" t="s">
        <v>24</v>
      </c>
      <c r="D184" s="3">
        <v>7.291666666666667</v>
      </c>
      <c r="E184" s="5">
        <f t="shared" si="10"/>
        <v>1824</v>
      </c>
      <c r="F184">
        <v>0.20705000000000001</v>
      </c>
      <c r="G184">
        <f t="shared" si="11"/>
        <v>0.62764500000000001</v>
      </c>
      <c r="H184">
        <f t="shared" si="11"/>
        <v>-0.24392</v>
      </c>
      <c r="I184" s="5">
        <f t="shared" si="12"/>
        <v>1824</v>
      </c>
      <c r="J184">
        <f t="shared" si="13"/>
        <v>6.0607336172758181E-2</v>
      </c>
      <c r="K184">
        <f t="shared" si="14"/>
        <v>0.39987180528227229</v>
      </c>
    </row>
    <row r="185" spans="1:11" x14ac:dyDescent="0.25">
      <c r="A185" s="1"/>
      <c r="B185" t="s">
        <v>199</v>
      </c>
      <c r="C185" t="s">
        <v>24</v>
      </c>
      <c r="D185" s="3">
        <v>7.333333333333333</v>
      </c>
      <c r="E185" s="5">
        <f t="shared" si="10"/>
        <v>1825</v>
      </c>
      <c r="F185">
        <v>0.61867000000000005</v>
      </c>
      <c r="G185">
        <f t="shared" si="11"/>
        <v>-0.10086999999999999</v>
      </c>
      <c r="H185">
        <f t="shared" si="11"/>
        <v>-0.21577250000000003</v>
      </c>
      <c r="I185" s="5">
        <f t="shared" si="12"/>
        <v>1825</v>
      </c>
      <c r="J185">
        <f t="shared" si="13"/>
        <v>0.46973239695231717</v>
      </c>
      <c r="K185">
        <f t="shared" si="14"/>
        <v>-0.75536297025777333</v>
      </c>
    </row>
    <row r="186" spans="1:11" x14ac:dyDescent="0.25">
      <c r="A186" s="1"/>
      <c r="B186" t="s">
        <v>200</v>
      </c>
      <c r="C186" t="s">
        <v>24</v>
      </c>
      <c r="D186" s="3">
        <v>7.375</v>
      </c>
      <c r="E186" s="5">
        <f t="shared" si="10"/>
        <v>1826</v>
      </c>
      <c r="F186">
        <v>5.3099999999999996E-3</v>
      </c>
      <c r="G186">
        <f t="shared" si="11"/>
        <v>0.1961</v>
      </c>
      <c r="H186">
        <f t="shared" si="11"/>
        <v>0.35253250000000003</v>
      </c>
      <c r="I186" s="5">
        <f t="shared" si="12"/>
        <v>1826</v>
      </c>
      <c r="J186">
        <f t="shared" si="13"/>
        <v>0.35691901870218751</v>
      </c>
      <c r="K186">
        <f t="shared" si="14"/>
        <v>0.96383551520971722</v>
      </c>
    </row>
    <row r="187" spans="1:11" x14ac:dyDescent="0.25">
      <c r="A187" s="1"/>
      <c r="B187" t="s">
        <v>201</v>
      </c>
      <c r="C187" t="s">
        <v>24</v>
      </c>
      <c r="D187" s="3">
        <v>7.416666666666667</v>
      </c>
      <c r="E187" s="5">
        <f t="shared" si="10"/>
        <v>1827</v>
      </c>
      <c r="F187">
        <v>1.0108699999999999</v>
      </c>
      <c r="G187">
        <f t="shared" si="11"/>
        <v>0.60419500000000004</v>
      </c>
      <c r="H187">
        <f t="shared" si="11"/>
        <v>-0.13548999999999997</v>
      </c>
      <c r="I187" s="5">
        <f t="shared" si="12"/>
        <v>1827</v>
      </c>
      <c r="J187">
        <f t="shared" si="13"/>
        <v>0.7467120626657755</v>
      </c>
      <c r="K187">
        <f t="shared" si="14"/>
        <v>-0.98471378700385692</v>
      </c>
    </row>
    <row r="188" spans="1:11" x14ac:dyDescent="0.25">
      <c r="A188" s="1"/>
      <c r="B188" t="s">
        <v>202</v>
      </c>
      <c r="C188" t="s">
        <v>24</v>
      </c>
      <c r="D188" s="3">
        <v>7.458333333333333</v>
      </c>
      <c r="E188" s="5">
        <f t="shared" si="10"/>
        <v>1828</v>
      </c>
      <c r="F188">
        <v>1.2137</v>
      </c>
      <c r="G188">
        <f t="shared" si="11"/>
        <v>-7.4879999999999947E-2</v>
      </c>
      <c r="H188">
        <f t="shared" si="11"/>
        <v>-0.59293250000000008</v>
      </c>
      <c r="I188" s="5">
        <f t="shared" si="12"/>
        <v>1828</v>
      </c>
      <c r="J188">
        <f t="shared" si="13"/>
        <v>0.87193391113248575</v>
      </c>
      <c r="K188">
        <f t="shared" si="14"/>
        <v>0.81393418333439815</v>
      </c>
    </row>
    <row r="189" spans="1:11" x14ac:dyDescent="0.25">
      <c r="A189" s="1"/>
      <c r="B189" t="s">
        <v>203</v>
      </c>
      <c r="C189" t="s">
        <v>24</v>
      </c>
      <c r="D189" s="3">
        <v>7.5</v>
      </c>
      <c r="E189" s="5">
        <f t="shared" si="10"/>
        <v>1829</v>
      </c>
      <c r="F189">
        <v>0.86111000000000004</v>
      </c>
      <c r="G189">
        <f t="shared" si="11"/>
        <v>-0.58167000000000002</v>
      </c>
      <c r="H189">
        <f t="shared" si="11"/>
        <v>-0.29718250000000007</v>
      </c>
      <c r="I189" s="5">
        <f t="shared" si="12"/>
        <v>1829</v>
      </c>
      <c r="J189">
        <f t="shared" si="13"/>
        <v>1.0246807496237997</v>
      </c>
      <c r="K189">
        <f t="shared" si="14"/>
        <v>-0.48473606414916265</v>
      </c>
    </row>
    <row r="190" spans="1:11" x14ac:dyDescent="0.25">
      <c r="A190" s="1"/>
      <c r="B190" t="s">
        <v>204</v>
      </c>
      <c r="C190" t="s">
        <v>24</v>
      </c>
      <c r="D190" s="3">
        <v>7.541666666666667</v>
      </c>
      <c r="E190" s="5">
        <f t="shared" si="10"/>
        <v>1830</v>
      </c>
      <c r="F190">
        <v>5.0360000000000002E-2</v>
      </c>
      <c r="G190">
        <f t="shared" si="11"/>
        <v>-0.66924500000000009</v>
      </c>
      <c r="H190">
        <f t="shared" si="11"/>
        <v>0.44809749999999998</v>
      </c>
      <c r="I190" s="5">
        <f t="shared" si="12"/>
        <v>1830</v>
      </c>
      <c r="J190">
        <f t="shared" si="13"/>
        <v>0.52710008794503427</v>
      </c>
      <c r="K190">
        <f t="shared" si="14"/>
        <v>6.1192272706222545E-2</v>
      </c>
    </row>
    <row r="191" spans="1:11" x14ac:dyDescent="0.25">
      <c r="A191" s="1"/>
      <c r="B191" t="s">
        <v>205</v>
      </c>
      <c r="C191" t="s">
        <v>24</v>
      </c>
      <c r="D191" s="3">
        <v>7.583333333333333</v>
      </c>
      <c r="E191" s="5">
        <f t="shared" si="10"/>
        <v>1831</v>
      </c>
      <c r="F191">
        <v>-0.47738000000000003</v>
      </c>
      <c r="G191">
        <f t="shared" si="11"/>
        <v>0.314525</v>
      </c>
      <c r="H191">
        <f t="shared" si="11"/>
        <v>0.99036500000000005</v>
      </c>
      <c r="I191" s="5">
        <f t="shared" si="12"/>
        <v>1831</v>
      </c>
      <c r="J191">
        <f t="shared" si="13"/>
        <v>0.38008088887556979</v>
      </c>
      <c r="K191">
        <f t="shared" si="14"/>
        <v>0.37426155913187092</v>
      </c>
    </row>
    <row r="192" spans="1:11" x14ac:dyDescent="0.25">
      <c r="A192" s="1"/>
      <c r="B192" t="s">
        <v>206</v>
      </c>
      <c r="C192" t="s">
        <v>24</v>
      </c>
      <c r="D192" s="3">
        <v>7.625</v>
      </c>
      <c r="E192" s="5">
        <f t="shared" si="10"/>
        <v>1832</v>
      </c>
      <c r="F192">
        <v>0.67940999999999996</v>
      </c>
      <c r="G192">
        <f t="shared" si="11"/>
        <v>1.311485</v>
      </c>
      <c r="H192">
        <f t="shared" si="11"/>
        <v>-0.10163499999999992</v>
      </c>
      <c r="I192" s="5">
        <f t="shared" si="12"/>
        <v>1832</v>
      </c>
      <c r="J192">
        <f t="shared" si="13"/>
        <v>0.52284717748005127</v>
      </c>
      <c r="K192">
        <f t="shared" si="14"/>
        <v>-0.73687171168265297</v>
      </c>
    </row>
    <row r="193" spans="1:11" x14ac:dyDescent="0.25">
      <c r="A193" s="1"/>
      <c r="B193" t="s">
        <v>207</v>
      </c>
      <c r="C193" t="s">
        <v>24</v>
      </c>
      <c r="D193" s="3">
        <v>7.666666666666667</v>
      </c>
      <c r="E193" s="5">
        <f t="shared" si="10"/>
        <v>1833</v>
      </c>
      <c r="F193">
        <v>2.1455899999999999</v>
      </c>
      <c r="G193">
        <f t="shared" si="11"/>
        <v>0.1112550000000001</v>
      </c>
      <c r="H193">
        <f t="shared" si="11"/>
        <v>-1.1854450000000001</v>
      </c>
      <c r="I193" s="5">
        <f t="shared" si="12"/>
        <v>1833</v>
      </c>
      <c r="J193">
        <f t="shared" si="13"/>
        <v>0.54539177429800145</v>
      </c>
      <c r="K193">
        <f t="shared" si="14"/>
        <v>0.95606225478442064</v>
      </c>
    </row>
    <row r="194" spans="1:11" x14ac:dyDescent="0.25">
      <c r="A194" s="1"/>
      <c r="B194" t="s">
        <v>208</v>
      </c>
      <c r="C194" t="s">
        <v>24</v>
      </c>
      <c r="D194" s="3">
        <v>7.708333333333333</v>
      </c>
      <c r="E194" s="5">
        <f t="shared" si="10"/>
        <v>1834</v>
      </c>
      <c r="F194">
        <v>0.90192000000000005</v>
      </c>
      <c r="G194">
        <f t="shared" si="11"/>
        <v>-1.0594049999999999</v>
      </c>
      <c r="H194">
        <f t="shared" si="11"/>
        <v>-0.27895250000000005</v>
      </c>
      <c r="I194" s="5">
        <f t="shared" si="12"/>
        <v>1834</v>
      </c>
      <c r="J194">
        <f t="shared" si="13"/>
        <v>0.658908293214161</v>
      </c>
      <c r="K194">
        <f t="shared" si="14"/>
        <v>-0.98917145833237297</v>
      </c>
    </row>
    <row r="195" spans="1:11" x14ac:dyDescent="0.25">
      <c r="A195" s="1"/>
      <c r="B195" t="s">
        <v>209</v>
      </c>
      <c r="C195" t="s">
        <v>24</v>
      </c>
      <c r="D195" s="3">
        <v>7.75</v>
      </c>
      <c r="E195" s="5">
        <f t="shared" si="10"/>
        <v>1835</v>
      </c>
      <c r="F195">
        <v>2.6780000000000002E-2</v>
      </c>
      <c r="G195">
        <f t="shared" si="11"/>
        <v>-0.44664999999999999</v>
      </c>
      <c r="H195">
        <f t="shared" si="11"/>
        <v>0.77795749999999997</v>
      </c>
      <c r="I195" s="5">
        <f t="shared" si="12"/>
        <v>1835</v>
      </c>
      <c r="J195">
        <f t="shared" si="13"/>
        <v>0.81581730425206178</v>
      </c>
      <c r="K195">
        <f t="shared" si="14"/>
        <v>0.82975517612442529</v>
      </c>
    </row>
    <row r="196" spans="1:11" x14ac:dyDescent="0.25">
      <c r="A196" s="1"/>
      <c r="B196" t="s">
        <v>210</v>
      </c>
      <c r="C196" t="s">
        <v>24</v>
      </c>
      <c r="D196" s="3">
        <v>7.791666666666667</v>
      </c>
      <c r="E196" s="5">
        <f t="shared" si="10"/>
        <v>1836</v>
      </c>
      <c r="F196">
        <v>8.6199999999999992E-3</v>
      </c>
      <c r="G196">
        <f t="shared" si="11"/>
        <v>0.49651000000000001</v>
      </c>
      <c r="H196">
        <f t="shared" si="11"/>
        <v>0.43676499999999996</v>
      </c>
      <c r="I196" s="5">
        <f t="shared" si="12"/>
        <v>1836</v>
      </c>
      <c r="J196">
        <f t="shared" si="13"/>
        <v>0.45055529766358943</v>
      </c>
      <c r="K196">
        <f t="shared" si="14"/>
        <v>-0.50884108987468557</v>
      </c>
    </row>
    <row r="197" spans="1:11" x14ac:dyDescent="0.25">
      <c r="A197" s="1"/>
      <c r="B197" t="s">
        <v>211</v>
      </c>
      <c r="C197" t="s">
        <v>24</v>
      </c>
      <c r="D197" s="3">
        <v>7.833333333333333</v>
      </c>
      <c r="E197" s="5">
        <f t="shared" si="10"/>
        <v>1837</v>
      </c>
      <c r="F197">
        <v>1.0198</v>
      </c>
      <c r="G197">
        <f t="shared" si="11"/>
        <v>0.42687999999999998</v>
      </c>
      <c r="H197">
        <f t="shared" si="11"/>
        <v>3.9147500000000002E-2</v>
      </c>
      <c r="I197" s="5">
        <f t="shared" si="12"/>
        <v>1837</v>
      </c>
      <c r="J197">
        <f t="shared" si="13"/>
        <v>1.5020998476826009</v>
      </c>
      <c r="K197">
        <f t="shared" si="14"/>
        <v>8.88896960122494E-2</v>
      </c>
    </row>
    <row r="198" spans="1:11" x14ac:dyDescent="0.25">
      <c r="A198" s="1"/>
      <c r="B198" t="s">
        <v>212</v>
      </c>
      <c r="C198" t="s">
        <v>24</v>
      </c>
      <c r="D198" s="3">
        <v>7.875</v>
      </c>
      <c r="E198" s="5">
        <f t="shared" si="10"/>
        <v>1838</v>
      </c>
      <c r="F198">
        <v>0.86238000000000004</v>
      </c>
      <c r="G198">
        <f t="shared" si="11"/>
        <v>0.57480500000000001</v>
      </c>
      <c r="H198">
        <f t="shared" si="11"/>
        <v>-0.33481749999999999</v>
      </c>
      <c r="I198" s="5">
        <f t="shared" si="12"/>
        <v>1838</v>
      </c>
      <c r="J198">
        <f t="shared" si="13"/>
        <v>0.58205380212731361</v>
      </c>
      <c r="K198">
        <f t="shared" si="14"/>
        <v>0.34836257300192824</v>
      </c>
    </row>
    <row r="199" spans="1:11" x14ac:dyDescent="0.25">
      <c r="A199" s="1"/>
      <c r="B199" t="s">
        <v>213</v>
      </c>
      <c r="C199" t="s">
        <v>24</v>
      </c>
      <c r="D199" s="3">
        <v>7.916666666666667</v>
      </c>
      <c r="E199" s="5">
        <f t="shared" si="10"/>
        <v>1839</v>
      </c>
      <c r="F199">
        <v>2.1694100000000001</v>
      </c>
      <c r="G199">
        <f t="shared" si="11"/>
        <v>-0.24275499999999994</v>
      </c>
      <c r="H199">
        <f t="shared" si="11"/>
        <v>-0.81347749999999996</v>
      </c>
      <c r="I199" s="5">
        <f t="shared" si="12"/>
        <v>1839</v>
      </c>
      <c r="J199">
        <f t="shared" si="13"/>
        <v>0.94818947251521279</v>
      </c>
      <c r="K199">
        <f t="shared" si="14"/>
        <v>-0.71781196211876896</v>
      </c>
    </row>
    <row r="200" spans="1:11" x14ac:dyDescent="0.25">
      <c r="A200" s="1"/>
      <c r="B200" t="s">
        <v>214</v>
      </c>
      <c r="C200" t="s">
        <v>24</v>
      </c>
      <c r="D200" s="3">
        <v>7.958333333333333</v>
      </c>
      <c r="E200" s="5">
        <f t="shared" si="10"/>
        <v>1840</v>
      </c>
      <c r="F200">
        <v>0.37686999999999998</v>
      </c>
      <c r="G200">
        <f t="shared" si="11"/>
        <v>-1.0521499999999999</v>
      </c>
      <c r="H200">
        <f t="shared" si="11"/>
        <v>-0.18904500000000002</v>
      </c>
      <c r="I200" s="5">
        <f t="shared" si="12"/>
        <v>1840</v>
      </c>
      <c r="J200">
        <f t="shared" si="13"/>
        <v>0.1508234537263336</v>
      </c>
      <c r="K200">
        <f t="shared" si="14"/>
        <v>0.94755139951387002</v>
      </c>
    </row>
    <row r="201" spans="1:11" x14ac:dyDescent="0.25">
      <c r="A201" s="1"/>
      <c r="B201" t="s">
        <v>215</v>
      </c>
      <c r="C201" t="s">
        <v>24</v>
      </c>
      <c r="D201" s="3">
        <v>8</v>
      </c>
      <c r="E201" s="5">
        <f t="shared" si="10"/>
        <v>1841</v>
      </c>
      <c r="F201">
        <v>6.5110000000000001E-2</v>
      </c>
      <c r="G201">
        <f t="shared" si="11"/>
        <v>-0.62084499999999998</v>
      </c>
      <c r="H201">
        <f t="shared" si="11"/>
        <v>0.51972499999999999</v>
      </c>
      <c r="I201" s="5">
        <f t="shared" si="12"/>
        <v>1841</v>
      </c>
      <c r="J201">
        <f t="shared" si="13"/>
        <v>0.60134770722135422</v>
      </c>
      <c r="K201">
        <f t="shared" si="14"/>
        <v>-0.99286599131403841</v>
      </c>
    </row>
    <row r="202" spans="1:11" x14ac:dyDescent="0.25">
      <c r="A202" s="1"/>
      <c r="B202" t="s">
        <v>216</v>
      </c>
      <c r="C202" t="s">
        <v>24</v>
      </c>
      <c r="D202" s="3">
        <v>8.0416666666666661</v>
      </c>
      <c r="E202" s="5">
        <f t="shared" si="10"/>
        <v>1842</v>
      </c>
      <c r="F202">
        <v>-0.86482000000000003</v>
      </c>
      <c r="G202">
        <f t="shared" si="11"/>
        <v>-1.2699999999999989E-2</v>
      </c>
      <c r="H202">
        <f t="shared" si="11"/>
        <v>0.66647499999999993</v>
      </c>
      <c r="I202" s="5">
        <f t="shared" si="12"/>
        <v>1842</v>
      </c>
      <c r="J202">
        <f t="shared" si="13"/>
        <v>-0.68116942344894071</v>
      </c>
      <c r="K202">
        <f t="shared" si="14"/>
        <v>0.844936019031991</v>
      </c>
    </row>
    <row r="203" spans="1:11" x14ac:dyDescent="0.25">
      <c r="A203" s="1"/>
      <c r="B203" t="s">
        <v>217</v>
      </c>
      <c r="C203" t="s">
        <v>24</v>
      </c>
      <c r="D203" s="3">
        <v>8.0833333333333339</v>
      </c>
      <c r="E203" s="5">
        <f t="shared" si="10"/>
        <v>1843</v>
      </c>
      <c r="F203">
        <v>3.9710000000000002E-2</v>
      </c>
      <c r="G203">
        <f t="shared" si="11"/>
        <v>0.71210499999999999</v>
      </c>
      <c r="H203">
        <f t="shared" si="11"/>
        <v>0.10074999999999995</v>
      </c>
      <c r="I203" s="5">
        <f t="shared" si="12"/>
        <v>1843</v>
      </c>
      <c r="J203">
        <f t="shared" si="13"/>
        <v>0.16222620537737426</v>
      </c>
      <c r="K203">
        <f t="shared" si="14"/>
        <v>-0.5325535485232018</v>
      </c>
    </row>
    <row r="204" spans="1:11" x14ac:dyDescent="0.25">
      <c r="A204" s="1"/>
      <c r="B204" t="s">
        <v>218</v>
      </c>
      <c r="C204" t="s">
        <v>24</v>
      </c>
      <c r="D204" s="3">
        <v>8.125</v>
      </c>
      <c r="E204" s="5">
        <f t="shared" ref="E204:E267" si="15">+E203+1</f>
        <v>1844</v>
      </c>
      <c r="F204">
        <v>0.55939000000000005</v>
      </c>
      <c r="G204">
        <f t="shared" ref="G204:H267" si="16">+(F205-F204)/2+(F204-F203)/2</f>
        <v>0.1888</v>
      </c>
      <c r="H204">
        <f t="shared" si="16"/>
        <v>-0.24452000000000004</v>
      </c>
      <c r="I204" s="5">
        <f t="shared" si="12"/>
        <v>1844</v>
      </c>
      <c r="J204">
        <f t="shared" si="13"/>
        <v>0.44467561743842265</v>
      </c>
      <c r="K204">
        <f t="shared" si="14"/>
        <v>0.11651854158488202</v>
      </c>
    </row>
    <row r="205" spans="1:11" x14ac:dyDescent="0.25">
      <c r="A205" s="1"/>
      <c r="B205" t="s">
        <v>219</v>
      </c>
      <c r="C205" t="s">
        <v>24</v>
      </c>
      <c r="D205" s="3">
        <v>8.1666666666666661</v>
      </c>
      <c r="E205" s="5">
        <f t="shared" si="15"/>
        <v>1845</v>
      </c>
      <c r="F205">
        <v>0.41731000000000001</v>
      </c>
      <c r="G205">
        <f t="shared" si="16"/>
        <v>0.22306499999999993</v>
      </c>
      <c r="H205">
        <f t="shared" si="16"/>
        <v>-0.45722249999999998</v>
      </c>
      <c r="I205" s="5">
        <f t="shared" ref="I205:I268" si="17">+E205</f>
        <v>1845</v>
      </c>
      <c r="J205">
        <f t="shared" ref="J205:J268" si="18">+$J$6*F205+F205*$J$7*COS(2*PI()*$I205/$J$8+$J$9)+H205</f>
        <v>-8.6732325808511035E-2</v>
      </c>
      <c r="K205">
        <f t="shared" ref="K205:K268" si="19">+$K$8*COS(2*PI()*$I205/$K$6+$K$7)</f>
        <v>0.32219482776392361</v>
      </c>
    </row>
    <row r="206" spans="1:11" x14ac:dyDescent="0.25">
      <c r="A206" s="1"/>
      <c r="B206" t="s">
        <v>220</v>
      </c>
      <c r="C206" t="s">
        <v>24</v>
      </c>
      <c r="D206" s="3">
        <v>8.2083333333333339</v>
      </c>
      <c r="E206" s="5">
        <f t="shared" si="15"/>
        <v>1846</v>
      </c>
      <c r="F206">
        <v>1.00552</v>
      </c>
      <c r="G206">
        <f t="shared" si="16"/>
        <v>-0.72564499999999998</v>
      </c>
      <c r="H206">
        <f t="shared" si="16"/>
        <v>-0.29167499999999996</v>
      </c>
      <c r="I206" s="5">
        <f t="shared" si="17"/>
        <v>1846</v>
      </c>
      <c r="J206">
        <f t="shared" si="18"/>
        <v>0.53074024546429199</v>
      </c>
      <c r="K206">
        <f t="shared" si="19"/>
        <v>-0.69819842602092808</v>
      </c>
    </row>
    <row r="207" spans="1:11" x14ac:dyDescent="0.25">
      <c r="A207" s="1"/>
      <c r="B207" t="s">
        <v>221</v>
      </c>
      <c r="C207" t="s">
        <v>24</v>
      </c>
      <c r="D207" s="3">
        <v>8.25</v>
      </c>
      <c r="E207" s="5">
        <f t="shared" si="15"/>
        <v>1847</v>
      </c>
      <c r="F207">
        <v>-1.0339799999999999</v>
      </c>
      <c r="G207">
        <f t="shared" si="16"/>
        <v>-0.36028499999999997</v>
      </c>
      <c r="H207">
        <f t="shared" si="16"/>
        <v>0.67042999999999997</v>
      </c>
      <c r="I207" s="5">
        <f t="shared" si="17"/>
        <v>1847</v>
      </c>
      <c r="J207">
        <f t="shared" si="18"/>
        <v>-0.45015759375978781</v>
      </c>
      <c r="K207">
        <f t="shared" si="19"/>
        <v>0.93830951545950647</v>
      </c>
    </row>
    <row r="208" spans="1:11" x14ac:dyDescent="0.25">
      <c r="A208" s="1"/>
      <c r="B208" t="s">
        <v>222</v>
      </c>
      <c r="C208" t="s">
        <v>24</v>
      </c>
      <c r="D208" s="3">
        <v>8.2916666666666661</v>
      </c>
      <c r="E208" s="5">
        <f t="shared" si="15"/>
        <v>1848</v>
      </c>
      <c r="F208">
        <v>0.28494999999999998</v>
      </c>
      <c r="G208">
        <f t="shared" si="16"/>
        <v>0.61521499999999996</v>
      </c>
      <c r="H208">
        <f t="shared" si="16"/>
        <v>0.11218250000000002</v>
      </c>
      <c r="I208" s="5">
        <f t="shared" si="17"/>
        <v>1848</v>
      </c>
      <c r="J208">
        <f t="shared" si="18"/>
        <v>0.5258631783754375</v>
      </c>
      <c r="K208">
        <f t="shared" si="19"/>
        <v>-0.99579453564466336</v>
      </c>
    </row>
    <row r="209" spans="1:11" x14ac:dyDescent="0.25">
      <c r="A209" s="1"/>
      <c r="B209" t="s">
        <v>223</v>
      </c>
      <c r="C209" t="s">
        <v>24</v>
      </c>
      <c r="D209" s="3">
        <v>8.3333333333333339</v>
      </c>
      <c r="E209" s="5">
        <f t="shared" si="15"/>
        <v>1849</v>
      </c>
      <c r="F209">
        <v>0.19645000000000001</v>
      </c>
      <c r="G209">
        <f t="shared" si="16"/>
        <v>-0.13591999999999999</v>
      </c>
      <c r="H209">
        <f t="shared" si="16"/>
        <v>-0.56049999999999989</v>
      </c>
      <c r="I209" s="5">
        <f t="shared" si="17"/>
        <v>1849</v>
      </c>
      <c r="J209">
        <f t="shared" si="18"/>
        <v>-0.24646807394742387</v>
      </c>
      <c r="K209">
        <f t="shared" si="19"/>
        <v>0.85946500014987881</v>
      </c>
    </row>
    <row r="210" spans="1:11" x14ac:dyDescent="0.25">
      <c r="A210" s="1"/>
      <c r="B210" t="s">
        <v>224</v>
      </c>
      <c r="C210" t="s">
        <v>24</v>
      </c>
      <c r="D210" s="3">
        <v>8.375</v>
      </c>
      <c r="E210" s="5">
        <f t="shared" si="15"/>
        <v>1850</v>
      </c>
      <c r="F210">
        <v>1.311E-2</v>
      </c>
      <c r="G210">
        <f t="shared" si="16"/>
        <v>-0.50578499999999993</v>
      </c>
      <c r="H210">
        <f t="shared" si="16"/>
        <v>0.41213750000000005</v>
      </c>
      <c r="I210" s="5">
        <f t="shared" si="17"/>
        <v>1850</v>
      </c>
      <c r="J210">
        <f t="shared" si="18"/>
        <v>0.43042718171782857</v>
      </c>
      <c r="K210">
        <f t="shared" si="19"/>
        <v>-0.55585514611181397</v>
      </c>
    </row>
    <row r="211" spans="1:11" x14ac:dyDescent="0.25">
      <c r="A211" s="1"/>
      <c r="B211" t="s">
        <v>225</v>
      </c>
      <c r="C211" t="s">
        <v>24</v>
      </c>
      <c r="D211" s="3">
        <v>8.4166666666666661</v>
      </c>
      <c r="E211" s="5">
        <f t="shared" si="15"/>
        <v>1851</v>
      </c>
      <c r="F211">
        <v>-0.81511999999999996</v>
      </c>
      <c r="G211">
        <f t="shared" si="16"/>
        <v>0.68835500000000005</v>
      </c>
      <c r="H211">
        <f t="shared" si="16"/>
        <v>0.65467249999999999</v>
      </c>
      <c r="I211" s="5">
        <f t="shared" si="17"/>
        <v>1851</v>
      </c>
      <c r="J211">
        <f t="shared" si="18"/>
        <v>-0.1769271482660526</v>
      </c>
      <c r="K211">
        <f t="shared" si="19"/>
        <v>0.14405749397919373</v>
      </c>
    </row>
    <row r="212" spans="1:11" x14ac:dyDescent="0.25">
      <c r="A212" s="1"/>
      <c r="B212" t="s">
        <v>226</v>
      </c>
      <c r="C212" t="s">
        <v>24</v>
      </c>
      <c r="D212" s="3">
        <v>8.4583333333333339</v>
      </c>
      <c r="E212" s="5">
        <f t="shared" si="15"/>
        <v>1852</v>
      </c>
      <c r="F212">
        <v>1.3898200000000001</v>
      </c>
      <c r="G212">
        <f t="shared" si="16"/>
        <v>0.80356000000000005</v>
      </c>
      <c r="H212">
        <f t="shared" si="16"/>
        <v>-0.74697999999999998</v>
      </c>
      <c r="I212" s="5">
        <f t="shared" si="17"/>
        <v>1852</v>
      </c>
      <c r="J212">
        <f t="shared" si="18"/>
        <v>0.36949445467965281</v>
      </c>
      <c r="K212">
        <f t="shared" si="19"/>
        <v>0.29577851163837654</v>
      </c>
    </row>
    <row r="213" spans="1:11" x14ac:dyDescent="0.25">
      <c r="A213" s="1"/>
      <c r="B213" t="s">
        <v>227</v>
      </c>
      <c r="C213" t="s">
        <v>24</v>
      </c>
      <c r="D213" s="3">
        <v>8.5</v>
      </c>
      <c r="E213" s="5">
        <f t="shared" si="15"/>
        <v>1853</v>
      </c>
      <c r="F213">
        <v>0.79200000000000004</v>
      </c>
      <c r="G213">
        <f t="shared" si="16"/>
        <v>-0.80560500000000002</v>
      </c>
      <c r="H213">
        <f t="shared" si="16"/>
        <v>-0.69259249999999994</v>
      </c>
      <c r="I213" s="5">
        <f t="shared" si="17"/>
        <v>1853</v>
      </c>
      <c r="J213">
        <f t="shared" si="18"/>
        <v>4.7931102870922837E-2</v>
      </c>
      <c r="K213">
        <f t="shared" si="19"/>
        <v>-0.67804623508355488</v>
      </c>
    </row>
    <row r="214" spans="1:11" x14ac:dyDescent="0.25">
      <c r="A214" s="1"/>
      <c r="B214" t="s">
        <v>228</v>
      </c>
      <c r="C214" t="s">
        <v>24</v>
      </c>
      <c r="D214" s="3">
        <v>8.5416666666666661</v>
      </c>
      <c r="E214" s="5">
        <f t="shared" si="15"/>
        <v>1854</v>
      </c>
      <c r="F214">
        <v>-0.22139</v>
      </c>
      <c r="G214">
        <f t="shared" si="16"/>
        <v>-0.58162500000000006</v>
      </c>
      <c r="H214">
        <f t="shared" si="16"/>
        <v>0.83834999999999993</v>
      </c>
      <c r="I214" s="5">
        <f t="shared" si="17"/>
        <v>1854</v>
      </c>
      <c r="J214">
        <f t="shared" si="18"/>
        <v>0.55064303913950674</v>
      </c>
      <c r="K214">
        <f t="shared" si="19"/>
        <v>0.92834373266482262</v>
      </c>
    </row>
    <row r="215" spans="1:11" x14ac:dyDescent="0.25">
      <c r="A215" s="1"/>
      <c r="B215" t="s">
        <v>229</v>
      </c>
      <c r="C215" t="s">
        <v>24</v>
      </c>
      <c r="D215" s="3">
        <v>8.5833333333333339</v>
      </c>
      <c r="E215" s="5">
        <f t="shared" si="15"/>
        <v>1855</v>
      </c>
      <c r="F215">
        <v>-0.37125000000000002</v>
      </c>
      <c r="G215">
        <f t="shared" si="16"/>
        <v>0.87109499999999995</v>
      </c>
      <c r="H215">
        <f t="shared" si="16"/>
        <v>0.30858250000000004</v>
      </c>
      <c r="I215" s="5">
        <f t="shared" si="17"/>
        <v>1855</v>
      </c>
      <c r="J215">
        <f t="shared" si="18"/>
        <v>-0.27673574173416954</v>
      </c>
      <c r="K215">
        <f t="shared" si="19"/>
        <v>-0.99795483197411217</v>
      </c>
    </row>
    <row r="216" spans="1:11" x14ac:dyDescent="0.25">
      <c r="A216" s="1"/>
      <c r="B216" t="s">
        <v>230</v>
      </c>
      <c r="C216" t="s">
        <v>24</v>
      </c>
      <c r="D216" s="3">
        <v>8.625</v>
      </c>
      <c r="E216" s="5">
        <f t="shared" si="15"/>
        <v>1856</v>
      </c>
      <c r="F216">
        <v>1.5207999999999999</v>
      </c>
      <c r="G216">
        <f t="shared" si="16"/>
        <v>3.5540000000000016E-2</v>
      </c>
      <c r="H216">
        <f t="shared" si="16"/>
        <v>-0.71128499999999995</v>
      </c>
      <c r="I216" s="5">
        <f t="shared" si="17"/>
        <v>1856</v>
      </c>
      <c r="J216">
        <f t="shared" si="18"/>
        <v>1.6044903638953409</v>
      </c>
      <c r="K216">
        <f t="shared" si="19"/>
        <v>0.87333091047928912</v>
      </c>
    </row>
    <row r="217" spans="1:11" x14ac:dyDescent="0.25">
      <c r="A217" s="1"/>
      <c r="B217" t="s">
        <v>231</v>
      </c>
      <c r="C217" t="s">
        <v>24</v>
      </c>
      <c r="D217" s="3">
        <v>8.6666666666666661</v>
      </c>
      <c r="E217" s="5">
        <f t="shared" si="15"/>
        <v>1857</v>
      </c>
      <c r="F217">
        <v>-0.30016999999999999</v>
      </c>
      <c r="G217">
        <f t="shared" si="16"/>
        <v>-0.55147499999999994</v>
      </c>
      <c r="H217">
        <f t="shared" si="16"/>
        <v>-0.11915499999999998</v>
      </c>
      <c r="I217" s="5">
        <f t="shared" si="17"/>
        <v>1857</v>
      </c>
      <c r="J217">
        <f t="shared" si="18"/>
        <v>-0.47493300755713685</v>
      </c>
      <c r="K217">
        <f t="shared" si="19"/>
        <v>-0.5787279056315634</v>
      </c>
    </row>
    <row r="218" spans="1:11" x14ac:dyDescent="0.25">
      <c r="A218" s="1"/>
      <c r="B218" t="s">
        <v>232</v>
      </c>
      <c r="C218" t="s">
        <v>24</v>
      </c>
      <c r="D218" s="3">
        <v>8.7083333333333339</v>
      </c>
      <c r="E218" s="5">
        <f t="shared" si="15"/>
        <v>1858</v>
      </c>
      <c r="F218">
        <v>0.41785</v>
      </c>
      <c r="G218">
        <f t="shared" si="16"/>
        <v>-0.20276999999999995</v>
      </c>
      <c r="H218">
        <f t="shared" si="16"/>
        <v>-0.10812250000000004</v>
      </c>
      <c r="I218" s="5">
        <f t="shared" si="17"/>
        <v>1858</v>
      </c>
      <c r="J218">
        <f t="shared" si="18"/>
        <v>0.25153440367766455</v>
      </c>
      <c r="K218">
        <f t="shared" si="19"/>
        <v>0.17148530709855836</v>
      </c>
    </row>
    <row r="219" spans="1:11" x14ac:dyDescent="0.25">
      <c r="A219" s="1"/>
      <c r="B219" t="s">
        <v>233</v>
      </c>
      <c r="C219" t="s">
        <v>24</v>
      </c>
      <c r="D219" s="3">
        <v>8.75</v>
      </c>
      <c r="E219" s="5">
        <f t="shared" si="15"/>
        <v>1859</v>
      </c>
      <c r="F219">
        <v>-0.70570999999999995</v>
      </c>
      <c r="G219">
        <f t="shared" si="16"/>
        <v>-0.76771999999999996</v>
      </c>
      <c r="H219">
        <f t="shared" si="16"/>
        <v>2.7572499999999889E-2</v>
      </c>
      <c r="I219" s="5">
        <f t="shared" si="17"/>
        <v>1859</v>
      </c>
      <c r="J219">
        <f t="shared" si="18"/>
        <v>-0.56122774896296435</v>
      </c>
      <c r="K219">
        <f t="shared" si="19"/>
        <v>0.26913400461293663</v>
      </c>
    </row>
    <row r="220" spans="1:11" x14ac:dyDescent="0.25">
      <c r="A220" s="1"/>
      <c r="B220" t="s">
        <v>234</v>
      </c>
      <c r="C220" t="s">
        <v>24</v>
      </c>
      <c r="D220" s="3">
        <v>8.7916666666666661</v>
      </c>
      <c r="E220" s="5">
        <f t="shared" si="15"/>
        <v>1860</v>
      </c>
      <c r="F220">
        <v>-1.1175900000000001</v>
      </c>
      <c r="G220">
        <f t="shared" si="16"/>
        <v>-0.14762500000000006</v>
      </c>
      <c r="H220">
        <f t="shared" si="16"/>
        <v>0.40418749999999992</v>
      </c>
      <c r="I220" s="5">
        <f t="shared" si="17"/>
        <v>1860</v>
      </c>
      <c r="J220">
        <f t="shared" si="18"/>
        <v>-0.85786783189103932</v>
      </c>
      <c r="K220">
        <f t="shared" si="19"/>
        <v>-0.65737093657183776</v>
      </c>
    </row>
    <row r="221" spans="1:11" x14ac:dyDescent="0.25">
      <c r="A221" s="1"/>
      <c r="B221" t="s">
        <v>235</v>
      </c>
      <c r="C221" t="s">
        <v>24</v>
      </c>
      <c r="D221" s="3">
        <v>8.8333333333333339</v>
      </c>
      <c r="E221" s="5">
        <f t="shared" si="15"/>
        <v>1861</v>
      </c>
      <c r="F221">
        <v>-1.0009600000000001</v>
      </c>
      <c r="G221">
        <f t="shared" si="16"/>
        <v>4.0654999999999997E-2</v>
      </c>
      <c r="H221">
        <f t="shared" si="16"/>
        <v>2.0472500000000032E-2</v>
      </c>
      <c r="I221" s="5">
        <f t="shared" si="17"/>
        <v>1861</v>
      </c>
      <c r="J221">
        <f t="shared" si="18"/>
        <v>-1.4673047250099998</v>
      </c>
      <c r="K221">
        <f t="shared" si="19"/>
        <v>0.91766173965700615</v>
      </c>
    </row>
    <row r="222" spans="1:11" x14ac:dyDescent="0.25">
      <c r="A222" s="1"/>
      <c r="B222" t="s">
        <v>236</v>
      </c>
      <c r="C222" t="s">
        <v>24</v>
      </c>
      <c r="D222" s="3">
        <v>8.875</v>
      </c>
      <c r="E222" s="5">
        <f t="shared" si="15"/>
        <v>1862</v>
      </c>
      <c r="F222">
        <v>-1.0362800000000001</v>
      </c>
      <c r="G222">
        <f t="shared" si="16"/>
        <v>-0.10668</v>
      </c>
      <c r="H222">
        <f t="shared" si="16"/>
        <v>-0.17655499999999996</v>
      </c>
      <c r="I222" s="5">
        <f t="shared" si="17"/>
        <v>1862</v>
      </c>
      <c r="J222">
        <f t="shared" si="18"/>
        <v>-1.8261139244284434</v>
      </c>
      <c r="K222">
        <f t="shared" si="19"/>
        <v>-0.99934521365014228</v>
      </c>
    </row>
    <row r="223" spans="1:11" x14ac:dyDescent="0.25">
      <c r="A223" s="1"/>
      <c r="B223" t="s">
        <v>237</v>
      </c>
      <c r="C223" t="s">
        <v>24</v>
      </c>
      <c r="D223" s="3">
        <v>8.9166666666666661</v>
      </c>
      <c r="E223" s="5">
        <f t="shared" si="15"/>
        <v>1863</v>
      </c>
      <c r="F223">
        <v>-1.2143200000000001</v>
      </c>
      <c r="G223">
        <f t="shared" si="16"/>
        <v>-0.31245499999999993</v>
      </c>
      <c r="H223">
        <f t="shared" si="16"/>
        <v>0.48943999999999993</v>
      </c>
      <c r="I223" s="5">
        <f t="shared" si="17"/>
        <v>1863</v>
      </c>
      <c r="J223">
        <f t="shared" si="18"/>
        <v>-1.153496665538013</v>
      </c>
      <c r="K223">
        <f t="shared" si="19"/>
        <v>0.88652305257369401</v>
      </c>
    </row>
    <row r="224" spans="1:11" x14ac:dyDescent="0.25">
      <c r="A224" s="1"/>
      <c r="B224" t="s">
        <v>238</v>
      </c>
      <c r="C224" t="s">
        <v>24</v>
      </c>
      <c r="D224" s="3">
        <v>8.9583333333333339</v>
      </c>
      <c r="E224" s="5">
        <f t="shared" si="15"/>
        <v>1864</v>
      </c>
      <c r="F224">
        <v>-1.6611899999999999</v>
      </c>
      <c r="G224">
        <f t="shared" si="16"/>
        <v>0.87219999999999998</v>
      </c>
      <c r="H224">
        <f t="shared" si="16"/>
        <v>0.61258249999999981</v>
      </c>
      <c r="I224" s="5">
        <f t="shared" si="17"/>
        <v>1864</v>
      </c>
      <c r="J224">
        <f t="shared" si="18"/>
        <v>-1.014900792228935</v>
      </c>
      <c r="K224">
        <f t="shared" si="19"/>
        <v>-0.60115418092186079</v>
      </c>
    </row>
    <row r="225" spans="1:11" x14ac:dyDescent="0.25">
      <c r="A225" s="1"/>
      <c r="B225" t="s">
        <v>239</v>
      </c>
      <c r="C225" t="s">
        <v>24</v>
      </c>
      <c r="D225" s="3">
        <v>9</v>
      </c>
      <c r="E225" s="5">
        <f t="shared" si="15"/>
        <v>1865</v>
      </c>
      <c r="F225">
        <v>0.53008</v>
      </c>
      <c r="G225">
        <f t="shared" si="16"/>
        <v>0.91270999999999991</v>
      </c>
      <c r="H225">
        <f t="shared" si="16"/>
        <v>-0.56375500000000001</v>
      </c>
      <c r="I225" s="5">
        <f t="shared" si="17"/>
        <v>1865</v>
      </c>
      <c r="J225">
        <f t="shared" si="18"/>
        <v>-0.13967595756604767</v>
      </c>
      <c r="K225">
        <f t="shared" si="19"/>
        <v>0.19878082059217173</v>
      </c>
    </row>
    <row r="226" spans="1:11" x14ac:dyDescent="0.25">
      <c r="A226" s="1"/>
      <c r="B226" t="s">
        <v>240</v>
      </c>
      <c r="C226" t="s">
        <v>24</v>
      </c>
      <c r="D226" s="3">
        <v>9.0416666666666661</v>
      </c>
      <c r="E226" s="5">
        <f t="shared" si="15"/>
        <v>1866</v>
      </c>
      <c r="F226">
        <v>0.16422999999999999</v>
      </c>
      <c r="G226">
        <f t="shared" si="16"/>
        <v>-0.25530999999999998</v>
      </c>
      <c r="H226">
        <f t="shared" si="16"/>
        <v>-0.44430249999999993</v>
      </c>
      <c r="I226" s="5">
        <f t="shared" si="17"/>
        <v>1866</v>
      </c>
      <c r="J226">
        <f t="shared" si="18"/>
        <v>-0.28470074703403114</v>
      </c>
      <c r="K226">
        <f t="shared" si="19"/>
        <v>0.24228186272629093</v>
      </c>
    </row>
    <row r="227" spans="1:11" x14ac:dyDescent="0.25">
      <c r="A227" s="1"/>
      <c r="B227" t="s">
        <v>241</v>
      </c>
      <c r="C227" t="s">
        <v>24</v>
      </c>
      <c r="D227" s="3">
        <v>9.0833333333333339</v>
      </c>
      <c r="E227" s="5">
        <f t="shared" si="15"/>
        <v>1867</v>
      </c>
      <c r="F227">
        <v>1.9460000000000002E-2</v>
      </c>
      <c r="G227">
        <f t="shared" si="16"/>
        <v>2.4105000000000001E-2</v>
      </c>
      <c r="H227">
        <f t="shared" si="16"/>
        <v>0.54457999999999995</v>
      </c>
      <c r="I227" s="5">
        <f t="shared" si="17"/>
        <v>1867</v>
      </c>
      <c r="J227">
        <f t="shared" si="18"/>
        <v>0.57073659135820332</v>
      </c>
      <c r="K227">
        <f t="shared" si="19"/>
        <v>-0.63618848132185535</v>
      </c>
    </row>
    <row r="228" spans="1:11" x14ac:dyDescent="0.25">
      <c r="A228" s="1"/>
      <c r="B228" t="s">
        <v>242</v>
      </c>
      <c r="C228" t="s">
        <v>24</v>
      </c>
      <c r="D228" s="3">
        <v>9.125</v>
      </c>
      <c r="E228" s="5">
        <f t="shared" si="15"/>
        <v>1868</v>
      </c>
      <c r="F228">
        <v>0.21243999999999999</v>
      </c>
      <c r="G228">
        <f t="shared" si="16"/>
        <v>0.83384999999999998</v>
      </c>
      <c r="H228">
        <f t="shared" si="16"/>
        <v>-0.23371249999999999</v>
      </c>
      <c r="I228" s="5">
        <f t="shared" si="17"/>
        <v>1868</v>
      </c>
      <c r="J228">
        <f t="shared" si="18"/>
        <v>0.104020028191534</v>
      </c>
      <c r="K228">
        <f t="shared" si="19"/>
        <v>0.90627177751269095</v>
      </c>
    </row>
    <row r="229" spans="1:11" x14ac:dyDescent="0.25">
      <c r="A229" s="1"/>
      <c r="B229" t="s">
        <v>243</v>
      </c>
      <c r="C229" t="s">
        <v>24</v>
      </c>
      <c r="D229" s="3">
        <v>9.1666666666666661</v>
      </c>
      <c r="E229" s="5">
        <f t="shared" si="15"/>
        <v>1869</v>
      </c>
      <c r="F229">
        <v>1.68716</v>
      </c>
      <c r="G229">
        <f t="shared" si="16"/>
        <v>-0.44331999999999994</v>
      </c>
      <c r="H229">
        <f t="shared" si="16"/>
        <v>-1.1458599999999999</v>
      </c>
      <c r="I229" s="5">
        <f t="shared" si="17"/>
        <v>1869</v>
      </c>
      <c r="J229">
        <f t="shared" si="18"/>
        <v>1.3729385147623656</v>
      </c>
      <c r="K229">
        <f t="shared" si="19"/>
        <v>-0.99996460800364806</v>
      </c>
    </row>
    <row r="230" spans="1:11" x14ac:dyDescent="0.25">
      <c r="A230" s="1"/>
      <c r="B230" t="s">
        <v>244</v>
      </c>
      <c r="C230" t="s">
        <v>24</v>
      </c>
      <c r="D230" s="3">
        <v>9.2083333333333339</v>
      </c>
      <c r="E230" s="5">
        <f t="shared" si="15"/>
        <v>1870</v>
      </c>
      <c r="F230">
        <v>-0.67420000000000002</v>
      </c>
      <c r="G230">
        <f t="shared" si="16"/>
        <v>-1.45787</v>
      </c>
      <c r="H230">
        <f t="shared" si="16"/>
        <v>0.15598999999999996</v>
      </c>
      <c r="I230" s="5">
        <f t="shared" si="17"/>
        <v>1870</v>
      </c>
      <c r="J230">
        <f t="shared" si="18"/>
        <v>-0.61169690754329042</v>
      </c>
      <c r="K230">
        <f t="shared" si="19"/>
        <v>0.89903124879546714</v>
      </c>
    </row>
    <row r="231" spans="1:11" x14ac:dyDescent="0.25">
      <c r="A231" s="1"/>
      <c r="B231" t="s">
        <v>245</v>
      </c>
      <c r="C231" t="s">
        <v>24</v>
      </c>
      <c r="D231" s="3">
        <v>9.25</v>
      </c>
      <c r="E231" s="5">
        <f t="shared" si="15"/>
        <v>1871</v>
      </c>
      <c r="F231">
        <v>-1.22858</v>
      </c>
      <c r="G231">
        <f t="shared" si="16"/>
        <v>-0.13134000000000001</v>
      </c>
      <c r="H231">
        <f t="shared" si="16"/>
        <v>0.82887</v>
      </c>
      <c r="I231" s="5">
        <f t="shared" si="17"/>
        <v>1871</v>
      </c>
      <c r="J231">
        <f t="shared" si="18"/>
        <v>-0.20105310494406403</v>
      </c>
      <c r="K231">
        <f t="shared" si="19"/>
        <v>-0.62311667027837991</v>
      </c>
    </row>
    <row r="232" spans="1:11" x14ac:dyDescent="0.25">
      <c r="A232" s="1"/>
      <c r="B232" t="s">
        <v>246</v>
      </c>
      <c r="C232" t="s">
        <v>24</v>
      </c>
      <c r="D232" s="3">
        <v>9.2916666666666661</v>
      </c>
      <c r="E232" s="5">
        <f t="shared" si="15"/>
        <v>1872</v>
      </c>
      <c r="F232">
        <v>-0.93688000000000005</v>
      </c>
      <c r="G232">
        <f t="shared" si="16"/>
        <v>0.19986999999999999</v>
      </c>
      <c r="H232">
        <f t="shared" si="16"/>
        <v>0.25922250000000002</v>
      </c>
      <c r="I232" s="5">
        <f t="shared" si="17"/>
        <v>1872</v>
      </c>
      <c r="J232">
        <f t="shared" si="18"/>
        <v>-0.54254149041458855</v>
      </c>
      <c r="K232">
        <f t="shared" si="19"/>
        <v>0.22592297617737944</v>
      </c>
    </row>
    <row r="233" spans="1:11" x14ac:dyDescent="0.25">
      <c r="A233" s="1"/>
      <c r="B233" t="s">
        <v>247</v>
      </c>
      <c r="C233" t="s">
        <v>24</v>
      </c>
      <c r="D233" s="3">
        <v>9.3333333333333339</v>
      </c>
      <c r="E233" s="5">
        <f t="shared" si="15"/>
        <v>1873</v>
      </c>
      <c r="F233">
        <v>-0.82884000000000002</v>
      </c>
      <c r="G233">
        <f t="shared" si="16"/>
        <v>0.38710500000000003</v>
      </c>
      <c r="H233">
        <f t="shared" si="16"/>
        <v>0.16445500000000002</v>
      </c>
      <c r="I233" s="5">
        <f t="shared" si="17"/>
        <v>1873</v>
      </c>
      <c r="J233">
        <f t="shared" si="18"/>
        <v>-0.81004302189840049</v>
      </c>
      <c r="K233">
        <f t="shared" si="19"/>
        <v>0.21524280220235992</v>
      </c>
    </row>
    <row r="234" spans="1:11" x14ac:dyDescent="0.25">
      <c r="A234" s="1"/>
      <c r="B234" t="s">
        <v>248</v>
      </c>
      <c r="C234" t="s">
        <v>24</v>
      </c>
      <c r="D234" s="3">
        <v>9.375</v>
      </c>
      <c r="E234" s="5">
        <f t="shared" si="15"/>
        <v>1874</v>
      </c>
      <c r="F234">
        <v>-0.16267000000000001</v>
      </c>
      <c r="G234">
        <f t="shared" si="16"/>
        <v>0.52878000000000003</v>
      </c>
      <c r="H234">
        <f t="shared" si="16"/>
        <v>-0.26541749999999997</v>
      </c>
      <c r="I234" s="5">
        <f t="shared" si="17"/>
        <v>1874</v>
      </c>
      <c r="J234">
        <f t="shared" si="18"/>
        <v>-0.51219020217411315</v>
      </c>
      <c r="K234">
        <f t="shared" si="19"/>
        <v>-0.61451521144003829</v>
      </c>
    </row>
    <row r="235" spans="1:11" x14ac:dyDescent="0.25">
      <c r="A235" s="1"/>
      <c r="B235" t="s">
        <v>249</v>
      </c>
      <c r="C235" t="s">
        <v>24</v>
      </c>
      <c r="D235" s="3">
        <v>9.4166666666666661</v>
      </c>
      <c r="E235" s="5">
        <f t="shared" si="15"/>
        <v>1875</v>
      </c>
      <c r="F235">
        <v>0.22872000000000001</v>
      </c>
      <c r="G235">
        <f t="shared" si="16"/>
        <v>-0.14372999999999997</v>
      </c>
      <c r="H235">
        <f t="shared" si="16"/>
        <v>-3.138249999999998E-2</v>
      </c>
      <c r="I235" s="5">
        <f t="shared" si="17"/>
        <v>1875</v>
      </c>
      <c r="J235">
        <f t="shared" si="18"/>
        <v>0.32993063928220701</v>
      </c>
      <c r="K235">
        <f t="shared" si="19"/>
        <v>0.89418263350282401</v>
      </c>
    </row>
    <row r="236" spans="1:11" x14ac:dyDescent="0.25">
      <c r="A236" s="1"/>
      <c r="B236" t="s">
        <v>250</v>
      </c>
      <c r="C236" t="s">
        <v>24</v>
      </c>
      <c r="D236" s="3">
        <v>9.4583333333333339</v>
      </c>
      <c r="E236" s="5">
        <f t="shared" si="15"/>
        <v>1876</v>
      </c>
      <c r="F236">
        <v>-0.45012999999999997</v>
      </c>
      <c r="G236">
        <f t="shared" si="16"/>
        <v>0.46601499999999996</v>
      </c>
      <c r="H236">
        <f t="shared" si="16"/>
        <v>0.47866999999999998</v>
      </c>
      <c r="I236" s="5">
        <f t="shared" si="17"/>
        <v>1876</v>
      </c>
      <c r="J236">
        <f t="shared" si="18"/>
        <v>-0.11043700382767657</v>
      </c>
      <c r="K236">
        <f t="shared" si="19"/>
        <v>-0.99981253717659846</v>
      </c>
    </row>
    <row r="237" spans="1:11" x14ac:dyDescent="0.25">
      <c r="A237" s="1"/>
      <c r="B237" t="s">
        <v>251</v>
      </c>
      <c r="C237" t="s">
        <v>24</v>
      </c>
      <c r="D237" s="3">
        <v>9.5</v>
      </c>
      <c r="E237" s="5">
        <f t="shared" si="15"/>
        <v>1877</v>
      </c>
      <c r="F237">
        <v>1.1607499999999999</v>
      </c>
      <c r="G237">
        <f t="shared" si="16"/>
        <v>0.81360999999999994</v>
      </c>
      <c r="H237">
        <f t="shared" si="16"/>
        <v>-0.75557999999999992</v>
      </c>
      <c r="I237" s="5">
        <f t="shared" si="17"/>
        <v>1877</v>
      </c>
      <c r="J237">
        <f t="shared" si="18"/>
        <v>0.33809871110698908</v>
      </c>
      <c r="K237">
        <f t="shared" si="19"/>
        <v>0.91084584916440059</v>
      </c>
    </row>
    <row r="238" spans="1:11" x14ac:dyDescent="0.25">
      <c r="A238" s="1"/>
      <c r="B238" t="s">
        <v>252</v>
      </c>
      <c r="C238" t="s">
        <v>24</v>
      </c>
      <c r="D238" s="3">
        <v>9.5416666666666661</v>
      </c>
      <c r="E238" s="5">
        <f t="shared" si="15"/>
        <v>1878</v>
      </c>
      <c r="F238">
        <v>1.17709</v>
      </c>
      <c r="G238">
        <f t="shared" si="16"/>
        <v>-1.045145</v>
      </c>
      <c r="H238">
        <f t="shared" si="16"/>
        <v>-1.1570675000000001</v>
      </c>
      <c r="I238" s="5">
        <f t="shared" si="17"/>
        <v>1878</v>
      </c>
      <c r="J238">
        <f t="shared" si="18"/>
        <v>-0.21279419097523777</v>
      </c>
      <c r="K238">
        <f t="shared" si="19"/>
        <v>-0.64459842980706272</v>
      </c>
    </row>
    <row r="239" spans="1:11" x14ac:dyDescent="0.25">
      <c r="A239" s="1"/>
      <c r="B239" t="s">
        <v>253</v>
      </c>
      <c r="C239" t="s">
        <v>24</v>
      </c>
      <c r="D239" s="3">
        <v>9.5833333333333339</v>
      </c>
      <c r="E239" s="5">
        <f t="shared" si="15"/>
        <v>1879</v>
      </c>
      <c r="F239">
        <v>-0.92954000000000003</v>
      </c>
      <c r="G239">
        <f t="shared" si="16"/>
        <v>-1.5005250000000001</v>
      </c>
      <c r="H239">
        <f t="shared" si="16"/>
        <v>0.85138499999999995</v>
      </c>
      <c r="I239" s="5">
        <f t="shared" si="17"/>
        <v>1879</v>
      </c>
      <c r="J239">
        <f t="shared" si="18"/>
        <v>-8.9083258261516529E-2</v>
      </c>
      <c r="K239">
        <f t="shared" si="19"/>
        <v>0.25289083388333761</v>
      </c>
    </row>
    <row r="240" spans="1:11" x14ac:dyDescent="0.25">
      <c r="A240" s="1"/>
      <c r="B240" t="s">
        <v>254</v>
      </c>
      <c r="C240" t="s">
        <v>24</v>
      </c>
      <c r="D240" s="3">
        <v>9.625</v>
      </c>
      <c r="E240" s="5">
        <f t="shared" si="15"/>
        <v>1880</v>
      </c>
      <c r="F240">
        <v>-1.82396</v>
      </c>
      <c r="G240">
        <f t="shared" si="16"/>
        <v>0.65762500000000002</v>
      </c>
      <c r="H240">
        <f t="shared" si="16"/>
        <v>1.2739149999999999</v>
      </c>
      <c r="I240" s="5">
        <f t="shared" si="17"/>
        <v>1880</v>
      </c>
      <c r="J240">
        <f t="shared" si="18"/>
        <v>-1.255407328436968</v>
      </c>
      <c r="K240">
        <f t="shared" si="19"/>
        <v>0.18803768347491565</v>
      </c>
    </row>
    <row r="241" spans="1:11" x14ac:dyDescent="0.25">
      <c r="A241" s="1"/>
      <c r="B241" t="s">
        <v>255</v>
      </c>
      <c r="C241" t="s">
        <v>24</v>
      </c>
      <c r="D241" s="3">
        <v>9.6666666666666661</v>
      </c>
      <c r="E241" s="5">
        <f t="shared" si="15"/>
        <v>1881</v>
      </c>
      <c r="F241">
        <v>0.38571</v>
      </c>
      <c r="G241">
        <f t="shared" si="16"/>
        <v>1.0473049999999999</v>
      </c>
      <c r="H241">
        <f t="shared" si="16"/>
        <v>-0.62062750000000011</v>
      </c>
      <c r="I241" s="5">
        <f t="shared" si="17"/>
        <v>1881</v>
      </c>
      <c r="J241">
        <f t="shared" si="18"/>
        <v>-4.4151360517397098E-3</v>
      </c>
      <c r="K241">
        <f t="shared" si="19"/>
        <v>-0.59236784768981254</v>
      </c>
    </row>
    <row r="242" spans="1:11" x14ac:dyDescent="0.25">
      <c r="A242" s="1"/>
      <c r="B242" t="s">
        <v>256</v>
      </c>
      <c r="C242" t="s">
        <v>24</v>
      </c>
      <c r="D242" s="3">
        <v>9.7083333333333339</v>
      </c>
      <c r="E242" s="5">
        <f t="shared" si="15"/>
        <v>1882</v>
      </c>
      <c r="F242">
        <v>0.27065</v>
      </c>
      <c r="G242">
        <f t="shared" si="16"/>
        <v>-0.58362999999999998</v>
      </c>
      <c r="H242">
        <f t="shared" si="16"/>
        <v>-0.51321000000000006</v>
      </c>
      <c r="I242" s="5">
        <f t="shared" si="17"/>
        <v>1882</v>
      </c>
      <c r="J242">
        <f t="shared" si="18"/>
        <v>-0.11830493192347413</v>
      </c>
      <c r="K242">
        <f t="shared" si="19"/>
        <v>0.88140363431037072</v>
      </c>
    </row>
    <row r="243" spans="1:11" x14ac:dyDescent="0.25">
      <c r="A243" s="1"/>
      <c r="B243" t="s">
        <v>257</v>
      </c>
      <c r="C243" t="s">
        <v>24</v>
      </c>
      <c r="D243" s="3">
        <v>9.75</v>
      </c>
      <c r="E243" s="5">
        <f t="shared" si="15"/>
        <v>1883</v>
      </c>
      <c r="F243">
        <v>-0.78154999999999997</v>
      </c>
      <c r="G243">
        <f t="shared" si="16"/>
        <v>2.0884999999999931E-2</v>
      </c>
      <c r="H243">
        <f t="shared" si="16"/>
        <v>0.90452499999999991</v>
      </c>
      <c r="I243" s="5">
        <f t="shared" si="17"/>
        <v>1883</v>
      </c>
      <c r="J243">
        <f t="shared" si="18"/>
        <v>5.035987913880613E-2</v>
      </c>
      <c r="K243">
        <f t="shared" si="19"/>
        <v>-0.99888911849045081</v>
      </c>
    </row>
    <row r="244" spans="1:11" x14ac:dyDescent="0.25">
      <c r="A244" s="1"/>
      <c r="B244" t="s">
        <v>258</v>
      </c>
      <c r="C244" t="s">
        <v>24</v>
      </c>
      <c r="D244" s="3">
        <v>9.7916666666666661</v>
      </c>
      <c r="E244" s="5">
        <f t="shared" si="15"/>
        <v>1884</v>
      </c>
      <c r="F244">
        <v>0.31241999999999998</v>
      </c>
      <c r="G244">
        <f t="shared" si="16"/>
        <v>1.22542</v>
      </c>
      <c r="H244">
        <f t="shared" si="16"/>
        <v>-8.4442499999999976E-2</v>
      </c>
      <c r="I244" s="5">
        <f t="shared" si="17"/>
        <v>1884</v>
      </c>
      <c r="J244">
        <f t="shared" si="18"/>
        <v>0.17200040396477795</v>
      </c>
      <c r="K244">
        <f t="shared" si="19"/>
        <v>0.92195773880586707</v>
      </c>
    </row>
    <row r="245" spans="1:11" x14ac:dyDescent="0.25">
      <c r="A245" s="1"/>
      <c r="B245" t="s">
        <v>259</v>
      </c>
      <c r="C245" t="s">
        <v>24</v>
      </c>
      <c r="D245" s="3">
        <v>9.8333333333333339</v>
      </c>
      <c r="E245" s="5">
        <f t="shared" si="15"/>
        <v>1885</v>
      </c>
      <c r="F245">
        <v>1.6692899999999999</v>
      </c>
      <c r="G245">
        <f t="shared" si="16"/>
        <v>-0.14799999999999991</v>
      </c>
      <c r="H245">
        <f t="shared" si="16"/>
        <v>-1.46715</v>
      </c>
      <c r="I245" s="5">
        <f t="shared" si="17"/>
        <v>1885</v>
      </c>
      <c r="J245">
        <f t="shared" si="18"/>
        <v>5.0590617875931887E-3</v>
      </c>
      <c r="K245">
        <f t="shared" si="19"/>
        <v>-0.66558288649045683</v>
      </c>
    </row>
    <row r="246" spans="1:11" x14ac:dyDescent="0.25">
      <c r="A246" s="1"/>
      <c r="B246" t="s">
        <v>260</v>
      </c>
      <c r="C246" t="s">
        <v>24</v>
      </c>
      <c r="D246" s="3">
        <v>9.875</v>
      </c>
      <c r="E246" s="5">
        <f t="shared" si="15"/>
        <v>1886</v>
      </c>
      <c r="F246">
        <v>1.6420000000000001E-2</v>
      </c>
      <c r="G246">
        <f t="shared" si="16"/>
        <v>-1.70888</v>
      </c>
      <c r="H246">
        <f t="shared" si="16"/>
        <v>0.37823000000000007</v>
      </c>
      <c r="I246" s="5">
        <f t="shared" si="17"/>
        <v>1886</v>
      </c>
      <c r="J246">
        <f t="shared" si="18"/>
        <v>0.39830413216914989</v>
      </c>
      <c r="K246">
        <f t="shared" si="19"/>
        <v>0.2796635882122484</v>
      </c>
    </row>
    <row r="247" spans="1:11" x14ac:dyDescent="0.25">
      <c r="A247" s="1"/>
      <c r="B247" t="s">
        <v>261</v>
      </c>
      <c r="C247" t="s">
        <v>24</v>
      </c>
      <c r="D247" s="3">
        <v>9.9166666666666661</v>
      </c>
      <c r="E247" s="5">
        <f t="shared" si="15"/>
        <v>1887</v>
      </c>
      <c r="F247">
        <v>-1.74847</v>
      </c>
      <c r="G247">
        <f t="shared" si="16"/>
        <v>0.60846000000000011</v>
      </c>
      <c r="H247">
        <f t="shared" si="16"/>
        <v>1.630225</v>
      </c>
      <c r="I247" s="5">
        <f t="shared" si="17"/>
        <v>1887</v>
      </c>
      <c r="J247">
        <f t="shared" si="18"/>
        <v>-1.0682546084470224</v>
      </c>
      <c r="K247">
        <f t="shared" si="19"/>
        <v>0.16068749508773331</v>
      </c>
    </row>
    <row r="248" spans="1:11" x14ac:dyDescent="0.25">
      <c r="A248" s="1"/>
      <c r="B248" t="s">
        <v>262</v>
      </c>
      <c r="C248" t="s">
        <v>24</v>
      </c>
      <c r="D248" s="3">
        <v>9.9583333333333339</v>
      </c>
      <c r="E248" s="5">
        <f t="shared" si="15"/>
        <v>1888</v>
      </c>
      <c r="F248">
        <v>1.2333400000000001</v>
      </c>
      <c r="G248">
        <f t="shared" si="16"/>
        <v>1.5515700000000001</v>
      </c>
      <c r="H248">
        <f t="shared" si="16"/>
        <v>-0.97447750000000011</v>
      </c>
      <c r="I248" s="5">
        <f t="shared" si="17"/>
        <v>1888</v>
      </c>
      <c r="J248">
        <f t="shared" si="18"/>
        <v>0.9525290015324972</v>
      </c>
      <c r="K248">
        <f t="shared" si="19"/>
        <v>-0.56976347659732884</v>
      </c>
    </row>
    <row r="249" spans="1:11" x14ac:dyDescent="0.25">
      <c r="A249" s="1"/>
      <c r="B249" t="s">
        <v>263</v>
      </c>
      <c r="C249" t="s">
        <v>24</v>
      </c>
      <c r="D249" s="3">
        <v>10</v>
      </c>
      <c r="E249" s="5">
        <f t="shared" si="15"/>
        <v>1889</v>
      </c>
      <c r="F249">
        <v>1.35467</v>
      </c>
      <c r="G249">
        <f t="shared" si="16"/>
        <v>-1.340495</v>
      </c>
      <c r="H249">
        <f t="shared" si="16"/>
        <v>-1.1191075000000001</v>
      </c>
      <c r="I249" s="5">
        <f t="shared" si="17"/>
        <v>1889</v>
      </c>
      <c r="J249">
        <f t="shared" si="18"/>
        <v>0.59189459534314781</v>
      </c>
      <c r="K249">
        <f t="shared" si="19"/>
        <v>0.86794463883801332</v>
      </c>
    </row>
    <row r="250" spans="1:11" x14ac:dyDescent="0.25">
      <c r="A250" s="1"/>
      <c r="B250" t="s">
        <v>264</v>
      </c>
      <c r="C250" t="s">
        <v>24</v>
      </c>
      <c r="D250" s="3">
        <v>10.041666666666666</v>
      </c>
      <c r="E250" s="5">
        <f t="shared" si="15"/>
        <v>1890</v>
      </c>
      <c r="F250">
        <v>-1.4476500000000001</v>
      </c>
      <c r="G250">
        <f t="shared" si="16"/>
        <v>-0.68664499999999995</v>
      </c>
      <c r="H250">
        <f t="shared" si="16"/>
        <v>0.94581250000000006</v>
      </c>
      <c r="I250" s="5">
        <f t="shared" si="17"/>
        <v>1890</v>
      </c>
      <c r="J250">
        <f t="shared" si="18"/>
        <v>-0.36902245229753217</v>
      </c>
      <c r="K250">
        <f t="shared" si="19"/>
        <v>-0.99719506435584293</v>
      </c>
    </row>
    <row r="251" spans="1:11" x14ac:dyDescent="0.25">
      <c r="A251" s="1"/>
      <c r="B251" t="s">
        <v>265</v>
      </c>
      <c r="C251" t="s">
        <v>24</v>
      </c>
      <c r="D251" s="3">
        <v>10.083333333333334</v>
      </c>
      <c r="E251" s="5">
        <f t="shared" si="15"/>
        <v>1891</v>
      </c>
      <c r="F251">
        <v>-1.8620000000000001E-2</v>
      </c>
      <c r="G251">
        <f t="shared" si="16"/>
        <v>0.55113000000000001</v>
      </c>
      <c r="H251">
        <f t="shared" si="16"/>
        <v>-0.21081749999999988</v>
      </c>
      <c r="I251" s="5">
        <f t="shared" si="17"/>
        <v>1891</v>
      </c>
      <c r="J251">
        <f t="shared" si="18"/>
        <v>-0.22589668178685499</v>
      </c>
      <c r="K251">
        <f t="shared" si="19"/>
        <v>0.93235834497978409</v>
      </c>
    </row>
    <row r="252" spans="1:11" x14ac:dyDescent="0.25">
      <c r="A252" s="1"/>
      <c r="B252" t="s">
        <v>266</v>
      </c>
      <c r="C252" t="s">
        <v>24</v>
      </c>
      <c r="D252" s="3">
        <v>10.125</v>
      </c>
      <c r="E252" s="5">
        <f t="shared" si="15"/>
        <v>1892</v>
      </c>
      <c r="F252">
        <v>-0.34538999999999997</v>
      </c>
      <c r="G252">
        <f t="shared" si="16"/>
        <v>-1.1082799999999999</v>
      </c>
      <c r="H252">
        <f t="shared" si="16"/>
        <v>-0.62483749999999993</v>
      </c>
      <c r="I252" s="5">
        <f t="shared" si="17"/>
        <v>1892</v>
      </c>
      <c r="J252">
        <f t="shared" si="18"/>
        <v>-0.98897254420416258</v>
      </c>
      <c r="K252">
        <f t="shared" si="19"/>
        <v>-0.68605385097929794</v>
      </c>
    </row>
    <row r="253" spans="1:11" x14ac:dyDescent="0.25">
      <c r="A253" s="1"/>
      <c r="B253" t="s">
        <v>267</v>
      </c>
      <c r="C253" t="s">
        <v>24</v>
      </c>
      <c r="D253" s="3">
        <v>10.166666666666666</v>
      </c>
      <c r="E253" s="5">
        <f t="shared" si="15"/>
        <v>1893</v>
      </c>
      <c r="F253">
        <v>-2.2351800000000002</v>
      </c>
      <c r="G253">
        <f t="shared" si="16"/>
        <v>-0.69854499999999997</v>
      </c>
      <c r="H253">
        <f t="shared" si="16"/>
        <v>1.0421775</v>
      </c>
      <c r="I253" s="5">
        <f t="shared" si="17"/>
        <v>1893</v>
      </c>
      <c r="J253">
        <f t="shared" si="18"/>
        <v>-2.1468951509518961</v>
      </c>
      <c r="K253">
        <f t="shared" si="19"/>
        <v>0.30622058418358533</v>
      </c>
    </row>
    <row r="254" spans="1:11" x14ac:dyDescent="0.25">
      <c r="A254" s="1"/>
      <c r="B254" t="s">
        <v>268</v>
      </c>
      <c r="C254" t="s">
        <v>24</v>
      </c>
      <c r="D254" s="3">
        <v>10.208333333333334</v>
      </c>
      <c r="E254" s="5">
        <f t="shared" si="15"/>
        <v>1894</v>
      </c>
      <c r="F254">
        <v>-1.74248</v>
      </c>
      <c r="G254">
        <f t="shared" si="16"/>
        <v>0.97607500000000003</v>
      </c>
      <c r="H254">
        <f t="shared" si="16"/>
        <v>0.68823499999999993</v>
      </c>
      <c r="I254" s="5">
        <f t="shared" si="17"/>
        <v>1894</v>
      </c>
      <c r="J254">
        <f t="shared" si="18"/>
        <v>-2.0997128644078629</v>
      </c>
      <c r="K254">
        <f t="shared" si="19"/>
        <v>0.13321333750472145</v>
      </c>
    </row>
    <row r="255" spans="1:11" x14ac:dyDescent="0.25">
      <c r="A255" s="1"/>
      <c r="B255" t="s">
        <v>269</v>
      </c>
      <c r="C255" t="s">
        <v>24</v>
      </c>
      <c r="D255" s="3">
        <v>10.25</v>
      </c>
      <c r="E255" s="5">
        <f t="shared" si="15"/>
        <v>1895</v>
      </c>
      <c r="F255">
        <v>-0.28303</v>
      </c>
      <c r="G255">
        <f t="shared" si="16"/>
        <v>0.677925</v>
      </c>
      <c r="H255">
        <f t="shared" si="16"/>
        <v>-6.7957500000000004E-2</v>
      </c>
      <c r="I255" s="5">
        <f t="shared" si="17"/>
        <v>1895</v>
      </c>
      <c r="J255">
        <f t="shared" si="18"/>
        <v>-0.47034912513984678</v>
      </c>
      <c r="K255">
        <f t="shared" si="19"/>
        <v>-0.54671953726353906</v>
      </c>
    </row>
    <row r="256" spans="1:11" x14ac:dyDescent="0.25">
      <c r="A256" s="1"/>
      <c r="B256" t="s">
        <v>270</v>
      </c>
      <c r="C256" t="s">
        <v>24</v>
      </c>
      <c r="D256" s="3">
        <v>10.291666666666666</v>
      </c>
      <c r="E256" s="5">
        <f t="shared" si="15"/>
        <v>1896</v>
      </c>
      <c r="F256">
        <v>-0.38662999999999997</v>
      </c>
      <c r="G256">
        <f t="shared" si="16"/>
        <v>0.84016000000000002</v>
      </c>
      <c r="H256">
        <f t="shared" si="16"/>
        <v>-0.20450999999999997</v>
      </c>
      <c r="I256" s="5">
        <f t="shared" si="17"/>
        <v>1896</v>
      </c>
      <c r="J256">
        <f t="shared" si="18"/>
        <v>-0.60994030907029784</v>
      </c>
      <c r="K256">
        <f t="shared" si="19"/>
        <v>0.85381603059921007</v>
      </c>
    </row>
    <row r="257" spans="1:11" x14ac:dyDescent="0.25">
      <c r="A257" s="1"/>
      <c r="B257" t="s">
        <v>271</v>
      </c>
      <c r="C257" t="s">
        <v>24</v>
      </c>
      <c r="D257" s="3">
        <v>10.333333333333334</v>
      </c>
      <c r="E257" s="5">
        <f t="shared" si="15"/>
        <v>1897</v>
      </c>
      <c r="F257">
        <v>1.3972899999999999</v>
      </c>
      <c r="G257">
        <f t="shared" si="16"/>
        <v>0.26890500000000006</v>
      </c>
      <c r="H257">
        <f t="shared" si="16"/>
        <v>-1.1277900000000001</v>
      </c>
      <c r="I257" s="5">
        <f t="shared" si="17"/>
        <v>1897</v>
      </c>
      <c r="J257">
        <f t="shared" si="18"/>
        <v>1.9785939040404266E-3</v>
      </c>
      <c r="K257">
        <f t="shared" si="19"/>
        <v>-0.9947316817226981</v>
      </c>
    </row>
    <row r="258" spans="1:11" x14ac:dyDescent="0.25">
      <c r="A258" s="1"/>
      <c r="B258" t="s">
        <v>272</v>
      </c>
      <c r="C258" t="s">
        <v>24</v>
      </c>
      <c r="D258" s="3">
        <v>10.375</v>
      </c>
      <c r="E258" s="5">
        <f t="shared" si="15"/>
        <v>1898</v>
      </c>
      <c r="F258">
        <v>0.15118000000000001</v>
      </c>
      <c r="G258">
        <f t="shared" si="16"/>
        <v>-1.4154200000000001</v>
      </c>
      <c r="H258">
        <f t="shared" si="16"/>
        <v>-6.2490000000000157E-2</v>
      </c>
      <c r="I258" s="5">
        <f t="shared" si="17"/>
        <v>1898</v>
      </c>
      <c r="J258">
        <f t="shared" si="18"/>
        <v>7.5453955964898234E-2</v>
      </c>
      <c r="K258">
        <f t="shared" si="19"/>
        <v>0.94203964369702198</v>
      </c>
    </row>
    <row r="259" spans="1:11" x14ac:dyDescent="0.25">
      <c r="A259" s="1"/>
      <c r="B259" t="s">
        <v>273</v>
      </c>
      <c r="C259" t="s">
        <v>24</v>
      </c>
      <c r="D259" s="3">
        <v>10.416666666666666</v>
      </c>
      <c r="E259" s="5">
        <f t="shared" si="15"/>
        <v>1899</v>
      </c>
      <c r="F259">
        <v>-1.4335500000000001</v>
      </c>
      <c r="G259">
        <f t="shared" si="16"/>
        <v>0.14392499999999997</v>
      </c>
      <c r="H259">
        <f t="shared" si="16"/>
        <v>1.3254300000000001</v>
      </c>
      <c r="I259" s="5">
        <f t="shared" si="17"/>
        <v>1899</v>
      </c>
      <c r="J259">
        <f t="shared" si="18"/>
        <v>-0.49379836240572827</v>
      </c>
      <c r="K259">
        <f t="shared" si="19"/>
        <v>-0.70599553007697713</v>
      </c>
    </row>
    <row r="260" spans="1:11" x14ac:dyDescent="0.25">
      <c r="A260" s="1"/>
      <c r="B260" s="4">
        <v>1</v>
      </c>
      <c r="C260" t="s">
        <v>24</v>
      </c>
      <c r="D260" s="3">
        <v>10.458333333333334</v>
      </c>
      <c r="E260" s="5">
        <f t="shared" si="15"/>
        <v>1900</v>
      </c>
      <c r="F260">
        <v>0.43902999999999998</v>
      </c>
      <c r="G260">
        <f t="shared" si="16"/>
        <v>1.2354400000000001</v>
      </c>
      <c r="H260">
        <f t="shared" si="16"/>
        <v>-0.42586499999999994</v>
      </c>
      <c r="I260" s="5">
        <f t="shared" si="17"/>
        <v>1900</v>
      </c>
      <c r="J260">
        <f t="shared" si="18"/>
        <v>0.261199509087779</v>
      </c>
      <c r="K260">
        <f t="shared" si="19"/>
        <v>0.33254133327626434</v>
      </c>
    </row>
    <row r="261" spans="1:11" x14ac:dyDescent="0.25">
      <c r="A261" s="1"/>
      <c r="B261" s="4">
        <v>367</v>
      </c>
      <c r="C261" t="s">
        <v>24</v>
      </c>
      <c r="D261" s="3">
        <v>10.5</v>
      </c>
      <c r="E261" s="5">
        <f t="shared" si="15"/>
        <v>1901</v>
      </c>
      <c r="F261">
        <v>1.0373300000000001</v>
      </c>
      <c r="G261">
        <f t="shared" si="16"/>
        <v>-0.70780500000000002</v>
      </c>
      <c r="H261">
        <f t="shared" si="16"/>
        <v>-0.45877250000000003</v>
      </c>
      <c r="I261" s="5">
        <f t="shared" si="17"/>
        <v>1901</v>
      </c>
      <c r="J261">
        <f t="shared" si="18"/>
        <v>1.1389004599202701</v>
      </c>
      <c r="K261">
        <f t="shared" si="19"/>
        <v>0.10563640683379202</v>
      </c>
    </row>
    <row r="262" spans="1:11" x14ac:dyDescent="0.25">
      <c r="A262" s="1"/>
      <c r="B262" s="4">
        <v>732</v>
      </c>
      <c r="C262" t="s">
        <v>24</v>
      </c>
      <c r="D262" s="3">
        <v>10.541666666666666</v>
      </c>
      <c r="E262" s="5">
        <f t="shared" si="15"/>
        <v>1902</v>
      </c>
      <c r="F262">
        <v>-0.97658</v>
      </c>
      <c r="G262">
        <f t="shared" si="16"/>
        <v>0.31789500000000004</v>
      </c>
      <c r="H262">
        <f t="shared" si="16"/>
        <v>0.13360250000000007</v>
      </c>
      <c r="I262" s="5">
        <f t="shared" si="17"/>
        <v>1902</v>
      </c>
      <c r="J262">
        <f t="shared" si="18"/>
        <v>-1.054375669994601</v>
      </c>
      <c r="K262">
        <f t="shared" si="19"/>
        <v>-0.52325380791597786</v>
      </c>
    </row>
    <row r="263" spans="1:11" x14ac:dyDescent="0.25">
      <c r="A263" s="1"/>
      <c r="B263" s="4">
        <v>1097</v>
      </c>
      <c r="C263" t="s">
        <v>24</v>
      </c>
      <c r="D263" s="3">
        <v>10.583333333333334</v>
      </c>
      <c r="E263" s="5">
        <f t="shared" si="15"/>
        <v>1903</v>
      </c>
      <c r="F263">
        <v>1.6731199999999999</v>
      </c>
      <c r="G263">
        <f t="shared" si="16"/>
        <v>-0.44059999999999988</v>
      </c>
      <c r="H263">
        <f t="shared" si="16"/>
        <v>2.7057499999999957E-2</v>
      </c>
      <c r="I263" s="5">
        <f t="shared" si="17"/>
        <v>1903</v>
      </c>
      <c r="J263">
        <f t="shared" si="18"/>
        <v>1.4965364224510882</v>
      </c>
      <c r="K263">
        <f t="shared" si="19"/>
        <v>0.83902870970854893</v>
      </c>
    </row>
    <row r="264" spans="1:11" x14ac:dyDescent="0.25">
      <c r="A264" s="1"/>
      <c r="B264" s="4">
        <v>1462</v>
      </c>
      <c r="C264" t="s">
        <v>24</v>
      </c>
      <c r="D264" s="3">
        <v>10.625</v>
      </c>
      <c r="E264" s="5">
        <f t="shared" si="15"/>
        <v>1904</v>
      </c>
      <c r="F264">
        <v>-1.85778</v>
      </c>
      <c r="G264">
        <f t="shared" si="16"/>
        <v>0.37200999999999995</v>
      </c>
      <c r="H264">
        <f t="shared" si="16"/>
        <v>1.2077524999999998</v>
      </c>
      <c r="I264" s="5">
        <f t="shared" si="17"/>
        <v>1904</v>
      </c>
      <c r="J264">
        <f t="shared" si="18"/>
        <v>-0.32084338514491595</v>
      </c>
      <c r="K264">
        <f t="shared" si="19"/>
        <v>-0.99150087107236751</v>
      </c>
    </row>
    <row r="265" spans="1:11" x14ac:dyDescent="0.25">
      <c r="A265" s="1"/>
      <c r="B265" s="4">
        <v>1828</v>
      </c>
      <c r="C265" t="s">
        <v>24</v>
      </c>
      <c r="D265" s="3">
        <v>10.666666666666666</v>
      </c>
      <c r="E265" s="5">
        <f t="shared" si="15"/>
        <v>1905</v>
      </c>
      <c r="F265">
        <v>2.4171399999999998</v>
      </c>
      <c r="G265">
        <f t="shared" si="16"/>
        <v>1.9749049999999999</v>
      </c>
      <c r="H265">
        <f t="shared" si="16"/>
        <v>-0.67515499999999984</v>
      </c>
      <c r="I265" s="5">
        <f t="shared" si="17"/>
        <v>1905</v>
      </c>
      <c r="J265">
        <f t="shared" si="18"/>
        <v>1.9807569514408412</v>
      </c>
      <c r="K265">
        <f t="shared" si="19"/>
        <v>0.95099416590865471</v>
      </c>
    </row>
    <row r="266" spans="1:11" x14ac:dyDescent="0.25">
      <c r="A266" s="1"/>
      <c r="B266" s="4">
        <v>2193</v>
      </c>
      <c r="C266" t="s">
        <v>24</v>
      </c>
      <c r="D266" s="3">
        <v>10.708333333333334</v>
      </c>
      <c r="E266" s="5">
        <f t="shared" si="15"/>
        <v>1906</v>
      </c>
      <c r="F266">
        <v>2.0920299999999998</v>
      </c>
      <c r="G266">
        <f t="shared" si="16"/>
        <v>-0.97829999999999995</v>
      </c>
      <c r="H266">
        <f t="shared" si="16"/>
        <v>-1.4343824999999999</v>
      </c>
      <c r="I266" s="5">
        <f t="shared" si="17"/>
        <v>1906</v>
      </c>
      <c r="J266">
        <f t="shared" si="18"/>
        <v>1.627724816816543</v>
      </c>
      <c r="K266">
        <f t="shared" si="19"/>
        <v>-0.72539253892923283</v>
      </c>
    </row>
    <row r="267" spans="1:11" x14ac:dyDescent="0.25">
      <c r="A267" s="1"/>
      <c r="B267" s="4">
        <v>2558</v>
      </c>
      <c r="C267" t="s">
        <v>24</v>
      </c>
      <c r="D267" s="3">
        <v>10.75</v>
      </c>
      <c r="E267" s="5">
        <f t="shared" si="15"/>
        <v>1907</v>
      </c>
      <c r="F267">
        <v>0.46054</v>
      </c>
      <c r="G267">
        <f t="shared" si="16"/>
        <v>-0.89385999999999988</v>
      </c>
      <c r="H267">
        <f t="shared" si="16"/>
        <v>8.9444999999999997E-2</v>
      </c>
      <c r="I267" s="5">
        <f t="shared" si="17"/>
        <v>1907</v>
      </c>
      <c r="J267">
        <f t="shared" si="18"/>
        <v>0.82487904331827422</v>
      </c>
      <c r="K267">
        <f t="shared" si="19"/>
        <v>0.35860552922843164</v>
      </c>
    </row>
    <row r="268" spans="1:11" x14ac:dyDescent="0.25">
      <c r="A268" s="1"/>
      <c r="B268" s="4">
        <v>2923</v>
      </c>
      <c r="C268" t="s">
        <v>24</v>
      </c>
      <c r="D268" s="3">
        <v>10.791666666666666</v>
      </c>
      <c r="E268" s="5">
        <f t="shared" ref="E268:E331" si="20">+E267+1</f>
        <v>1908</v>
      </c>
      <c r="F268">
        <v>0.30431000000000002</v>
      </c>
      <c r="G268">
        <f t="shared" ref="G268:H331" si="21">+(F269-F268)/2+(F268-F267)/2</f>
        <v>-0.79940999999999995</v>
      </c>
      <c r="H268">
        <f t="shared" si="21"/>
        <v>-0.15373500000000007</v>
      </c>
      <c r="I268" s="5">
        <f t="shared" si="17"/>
        <v>1908</v>
      </c>
      <c r="J268">
        <f t="shared" si="18"/>
        <v>0.26661482815576626</v>
      </c>
      <c r="K268">
        <f t="shared" si="19"/>
        <v>7.7977978467918527E-2</v>
      </c>
    </row>
    <row r="269" spans="1:11" x14ac:dyDescent="0.25">
      <c r="A269" s="1"/>
      <c r="B269" s="4">
        <v>3289</v>
      </c>
      <c r="C269" t="s">
        <v>24</v>
      </c>
      <c r="D269" s="3">
        <v>10.833333333333334</v>
      </c>
      <c r="E269" s="5">
        <f t="shared" si="20"/>
        <v>1909</v>
      </c>
      <c r="F269">
        <v>-1.13828</v>
      </c>
      <c r="G269">
        <f t="shared" si="21"/>
        <v>-1.20133</v>
      </c>
      <c r="H269">
        <f t="shared" si="21"/>
        <v>0.58315249999999996</v>
      </c>
      <c r="I269" s="5">
        <f t="shared" ref="I269:I332" si="22">+E269</f>
        <v>1909</v>
      </c>
      <c r="J269">
        <f t="shared" ref="J269:J332" si="23">+$J$6*F269+F269*$J$7*COS(2*PI()*$I269/$J$8+$J$9)+H269</f>
        <v>-0.56242737516939689</v>
      </c>
      <c r="K269">
        <f t="shared" ref="K269:K332" si="24">+$K$8*COS(2*PI()*$I269/$K$6+$K$7)</f>
        <v>-0.4993843921877496</v>
      </c>
    </row>
    <row r="270" spans="1:11" x14ac:dyDescent="0.25">
      <c r="A270" s="1"/>
      <c r="B270" s="4">
        <v>3654</v>
      </c>
      <c r="C270" t="s">
        <v>24</v>
      </c>
      <c r="D270" s="3">
        <v>10.875</v>
      </c>
      <c r="E270" s="5">
        <f t="shared" si="20"/>
        <v>1910</v>
      </c>
      <c r="F270">
        <v>-2.0983499999999999</v>
      </c>
      <c r="G270">
        <f t="shared" si="21"/>
        <v>0.36689499999999997</v>
      </c>
      <c r="H270">
        <f t="shared" si="21"/>
        <v>1.612395</v>
      </c>
      <c r="I270" s="5">
        <f t="shared" si="22"/>
        <v>1910</v>
      </c>
      <c r="J270">
        <f t="shared" si="23"/>
        <v>-6.9679299040421805E-2</v>
      </c>
      <c r="K270">
        <f t="shared" si="24"/>
        <v>0.82359408447394189</v>
      </c>
    </row>
    <row r="271" spans="1:11" x14ac:dyDescent="0.25">
      <c r="A271" s="1"/>
      <c r="B271" s="4">
        <v>4019</v>
      </c>
      <c r="C271" t="s">
        <v>24</v>
      </c>
      <c r="D271" s="3">
        <v>10.916666666666666</v>
      </c>
      <c r="E271" s="5">
        <f t="shared" si="20"/>
        <v>1911</v>
      </c>
      <c r="F271">
        <v>-0.40449000000000002</v>
      </c>
      <c r="G271">
        <f t="shared" si="21"/>
        <v>2.02346</v>
      </c>
      <c r="H271">
        <f t="shared" si="21"/>
        <v>0.14288000000000012</v>
      </c>
      <c r="I271" s="5">
        <f t="shared" si="22"/>
        <v>1911</v>
      </c>
      <c r="J271">
        <f t="shared" si="23"/>
        <v>-0.24013023206419981</v>
      </c>
      <c r="K271">
        <f t="shared" si="24"/>
        <v>-0.98750512495077747</v>
      </c>
    </row>
    <row r="272" spans="1:11" x14ac:dyDescent="0.25">
      <c r="A272" s="1"/>
      <c r="B272" s="4">
        <v>4384</v>
      </c>
      <c r="C272" t="s">
        <v>24</v>
      </c>
      <c r="D272" s="3">
        <v>10.958333333333334</v>
      </c>
      <c r="E272" s="5">
        <f t="shared" si="20"/>
        <v>1912</v>
      </c>
      <c r="F272">
        <v>1.9485699999999999</v>
      </c>
      <c r="G272">
        <f t="shared" si="21"/>
        <v>0.6526550000000001</v>
      </c>
      <c r="H272">
        <f t="shared" si="21"/>
        <v>-1.0437049999999999</v>
      </c>
      <c r="I272" s="5">
        <f t="shared" si="22"/>
        <v>1912</v>
      </c>
      <c r="J272">
        <f t="shared" si="23"/>
        <v>1.5178612360268426</v>
      </c>
      <c r="K272">
        <f t="shared" si="24"/>
        <v>0.95921500326750075</v>
      </c>
    </row>
    <row r="273" spans="1:11" x14ac:dyDescent="0.25">
      <c r="A273" s="1"/>
      <c r="B273" s="4">
        <v>4750</v>
      </c>
      <c r="C273" t="s">
        <v>24</v>
      </c>
      <c r="D273" s="3">
        <v>11</v>
      </c>
      <c r="E273" s="5">
        <f t="shared" si="20"/>
        <v>1913</v>
      </c>
      <c r="F273">
        <v>0.90081999999999995</v>
      </c>
      <c r="G273">
        <f t="shared" si="21"/>
        <v>-6.3949999999999951E-2</v>
      </c>
      <c r="H273">
        <f t="shared" si="21"/>
        <v>-3.3982500000000082E-2</v>
      </c>
      <c r="I273" s="5">
        <f t="shared" si="22"/>
        <v>1913</v>
      </c>
      <c r="J273">
        <f t="shared" si="23"/>
        <v>1.3907417918454403</v>
      </c>
      <c r="K273">
        <f t="shared" si="24"/>
        <v>-0.74422991288822993</v>
      </c>
    </row>
    <row r="274" spans="1:11" x14ac:dyDescent="0.25">
      <c r="A274" s="1"/>
      <c r="B274" s="4">
        <v>5115</v>
      </c>
      <c r="C274" t="s">
        <v>24</v>
      </c>
      <c r="D274" s="3">
        <v>11.041666666666666</v>
      </c>
      <c r="E274" s="5">
        <f t="shared" si="20"/>
        <v>1914</v>
      </c>
      <c r="F274">
        <v>1.82067</v>
      </c>
      <c r="G274">
        <f t="shared" si="21"/>
        <v>0.58468999999999993</v>
      </c>
      <c r="H274">
        <f t="shared" si="21"/>
        <v>-0.55926500000000001</v>
      </c>
      <c r="I274" s="5">
        <f t="shared" si="22"/>
        <v>1914</v>
      </c>
      <c r="J274">
        <f t="shared" si="23"/>
        <v>2.1958991610425351</v>
      </c>
      <c r="K274">
        <f t="shared" si="24"/>
        <v>0.38439306371048243</v>
      </c>
    </row>
    <row r="275" spans="1:11" x14ac:dyDescent="0.25">
      <c r="A275" s="1"/>
      <c r="B275" s="4">
        <v>5480</v>
      </c>
      <c r="C275" t="s">
        <v>24</v>
      </c>
      <c r="D275" s="3">
        <v>11.083333333333334</v>
      </c>
      <c r="E275" s="5">
        <f t="shared" si="20"/>
        <v>1915</v>
      </c>
      <c r="F275">
        <v>2.0701999999999998</v>
      </c>
      <c r="G275">
        <f t="shared" si="21"/>
        <v>-1.18248</v>
      </c>
      <c r="H275">
        <f t="shared" si="21"/>
        <v>-1.1015649999999999</v>
      </c>
      <c r="I275" s="5">
        <f t="shared" si="22"/>
        <v>1915</v>
      </c>
      <c r="J275">
        <f t="shared" si="23"/>
        <v>1.3198867556944491</v>
      </c>
      <c r="K275">
        <f t="shared" si="24"/>
        <v>5.0259390678549218E-2</v>
      </c>
    </row>
    <row r="276" spans="1:11" x14ac:dyDescent="0.25">
      <c r="A276" s="1"/>
      <c r="B276" s="4">
        <v>5845</v>
      </c>
      <c r="C276" t="s">
        <v>24</v>
      </c>
      <c r="D276" s="3">
        <v>11.125</v>
      </c>
      <c r="E276" s="5">
        <f t="shared" si="20"/>
        <v>1916</v>
      </c>
      <c r="F276">
        <v>-0.54429000000000005</v>
      </c>
      <c r="G276">
        <f t="shared" si="21"/>
        <v>-1.6184399999999999</v>
      </c>
      <c r="H276">
        <f t="shared" si="21"/>
        <v>0.30488249999999995</v>
      </c>
      <c r="I276" s="5">
        <f t="shared" si="22"/>
        <v>1916</v>
      </c>
      <c r="J276">
        <f t="shared" si="23"/>
        <v>-0.15924626653222973</v>
      </c>
      <c r="K276">
        <f t="shared" si="24"/>
        <v>-0.47512970515291469</v>
      </c>
    </row>
    <row r="277" spans="1:11" x14ac:dyDescent="0.25">
      <c r="A277" s="1"/>
      <c r="B277" s="4">
        <v>6211</v>
      </c>
      <c r="C277" t="s">
        <v>24</v>
      </c>
      <c r="D277" s="3">
        <v>11.166666666666666</v>
      </c>
      <c r="E277" s="5">
        <f t="shared" si="20"/>
        <v>1917</v>
      </c>
      <c r="F277">
        <v>-1.1666799999999999</v>
      </c>
      <c r="G277">
        <f t="shared" si="21"/>
        <v>-0.57271500000000009</v>
      </c>
      <c r="H277">
        <f t="shared" si="21"/>
        <v>1.6883224999999999</v>
      </c>
      <c r="I277" s="5">
        <f t="shared" si="22"/>
        <v>1917</v>
      </c>
      <c r="J277">
        <f t="shared" si="23"/>
        <v>0.70721220232781523</v>
      </c>
      <c r="K277">
        <f t="shared" si="24"/>
        <v>0.80752406259175946</v>
      </c>
    </row>
    <row r="278" spans="1:11" x14ac:dyDescent="0.25">
      <c r="A278" s="1"/>
      <c r="B278" s="4">
        <v>6576</v>
      </c>
      <c r="C278" t="s">
        <v>24</v>
      </c>
      <c r="D278" s="3">
        <v>11.208333333333334</v>
      </c>
      <c r="E278" s="5">
        <f t="shared" si="20"/>
        <v>1918</v>
      </c>
      <c r="F278">
        <v>-1.6897200000000001</v>
      </c>
      <c r="G278">
        <f t="shared" si="21"/>
        <v>1.7582050000000002</v>
      </c>
      <c r="H278">
        <f t="shared" si="21"/>
        <v>1.079555</v>
      </c>
      <c r="I278" s="5">
        <f t="shared" si="22"/>
        <v>1918</v>
      </c>
      <c r="J278">
        <f t="shared" si="23"/>
        <v>-0.85463266389303061</v>
      </c>
      <c r="K278">
        <f t="shared" si="24"/>
        <v>-0.98274752604629534</v>
      </c>
    </row>
    <row r="279" spans="1:11" x14ac:dyDescent="0.25">
      <c r="A279" s="1"/>
      <c r="B279" s="4">
        <v>6941</v>
      </c>
      <c r="C279" t="s">
        <v>24</v>
      </c>
      <c r="D279" s="3">
        <v>11.25</v>
      </c>
      <c r="E279" s="5">
        <f t="shared" si="20"/>
        <v>1919</v>
      </c>
      <c r="F279">
        <v>2.3497300000000001</v>
      </c>
      <c r="G279">
        <f t="shared" si="21"/>
        <v>1.5863950000000002</v>
      </c>
      <c r="H279">
        <f t="shared" si="21"/>
        <v>-1.6430600000000002</v>
      </c>
      <c r="I279" s="5">
        <f t="shared" si="22"/>
        <v>1919</v>
      </c>
      <c r="J279">
        <f t="shared" si="23"/>
        <v>1.8745542840258844</v>
      </c>
      <c r="K279">
        <f t="shared" si="24"/>
        <v>0.96669581345985367</v>
      </c>
    </row>
    <row r="280" spans="1:11" x14ac:dyDescent="0.25">
      <c r="A280" s="1"/>
      <c r="B280" s="4">
        <v>7306</v>
      </c>
      <c r="C280" t="s">
        <v>24</v>
      </c>
      <c r="D280" s="3">
        <v>11.291666666666666</v>
      </c>
      <c r="E280" s="5">
        <f t="shared" si="20"/>
        <v>1920</v>
      </c>
      <c r="F280">
        <v>1.4830700000000001</v>
      </c>
      <c r="G280">
        <f t="shared" si="21"/>
        <v>-1.5279149999999999</v>
      </c>
      <c r="H280">
        <f t="shared" si="21"/>
        <v>-1.4777</v>
      </c>
      <c r="I280" s="5">
        <f t="shared" si="22"/>
        <v>1920</v>
      </c>
      <c r="J280">
        <f t="shared" si="23"/>
        <v>0.87796020684784137</v>
      </c>
      <c r="K280">
        <f t="shared" si="24"/>
        <v>-0.76249311906216177</v>
      </c>
    </row>
    <row r="281" spans="1:11" x14ac:dyDescent="0.25">
      <c r="A281" s="1"/>
      <c r="B281" s="4">
        <v>7672</v>
      </c>
      <c r="C281" t="s">
        <v>24</v>
      </c>
      <c r="D281" s="3">
        <v>11.333333333333334</v>
      </c>
      <c r="E281" s="5">
        <f t="shared" si="20"/>
        <v>1921</v>
      </c>
      <c r="F281">
        <v>-0.70609999999999995</v>
      </c>
      <c r="G281">
        <f t="shared" si="21"/>
        <v>-1.369005</v>
      </c>
      <c r="H281">
        <f t="shared" si="21"/>
        <v>0.80776749999999997</v>
      </c>
      <c r="I281" s="5">
        <f t="shared" si="22"/>
        <v>1921</v>
      </c>
      <c r="J281">
        <f t="shared" si="23"/>
        <v>-0.13729921502144415</v>
      </c>
      <c r="K281">
        <f t="shared" si="24"/>
        <v>0.40988404183166299</v>
      </c>
    </row>
    <row r="282" spans="1:11" x14ac:dyDescent="0.25">
      <c r="A282" s="1"/>
      <c r="B282" s="4">
        <v>8037</v>
      </c>
      <c r="C282" t="s">
        <v>24</v>
      </c>
      <c r="D282" s="3">
        <v>11.375</v>
      </c>
      <c r="E282" s="5">
        <f t="shared" si="20"/>
        <v>1922</v>
      </c>
      <c r="F282">
        <v>-1.2549399999999999</v>
      </c>
      <c r="G282">
        <f t="shared" si="21"/>
        <v>8.7619999999999976E-2</v>
      </c>
      <c r="H282">
        <f t="shared" si="21"/>
        <v>1.1389175</v>
      </c>
      <c r="I282" s="5">
        <f t="shared" si="22"/>
        <v>1922</v>
      </c>
      <c r="J282">
        <f t="shared" si="23"/>
        <v>-7.4421949144332755E-2</v>
      </c>
      <c r="K282">
        <f t="shared" si="24"/>
        <v>2.2502028146050675E-2</v>
      </c>
    </row>
    <row r="283" spans="1:11" x14ac:dyDescent="0.25">
      <c r="A283" s="1"/>
      <c r="B283" s="4">
        <v>8402</v>
      </c>
      <c r="C283" t="s">
        <v>24</v>
      </c>
      <c r="D283" s="3">
        <v>11.416666666666666</v>
      </c>
      <c r="E283" s="5">
        <f t="shared" si="20"/>
        <v>1923</v>
      </c>
      <c r="F283">
        <v>-0.53086</v>
      </c>
      <c r="G283">
        <f t="shared" si="21"/>
        <v>0.90883000000000003</v>
      </c>
      <c r="H283">
        <f t="shared" si="21"/>
        <v>-0.34940749999999998</v>
      </c>
      <c r="I283" s="5">
        <f t="shared" si="22"/>
        <v>1923</v>
      </c>
      <c r="J283">
        <f t="shared" si="23"/>
        <v>-0.77417355094045193</v>
      </c>
      <c r="K283">
        <f t="shared" si="24"/>
        <v>-0.45050845912184012</v>
      </c>
    </row>
    <row r="284" spans="1:11" x14ac:dyDescent="0.25">
      <c r="A284" s="1"/>
      <c r="B284" s="4">
        <v>8767</v>
      </c>
      <c r="C284" t="s">
        <v>24</v>
      </c>
      <c r="D284" s="3">
        <v>11.458333333333334</v>
      </c>
      <c r="E284" s="5">
        <f t="shared" si="20"/>
        <v>1924</v>
      </c>
      <c r="F284">
        <v>0.56272</v>
      </c>
      <c r="G284">
        <f t="shared" si="21"/>
        <v>-0.61119500000000004</v>
      </c>
      <c r="H284">
        <f t="shared" si="21"/>
        <v>-0.12324500000000005</v>
      </c>
      <c r="I284" s="5">
        <f t="shared" si="22"/>
        <v>1924</v>
      </c>
      <c r="J284">
        <f t="shared" si="23"/>
        <v>0.43092743834067837</v>
      </c>
      <c r="K284">
        <f t="shared" si="24"/>
        <v>0.79083104196417342</v>
      </c>
    </row>
    <row r="285" spans="1:11" x14ac:dyDescent="0.25">
      <c r="A285" s="1"/>
      <c r="B285" s="4">
        <v>9133</v>
      </c>
      <c r="C285" t="s">
        <v>24</v>
      </c>
      <c r="D285" s="3">
        <v>11.5</v>
      </c>
      <c r="E285" s="5">
        <f t="shared" si="20"/>
        <v>1925</v>
      </c>
      <c r="F285">
        <v>-1.75325</v>
      </c>
      <c r="G285">
        <f t="shared" si="21"/>
        <v>0.66233999999999993</v>
      </c>
      <c r="H285">
        <f t="shared" si="21"/>
        <v>0.70859249999999996</v>
      </c>
      <c r="I285" s="5">
        <f t="shared" si="22"/>
        <v>1925</v>
      </c>
      <c r="J285">
        <f t="shared" si="23"/>
        <v>-1.6733191860166801</v>
      </c>
      <c r="K285">
        <f t="shared" si="24"/>
        <v>-0.97723174481041231</v>
      </c>
    </row>
    <row r="286" spans="1:11" x14ac:dyDescent="0.25">
      <c r="A286" s="1"/>
      <c r="B286" s="4">
        <v>9498</v>
      </c>
      <c r="C286" t="s">
        <v>24</v>
      </c>
      <c r="D286" s="3">
        <v>11.541666666666666</v>
      </c>
      <c r="E286" s="5">
        <f t="shared" si="20"/>
        <v>1926</v>
      </c>
      <c r="F286">
        <v>1.8874</v>
      </c>
      <c r="G286">
        <f t="shared" si="21"/>
        <v>0.80598999999999998</v>
      </c>
      <c r="H286">
        <f t="shared" si="21"/>
        <v>-0.73629250000000002</v>
      </c>
      <c r="I286" s="5">
        <f t="shared" si="22"/>
        <v>1926</v>
      </c>
      <c r="J286">
        <f t="shared" si="23"/>
        <v>2.2703115076356664</v>
      </c>
      <c r="K286">
        <f t="shared" si="24"/>
        <v>0.9734308250963768</v>
      </c>
    </row>
    <row r="287" spans="1:11" x14ac:dyDescent="0.25">
      <c r="A287" s="1"/>
      <c r="B287" s="4">
        <v>9863</v>
      </c>
      <c r="C287" t="s">
        <v>24</v>
      </c>
      <c r="D287" s="3">
        <v>11.583333333333334</v>
      </c>
      <c r="E287" s="5">
        <f t="shared" si="20"/>
        <v>1927</v>
      </c>
      <c r="F287">
        <v>-0.14127000000000001</v>
      </c>
      <c r="G287">
        <f t="shared" si="21"/>
        <v>-0.81024499999999999</v>
      </c>
      <c r="H287">
        <f t="shared" si="21"/>
        <v>-0.69552750000000008</v>
      </c>
      <c r="I287" s="5">
        <f t="shared" si="22"/>
        <v>1927</v>
      </c>
      <c r="J287">
        <f t="shared" si="23"/>
        <v>-0.90489973900773435</v>
      </c>
      <c r="K287">
        <f t="shared" si="24"/>
        <v>-0.78016806752527823</v>
      </c>
    </row>
    <row r="288" spans="1:11" x14ac:dyDescent="0.25">
      <c r="A288" s="1"/>
      <c r="B288" s="4">
        <v>10228</v>
      </c>
      <c r="C288" t="s">
        <v>24</v>
      </c>
      <c r="D288" s="3">
        <v>11.625</v>
      </c>
      <c r="E288" s="5">
        <f t="shared" si="20"/>
        <v>1928</v>
      </c>
      <c r="F288">
        <v>0.26690999999999998</v>
      </c>
      <c r="G288">
        <f t="shared" si="21"/>
        <v>-0.58506499999999995</v>
      </c>
      <c r="H288">
        <f t="shared" si="21"/>
        <v>0.52024749999999997</v>
      </c>
      <c r="I288" s="5">
        <f t="shared" si="22"/>
        <v>1928</v>
      </c>
      <c r="J288">
        <f t="shared" si="23"/>
        <v>0.82006438115323455</v>
      </c>
      <c r="K288">
        <f t="shared" si="24"/>
        <v>0.43505879749557996</v>
      </c>
    </row>
    <row r="289" spans="1:11" x14ac:dyDescent="0.25">
      <c r="A289" s="1"/>
      <c r="B289" s="4">
        <v>10594</v>
      </c>
      <c r="C289" t="s">
        <v>24</v>
      </c>
      <c r="D289" s="3">
        <v>11.666666666666666</v>
      </c>
      <c r="E289" s="5">
        <f t="shared" si="20"/>
        <v>1929</v>
      </c>
      <c r="F289">
        <v>-1.3113999999999999</v>
      </c>
      <c r="G289">
        <f t="shared" si="21"/>
        <v>0.23024999999999995</v>
      </c>
      <c r="H289">
        <f t="shared" si="21"/>
        <v>1.1749825</v>
      </c>
      <c r="I289" s="5">
        <f t="shared" si="22"/>
        <v>1929</v>
      </c>
      <c r="J289">
        <f t="shared" si="23"/>
        <v>8.4009492343739556E-2</v>
      </c>
      <c r="K289">
        <f t="shared" si="24"/>
        <v>-5.272694531156287E-3</v>
      </c>
    </row>
    <row r="290" spans="1:11" x14ac:dyDescent="0.25">
      <c r="A290" s="1"/>
      <c r="B290" s="4">
        <v>10959</v>
      </c>
      <c r="C290" t="s">
        <v>24</v>
      </c>
      <c r="D290" s="3">
        <v>11.708333333333334</v>
      </c>
      <c r="E290" s="5">
        <f t="shared" si="20"/>
        <v>1930</v>
      </c>
      <c r="F290">
        <v>0.72741</v>
      </c>
      <c r="G290">
        <f t="shared" si="21"/>
        <v>1.7648999999999999</v>
      </c>
      <c r="H290">
        <f t="shared" si="21"/>
        <v>-0.18515999999999988</v>
      </c>
      <c r="I290" s="5">
        <f t="shared" si="22"/>
        <v>1930</v>
      </c>
      <c r="J290">
        <f t="shared" si="23"/>
        <v>0.44331672587940352</v>
      </c>
      <c r="K290">
        <f t="shared" si="24"/>
        <v>-0.4255396491992044</v>
      </c>
    </row>
    <row r="291" spans="1:11" x14ac:dyDescent="0.25">
      <c r="A291" s="1"/>
      <c r="B291" s="4">
        <v>11324</v>
      </c>
      <c r="C291" t="s">
        <v>24</v>
      </c>
      <c r="D291" s="3">
        <v>11.75</v>
      </c>
      <c r="E291" s="5">
        <f t="shared" si="20"/>
        <v>1931</v>
      </c>
      <c r="F291">
        <v>2.2183999999999999</v>
      </c>
      <c r="G291">
        <f t="shared" si="21"/>
        <v>-0.14006999999999992</v>
      </c>
      <c r="H291">
        <f t="shared" si="21"/>
        <v>-1.4861749999999998</v>
      </c>
      <c r="I291" s="5">
        <f t="shared" si="22"/>
        <v>1931</v>
      </c>
      <c r="J291">
        <f t="shared" si="23"/>
        <v>1.1566789587495339</v>
      </c>
      <c r="K291">
        <f t="shared" si="24"/>
        <v>0.7735279011300612</v>
      </c>
    </row>
    <row r="292" spans="1:11" x14ac:dyDescent="0.25">
      <c r="A292" s="1"/>
      <c r="B292" s="4">
        <v>11689</v>
      </c>
      <c r="C292" t="s">
        <v>24</v>
      </c>
      <c r="D292" s="3">
        <v>11.791666666666666</v>
      </c>
      <c r="E292" s="5">
        <f t="shared" si="20"/>
        <v>1932</v>
      </c>
      <c r="F292">
        <v>0.44727</v>
      </c>
      <c r="G292">
        <f t="shared" si="21"/>
        <v>-1.2074499999999999</v>
      </c>
      <c r="H292">
        <f t="shared" si="21"/>
        <v>-0.4640725</v>
      </c>
      <c r="I292" s="5">
        <f t="shared" si="22"/>
        <v>1932</v>
      </c>
      <c r="J292">
        <f t="shared" si="23"/>
        <v>0.21859124621318393</v>
      </c>
      <c r="K292">
        <f t="shared" si="24"/>
        <v>-0.9709620366272631</v>
      </c>
    </row>
    <row r="293" spans="1:11" x14ac:dyDescent="0.25">
      <c r="A293" s="1"/>
      <c r="B293" s="4">
        <v>12055</v>
      </c>
      <c r="C293" t="s">
        <v>24</v>
      </c>
      <c r="D293" s="3">
        <v>11.833333333333334</v>
      </c>
      <c r="E293" s="5">
        <f t="shared" si="20"/>
        <v>1933</v>
      </c>
      <c r="F293">
        <v>-0.19650000000000001</v>
      </c>
      <c r="G293">
        <f t="shared" si="21"/>
        <v>-1.0682149999999999</v>
      </c>
      <c r="H293">
        <f t="shared" si="21"/>
        <v>0.5775325</v>
      </c>
      <c r="I293" s="5">
        <f t="shared" si="22"/>
        <v>1933</v>
      </c>
      <c r="J293">
        <f t="shared" si="23"/>
        <v>0.26813880769621268</v>
      </c>
      <c r="K293">
        <f t="shared" si="24"/>
        <v>0.97941484216664543</v>
      </c>
    </row>
    <row r="294" spans="1:11" x14ac:dyDescent="0.25">
      <c r="A294" s="1"/>
      <c r="B294" s="4">
        <v>12420</v>
      </c>
      <c r="C294" t="s">
        <v>24</v>
      </c>
      <c r="D294" s="3">
        <v>11.875</v>
      </c>
      <c r="E294" s="5">
        <f t="shared" si="20"/>
        <v>1934</v>
      </c>
      <c r="F294">
        <v>-1.68916</v>
      </c>
      <c r="G294">
        <f t="shared" si="21"/>
        <v>-5.2384999999999904E-2</v>
      </c>
      <c r="H294">
        <f t="shared" si="21"/>
        <v>0.9677</v>
      </c>
      <c r="I294" s="5">
        <f t="shared" si="22"/>
        <v>1934</v>
      </c>
      <c r="J294">
        <f t="shared" si="23"/>
        <v>-1.2174770905718273</v>
      </c>
      <c r="K294">
        <f t="shared" si="24"/>
        <v>-0.79724112218650622</v>
      </c>
    </row>
    <row r="295" spans="1:11" x14ac:dyDescent="0.25">
      <c r="A295" s="1"/>
      <c r="B295" s="4">
        <v>12785</v>
      </c>
      <c r="C295" t="s">
        <v>24</v>
      </c>
      <c r="D295" s="3">
        <v>11.916666666666666</v>
      </c>
      <c r="E295" s="5">
        <f t="shared" si="20"/>
        <v>1935</v>
      </c>
      <c r="F295">
        <v>-0.30126999999999998</v>
      </c>
      <c r="G295">
        <f t="shared" si="21"/>
        <v>0.86718500000000009</v>
      </c>
      <c r="H295">
        <f t="shared" si="21"/>
        <v>0.21148499999999995</v>
      </c>
      <c r="I295" s="5">
        <f t="shared" si="22"/>
        <v>1935</v>
      </c>
      <c r="J295">
        <f t="shared" si="23"/>
        <v>-6.8840783872954642E-2</v>
      </c>
      <c r="K295">
        <f t="shared" si="24"/>
        <v>0.45989790856577301</v>
      </c>
    </row>
    <row r="296" spans="1:11" x14ac:dyDescent="0.25">
      <c r="A296" s="1"/>
      <c r="B296" s="4">
        <v>13150</v>
      </c>
      <c r="C296" t="s">
        <v>24</v>
      </c>
      <c r="D296" s="3">
        <v>11.958333333333334</v>
      </c>
      <c r="E296" s="5">
        <f t="shared" si="20"/>
        <v>1936</v>
      </c>
      <c r="F296">
        <v>4.521E-2</v>
      </c>
      <c r="G296">
        <f t="shared" si="21"/>
        <v>0.370585</v>
      </c>
      <c r="H296">
        <f t="shared" si="21"/>
        <v>-0.39490750000000008</v>
      </c>
      <c r="I296" s="5">
        <f t="shared" si="22"/>
        <v>1936</v>
      </c>
      <c r="J296">
        <f t="shared" si="23"/>
        <v>-0.35855182968503985</v>
      </c>
      <c r="K296">
        <f t="shared" si="24"/>
        <v>-3.3043349365064631E-2</v>
      </c>
    </row>
    <row r="297" spans="1:11" x14ac:dyDescent="0.25">
      <c r="A297" s="1"/>
      <c r="B297" s="4">
        <v>13516</v>
      </c>
      <c r="C297" t="s">
        <v>24</v>
      </c>
      <c r="D297" s="3">
        <v>12</v>
      </c>
      <c r="E297" s="5">
        <f t="shared" si="20"/>
        <v>1937</v>
      </c>
      <c r="F297">
        <v>0.43990000000000001</v>
      </c>
      <c r="G297">
        <f t="shared" si="21"/>
        <v>7.736999999999998E-2</v>
      </c>
      <c r="H297">
        <f t="shared" si="21"/>
        <v>-0.46084499999999995</v>
      </c>
      <c r="I297" s="5">
        <f t="shared" si="22"/>
        <v>1937</v>
      </c>
      <c r="J297">
        <f t="shared" si="23"/>
        <v>-9.6526882732717034E-3</v>
      </c>
      <c r="K297">
        <f t="shared" si="24"/>
        <v>-0.40024253863586257</v>
      </c>
    </row>
    <row r="298" spans="1:11" x14ac:dyDescent="0.25">
      <c r="A298" s="1"/>
      <c r="B298" s="4">
        <v>13881</v>
      </c>
      <c r="C298" t="s">
        <v>24</v>
      </c>
      <c r="D298" s="3">
        <v>12.041666666666666</v>
      </c>
      <c r="E298" s="5">
        <f t="shared" si="20"/>
        <v>1938</v>
      </c>
      <c r="F298">
        <v>0.19994999999999999</v>
      </c>
      <c r="G298">
        <f t="shared" si="21"/>
        <v>-0.55110499999999996</v>
      </c>
      <c r="H298">
        <f t="shared" si="21"/>
        <v>0.13231000000000004</v>
      </c>
      <c r="I298" s="5">
        <f t="shared" si="22"/>
        <v>1938</v>
      </c>
      <c r="J298">
        <f t="shared" si="23"/>
        <v>0.41231595278471156</v>
      </c>
      <c r="K298">
        <f t="shared" si="24"/>
        <v>0.75562798933368003</v>
      </c>
    </row>
    <row r="299" spans="1:11" x14ac:dyDescent="0.25">
      <c r="A299" s="1"/>
      <c r="B299" s="4">
        <v>14246</v>
      </c>
      <c r="C299" t="s">
        <v>24</v>
      </c>
      <c r="D299" s="3">
        <v>12.083333333333334</v>
      </c>
      <c r="E299" s="5">
        <f t="shared" si="20"/>
        <v>1939</v>
      </c>
      <c r="F299">
        <v>-0.66230999999999995</v>
      </c>
      <c r="G299">
        <f t="shared" si="21"/>
        <v>0.34199000000000007</v>
      </c>
      <c r="H299">
        <f t="shared" si="21"/>
        <v>1.1988924999999999</v>
      </c>
      <c r="I299" s="5">
        <f t="shared" si="22"/>
        <v>1939</v>
      </c>
      <c r="J299">
        <f t="shared" si="23"/>
        <v>0.13985367790257408</v>
      </c>
      <c r="K299">
        <f t="shared" si="24"/>
        <v>-0.96394323852918529</v>
      </c>
    </row>
    <row r="300" spans="1:11" x14ac:dyDescent="0.25">
      <c r="A300" s="1"/>
      <c r="B300" s="4">
        <v>14611</v>
      </c>
      <c r="C300" t="s">
        <v>24</v>
      </c>
      <c r="D300" s="3">
        <v>12.125</v>
      </c>
      <c r="E300" s="5">
        <f t="shared" si="20"/>
        <v>1940</v>
      </c>
      <c r="F300">
        <v>0.88392999999999999</v>
      </c>
      <c r="G300">
        <f t="shared" si="21"/>
        <v>1.8466800000000001</v>
      </c>
      <c r="H300">
        <f t="shared" si="21"/>
        <v>0.29542250000000003</v>
      </c>
      <c r="I300" s="5">
        <f t="shared" si="22"/>
        <v>1940</v>
      </c>
      <c r="J300">
        <f t="shared" si="23"/>
        <v>1.5744794492648495</v>
      </c>
      <c r="K300">
        <f t="shared" si="24"/>
        <v>0.98464324804606662</v>
      </c>
    </row>
    <row r="301" spans="1:11" x14ac:dyDescent="0.25">
      <c r="A301" s="1"/>
      <c r="B301" s="4">
        <v>14977</v>
      </c>
      <c r="C301" t="s">
        <v>24</v>
      </c>
      <c r="D301" s="3">
        <v>12.166666666666666</v>
      </c>
      <c r="E301" s="5">
        <f t="shared" si="20"/>
        <v>1941</v>
      </c>
      <c r="F301">
        <v>3.03105</v>
      </c>
      <c r="G301">
        <f t="shared" si="21"/>
        <v>0.93283500000000008</v>
      </c>
      <c r="H301">
        <f t="shared" si="21"/>
        <v>-1.7648825000000001</v>
      </c>
      <c r="I301" s="5">
        <f t="shared" si="22"/>
        <v>1941</v>
      </c>
      <c r="J301">
        <f t="shared" si="23"/>
        <v>1.5024574538599813</v>
      </c>
      <c r="K301">
        <f t="shared" si="24"/>
        <v>-0.81369911131359185</v>
      </c>
    </row>
    <row r="302" spans="1:11" x14ac:dyDescent="0.25">
      <c r="A302" s="1"/>
      <c r="B302" s="4">
        <v>15342</v>
      </c>
      <c r="C302" t="s">
        <v>24</v>
      </c>
      <c r="D302" s="3">
        <v>12.208333333333334</v>
      </c>
      <c r="E302" s="5">
        <f t="shared" si="20"/>
        <v>1942</v>
      </c>
      <c r="F302">
        <v>2.7496</v>
      </c>
      <c r="G302">
        <f t="shared" si="21"/>
        <v>-1.6830849999999999</v>
      </c>
      <c r="H302">
        <f t="shared" si="21"/>
        <v>-0.83242749999999999</v>
      </c>
      <c r="I302" s="5">
        <f t="shared" si="22"/>
        <v>1942</v>
      </c>
      <c r="J302">
        <f t="shared" si="23"/>
        <v>1.4116472163516356</v>
      </c>
      <c r="K302">
        <f t="shared" si="24"/>
        <v>0.48438221185633729</v>
      </c>
    </row>
    <row r="303" spans="1:11" x14ac:dyDescent="0.25">
      <c r="A303" s="1"/>
      <c r="B303" s="4">
        <v>15707</v>
      </c>
      <c r="C303" t="s">
        <v>24</v>
      </c>
      <c r="D303" s="3">
        <v>12.25</v>
      </c>
      <c r="E303" s="5">
        <f t="shared" si="20"/>
        <v>1943</v>
      </c>
      <c r="F303">
        <v>-0.33511999999999997</v>
      </c>
      <c r="G303">
        <f t="shared" si="21"/>
        <v>-0.73201999999999989</v>
      </c>
      <c r="H303">
        <f t="shared" si="21"/>
        <v>0.98780250000000003</v>
      </c>
      <c r="I303" s="5">
        <f t="shared" si="22"/>
        <v>1943</v>
      </c>
      <c r="J303">
        <f t="shared" si="23"/>
        <v>0.68899501436740274</v>
      </c>
      <c r="K303">
        <f t="shared" si="24"/>
        <v>-6.0788511502342019E-2</v>
      </c>
    </row>
    <row r="304" spans="1:11" x14ac:dyDescent="0.25">
      <c r="A304" s="1"/>
      <c r="B304" s="4">
        <v>16072</v>
      </c>
      <c r="C304" t="s">
        <v>24</v>
      </c>
      <c r="D304" s="3">
        <v>12.291666666666666</v>
      </c>
      <c r="E304" s="5">
        <f t="shared" si="20"/>
        <v>1944</v>
      </c>
      <c r="F304">
        <v>1.28556</v>
      </c>
      <c r="G304">
        <f t="shared" si="21"/>
        <v>0.29252</v>
      </c>
      <c r="H304">
        <f t="shared" si="21"/>
        <v>-0.36907250000000014</v>
      </c>
      <c r="I304" s="5">
        <f t="shared" si="22"/>
        <v>1944</v>
      </c>
      <c r="J304">
        <f t="shared" si="23"/>
        <v>1.2225870708524147</v>
      </c>
      <c r="K304">
        <f t="shared" si="24"/>
        <v>-0.37463664396085672</v>
      </c>
    </row>
    <row r="305" spans="1:11" x14ac:dyDescent="0.25">
      <c r="A305" s="1"/>
      <c r="B305" s="4">
        <v>16438</v>
      </c>
      <c r="C305" t="s">
        <v>24</v>
      </c>
      <c r="D305" s="3">
        <v>12.333333333333334</v>
      </c>
      <c r="E305" s="5">
        <f t="shared" si="20"/>
        <v>1945</v>
      </c>
      <c r="F305">
        <v>0.24992</v>
      </c>
      <c r="G305">
        <f t="shared" si="21"/>
        <v>-1.4701650000000002</v>
      </c>
      <c r="H305">
        <f t="shared" si="21"/>
        <v>-9.5350000000000046E-2</v>
      </c>
      <c r="I305" s="5">
        <f t="shared" si="22"/>
        <v>1945</v>
      </c>
      <c r="J305">
        <f t="shared" si="23"/>
        <v>0.29229678946635096</v>
      </c>
      <c r="K305">
        <f t="shared" si="24"/>
        <v>0.73714511622129542</v>
      </c>
    </row>
    <row r="306" spans="1:11" x14ac:dyDescent="0.25">
      <c r="A306" s="1"/>
      <c r="B306" s="4">
        <v>16803</v>
      </c>
      <c r="C306" t="s">
        <v>24</v>
      </c>
      <c r="D306" s="3">
        <v>12.375</v>
      </c>
      <c r="E306" s="5">
        <f t="shared" si="20"/>
        <v>1946</v>
      </c>
      <c r="F306">
        <v>-1.6547700000000001</v>
      </c>
      <c r="G306">
        <f t="shared" si="21"/>
        <v>0.10182000000000002</v>
      </c>
      <c r="H306">
        <f t="shared" si="21"/>
        <v>1.2140675000000001</v>
      </c>
      <c r="I306" s="5">
        <f t="shared" si="22"/>
        <v>1946</v>
      </c>
      <c r="J306">
        <f t="shared" si="23"/>
        <v>-1.3600097851897837</v>
      </c>
      <c r="K306">
        <f t="shared" si="24"/>
        <v>-0.95618076546662645</v>
      </c>
    </row>
    <row r="307" spans="1:11" x14ac:dyDescent="0.25">
      <c r="A307" s="1"/>
      <c r="B307" s="4">
        <v>17168</v>
      </c>
      <c r="C307" t="s">
        <v>24</v>
      </c>
      <c r="D307" s="3">
        <v>12.416666666666666</v>
      </c>
      <c r="E307" s="5">
        <f t="shared" si="20"/>
        <v>1947</v>
      </c>
      <c r="F307">
        <v>0.45356000000000002</v>
      </c>
      <c r="G307">
        <f t="shared" si="21"/>
        <v>0.95796999999999999</v>
      </c>
      <c r="H307">
        <f t="shared" si="21"/>
        <v>-9.1134999999999966E-2</v>
      </c>
      <c r="I307" s="5">
        <f t="shared" si="22"/>
        <v>1947</v>
      </c>
      <c r="J307">
        <f t="shared" si="23"/>
        <v>0.47471755422380413</v>
      </c>
      <c r="K307">
        <f t="shared" si="24"/>
        <v>0.98911200905913688</v>
      </c>
    </row>
    <row r="308" spans="1:11" x14ac:dyDescent="0.25">
      <c r="A308" s="1"/>
      <c r="B308" s="4">
        <v>17533</v>
      </c>
      <c r="C308" t="s">
        <v>24</v>
      </c>
      <c r="D308" s="3">
        <v>12.458333333333334</v>
      </c>
      <c r="E308" s="5">
        <f t="shared" si="20"/>
        <v>1948</v>
      </c>
      <c r="F308">
        <v>0.26117000000000001</v>
      </c>
      <c r="G308">
        <f t="shared" si="21"/>
        <v>-8.0450000000000021E-2</v>
      </c>
      <c r="H308">
        <f t="shared" si="21"/>
        <v>-0.95496749999999997</v>
      </c>
      <c r="I308" s="5">
        <f t="shared" si="22"/>
        <v>1948</v>
      </c>
      <c r="J308">
        <f t="shared" si="23"/>
        <v>-0.7204890517641227</v>
      </c>
      <c r="K308">
        <f t="shared" si="24"/>
        <v>-0.82952933769052428</v>
      </c>
    </row>
    <row r="309" spans="1:11" x14ac:dyDescent="0.25">
      <c r="A309" s="1"/>
      <c r="B309" s="4">
        <v>17899</v>
      </c>
      <c r="C309" t="s">
        <v>24</v>
      </c>
      <c r="D309" s="3">
        <v>12.5</v>
      </c>
      <c r="E309" s="5">
        <f t="shared" si="20"/>
        <v>1949</v>
      </c>
      <c r="F309">
        <v>0.29265999999999998</v>
      </c>
      <c r="G309">
        <f t="shared" si="21"/>
        <v>-0.95196499999999995</v>
      </c>
      <c r="H309">
        <f t="shared" si="21"/>
        <v>-0.53730999999999995</v>
      </c>
      <c r="I309" s="5">
        <f t="shared" si="22"/>
        <v>1949</v>
      </c>
      <c r="J309">
        <f t="shared" si="23"/>
        <v>-0.29920915832177203</v>
      </c>
      <c r="K309">
        <f t="shared" si="24"/>
        <v>0.50849281790967527</v>
      </c>
    </row>
    <row r="310" spans="1:11" x14ac:dyDescent="0.25">
      <c r="A310" s="1"/>
      <c r="B310" s="4">
        <v>18264</v>
      </c>
      <c r="C310" t="s">
        <v>24</v>
      </c>
      <c r="D310" s="3">
        <v>12.541666666666666</v>
      </c>
      <c r="E310" s="5">
        <f t="shared" si="20"/>
        <v>1950</v>
      </c>
      <c r="F310">
        <v>-1.64276</v>
      </c>
      <c r="G310">
        <f t="shared" si="21"/>
        <v>-1.1550699999999998</v>
      </c>
      <c r="H310">
        <f t="shared" si="21"/>
        <v>1.0664175</v>
      </c>
      <c r="I310" s="5">
        <f t="shared" si="22"/>
        <v>1950</v>
      </c>
      <c r="J310">
        <f t="shared" si="23"/>
        <v>-0.68955648783459278</v>
      </c>
      <c r="K310">
        <f t="shared" si="24"/>
        <v>-8.8486775760713898E-2</v>
      </c>
    </row>
    <row r="311" spans="1:11" x14ac:dyDescent="0.25">
      <c r="A311" s="1"/>
      <c r="B311" s="4">
        <v>18629</v>
      </c>
      <c r="C311" t="s">
        <v>24</v>
      </c>
      <c r="D311" s="3">
        <v>12.583333333333334</v>
      </c>
      <c r="E311" s="5">
        <f t="shared" si="20"/>
        <v>1951</v>
      </c>
      <c r="F311">
        <v>-2.0174799999999999</v>
      </c>
      <c r="G311">
        <f t="shared" si="21"/>
        <v>1.1808700000000001</v>
      </c>
      <c r="H311">
        <f t="shared" si="21"/>
        <v>0.83004499999999992</v>
      </c>
      <c r="I311" s="5">
        <f t="shared" si="22"/>
        <v>1951</v>
      </c>
      <c r="J311">
        <f t="shared" si="23"/>
        <v>-2.0740102536610641</v>
      </c>
      <c r="K311">
        <f t="shared" si="24"/>
        <v>-0.34874171993118258</v>
      </c>
    </row>
    <row r="312" spans="1:11" x14ac:dyDescent="0.25">
      <c r="A312" s="1"/>
      <c r="B312" s="4">
        <v>18994</v>
      </c>
      <c r="C312" t="s">
        <v>24</v>
      </c>
      <c r="D312" s="3">
        <v>12.625</v>
      </c>
      <c r="E312" s="5">
        <f t="shared" si="20"/>
        <v>1952</v>
      </c>
      <c r="F312">
        <v>0.71897999999999995</v>
      </c>
      <c r="G312">
        <f t="shared" si="21"/>
        <v>0.50502000000000014</v>
      </c>
      <c r="H312">
        <f t="shared" si="21"/>
        <v>-1.0491575</v>
      </c>
      <c r="I312" s="5">
        <f t="shared" si="22"/>
        <v>1952</v>
      </c>
      <c r="J312">
        <f t="shared" si="23"/>
        <v>0.10089792990300483</v>
      </c>
      <c r="K312">
        <f t="shared" si="24"/>
        <v>0.71809354119182922</v>
      </c>
    </row>
    <row r="313" spans="1:11" x14ac:dyDescent="0.25">
      <c r="A313" s="1"/>
      <c r="B313" s="4">
        <v>19360</v>
      </c>
      <c r="C313" t="s">
        <v>24</v>
      </c>
      <c r="D313" s="3">
        <v>12.666666666666666</v>
      </c>
      <c r="E313" s="5">
        <f t="shared" si="20"/>
        <v>1953</v>
      </c>
      <c r="F313">
        <v>-1.0074399999999999</v>
      </c>
      <c r="G313">
        <f t="shared" si="21"/>
        <v>-0.91744499999999995</v>
      </c>
      <c r="H313">
        <f t="shared" si="21"/>
        <v>-0.31213250000000009</v>
      </c>
      <c r="I313" s="5">
        <f t="shared" si="22"/>
        <v>1953</v>
      </c>
      <c r="J313">
        <f t="shared" si="23"/>
        <v>-1.7311819538585858</v>
      </c>
      <c r="K313">
        <f t="shared" si="24"/>
        <v>-0.94768060612871297</v>
      </c>
    </row>
    <row r="314" spans="1:11" x14ac:dyDescent="0.25">
      <c r="A314" s="1"/>
      <c r="B314" s="4">
        <v>19725</v>
      </c>
      <c r="C314" t="s">
        <v>24</v>
      </c>
      <c r="D314" s="3">
        <v>12.708333333333334</v>
      </c>
      <c r="E314" s="5">
        <f t="shared" si="20"/>
        <v>1954</v>
      </c>
      <c r="F314">
        <v>-1.11591</v>
      </c>
      <c r="G314">
        <f t="shared" si="21"/>
        <v>-0.11924500000000005</v>
      </c>
      <c r="H314">
        <f t="shared" si="21"/>
        <v>0.23310499999999995</v>
      </c>
      <c r="I314" s="5">
        <f t="shared" si="22"/>
        <v>1954</v>
      </c>
      <c r="J314">
        <f t="shared" si="23"/>
        <v>-0.92107580864706406</v>
      </c>
      <c r="K314">
        <f t="shared" si="24"/>
        <v>0.9928176775900236</v>
      </c>
    </row>
    <row r="315" spans="1:11" x14ac:dyDescent="0.25">
      <c r="A315" s="1"/>
      <c r="B315" s="4">
        <v>20090</v>
      </c>
      <c r="C315" t="s">
        <v>24</v>
      </c>
      <c r="D315" s="3">
        <v>12.75</v>
      </c>
      <c r="E315" s="5">
        <f t="shared" si="20"/>
        <v>1955</v>
      </c>
      <c r="F315">
        <v>-1.24593</v>
      </c>
      <c r="G315">
        <f t="shared" si="21"/>
        <v>-0.45123500000000005</v>
      </c>
      <c r="H315">
        <f t="shared" si="21"/>
        <v>0.18259250000000005</v>
      </c>
      <c r="I315" s="5">
        <f t="shared" si="22"/>
        <v>1955</v>
      </c>
      <c r="J315">
        <f t="shared" si="23"/>
        <v>-0.82116931146000216</v>
      </c>
      <c r="K315">
        <f t="shared" si="24"/>
        <v>-0.84471958841765016</v>
      </c>
    </row>
    <row r="316" spans="1:11" x14ac:dyDescent="0.25">
      <c r="A316" s="1"/>
      <c r="B316" s="4">
        <v>20455</v>
      </c>
      <c r="C316" t="s">
        <v>24</v>
      </c>
      <c r="D316" s="3">
        <v>12.791666666666666</v>
      </c>
      <c r="E316" s="5">
        <f t="shared" si="20"/>
        <v>1956</v>
      </c>
      <c r="F316">
        <v>-2.0183800000000001</v>
      </c>
      <c r="G316">
        <f t="shared" si="21"/>
        <v>0.24594000000000005</v>
      </c>
      <c r="H316">
        <f t="shared" si="21"/>
        <v>1.1343675000000002</v>
      </c>
      <c r="I316" s="5">
        <f t="shared" si="22"/>
        <v>1956</v>
      </c>
      <c r="J316">
        <f t="shared" si="23"/>
        <v>-0.72963867851384201</v>
      </c>
      <c r="K316">
        <f t="shared" si="24"/>
        <v>0.53221112557521022</v>
      </c>
    </row>
    <row r="317" spans="1:11" x14ac:dyDescent="0.25">
      <c r="A317" s="1"/>
      <c r="B317" s="4">
        <v>20821</v>
      </c>
      <c r="C317" t="s">
        <v>24</v>
      </c>
      <c r="D317" s="3">
        <v>12.833333333333334</v>
      </c>
      <c r="E317" s="5">
        <f t="shared" si="20"/>
        <v>1957</v>
      </c>
      <c r="F317">
        <v>-0.75405</v>
      </c>
      <c r="G317">
        <f t="shared" si="21"/>
        <v>1.8175000000000001</v>
      </c>
      <c r="H317">
        <f t="shared" si="21"/>
        <v>4.4352500000000017E-2</v>
      </c>
      <c r="I317" s="5">
        <f t="shared" si="22"/>
        <v>1957</v>
      </c>
      <c r="J317">
        <f t="shared" si="23"/>
        <v>-0.92411684010530182</v>
      </c>
      <c r="K317">
        <f t="shared" si="24"/>
        <v>-0.1161167731356377</v>
      </c>
    </row>
    <row r="318" spans="1:11" x14ac:dyDescent="0.25">
      <c r="A318" s="1"/>
      <c r="B318" s="4">
        <v>21186</v>
      </c>
      <c r="C318" t="s">
        <v>24</v>
      </c>
      <c r="D318" s="3">
        <v>12.875</v>
      </c>
      <c r="E318" s="5">
        <f t="shared" si="20"/>
        <v>1958</v>
      </c>
      <c r="F318">
        <v>1.6166199999999999</v>
      </c>
      <c r="G318">
        <f t="shared" si="21"/>
        <v>0.33464500000000008</v>
      </c>
      <c r="H318">
        <f t="shared" si="21"/>
        <v>-1.285215</v>
      </c>
      <c r="I318" s="5">
        <f t="shared" si="22"/>
        <v>1958</v>
      </c>
      <c r="J318">
        <f t="shared" si="23"/>
        <v>1.2546083006431688</v>
      </c>
      <c r="K318">
        <f t="shared" si="24"/>
        <v>-0.3225777442844398</v>
      </c>
    </row>
    <row r="319" spans="1:11" x14ac:dyDescent="0.25">
      <c r="A319" s="1"/>
      <c r="B319" s="4">
        <v>21551</v>
      </c>
      <c r="C319" t="s">
        <v>24</v>
      </c>
      <c r="D319" s="3">
        <v>12.916666666666666</v>
      </c>
      <c r="E319" s="5">
        <f t="shared" si="20"/>
        <v>1959</v>
      </c>
      <c r="F319">
        <v>-8.4760000000000002E-2</v>
      </c>
      <c r="G319">
        <f t="shared" si="21"/>
        <v>-0.75292999999999999</v>
      </c>
      <c r="H319">
        <f t="shared" si="21"/>
        <v>-0.35355250000000005</v>
      </c>
      <c r="I319" s="5">
        <f t="shared" si="22"/>
        <v>1959</v>
      </c>
      <c r="J319">
        <f t="shared" si="23"/>
        <v>-0.48338016473379408</v>
      </c>
      <c r="K319">
        <f t="shared" si="24"/>
        <v>0.69848796239165245</v>
      </c>
    </row>
    <row r="320" spans="1:11" x14ac:dyDescent="0.25">
      <c r="A320" s="1"/>
      <c r="B320" s="4">
        <v>21916</v>
      </c>
      <c r="C320" t="s">
        <v>24</v>
      </c>
      <c r="D320" s="3">
        <v>12.958333333333334</v>
      </c>
      <c r="E320" s="5">
        <f t="shared" si="20"/>
        <v>1960</v>
      </c>
      <c r="F320">
        <v>0.11076</v>
      </c>
      <c r="G320">
        <f t="shared" si="21"/>
        <v>-0.37245999999999996</v>
      </c>
      <c r="H320">
        <f t="shared" si="21"/>
        <v>0.36761250000000001</v>
      </c>
      <c r="I320" s="5">
        <f t="shared" si="22"/>
        <v>1960</v>
      </c>
      <c r="J320">
        <f t="shared" si="23"/>
        <v>0.50061998659154294</v>
      </c>
      <c r="K320">
        <f t="shared" si="24"/>
        <v>-0.93844931832505396</v>
      </c>
    </row>
    <row r="321" spans="1:11" x14ac:dyDescent="0.25">
      <c r="A321" s="1"/>
      <c r="B321" s="4">
        <v>22282</v>
      </c>
      <c r="C321" t="s">
        <v>24</v>
      </c>
      <c r="D321" s="3">
        <v>13</v>
      </c>
      <c r="E321" s="5">
        <f t="shared" si="20"/>
        <v>1961</v>
      </c>
      <c r="F321">
        <v>-0.82967999999999997</v>
      </c>
      <c r="G321">
        <f t="shared" si="21"/>
        <v>-1.7704999999999971E-2</v>
      </c>
      <c r="H321">
        <f t="shared" si="21"/>
        <v>0.22373749999999998</v>
      </c>
      <c r="I321" s="5">
        <f t="shared" si="22"/>
        <v>1961</v>
      </c>
      <c r="J321">
        <f t="shared" si="23"/>
        <v>-0.49746808380161039</v>
      </c>
      <c r="K321">
        <f t="shared" si="24"/>
        <v>0.99575739474354519</v>
      </c>
    </row>
    <row r="322" spans="1:11" x14ac:dyDescent="0.25">
      <c r="A322" s="1"/>
      <c r="B322" s="4">
        <v>22647</v>
      </c>
      <c r="C322" t="s">
        <v>24</v>
      </c>
      <c r="D322" s="3">
        <v>13.041666666666666</v>
      </c>
      <c r="E322" s="5">
        <f t="shared" si="20"/>
        <v>1962</v>
      </c>
      <c r="F322">
        <v>7.535E-2</v>
      </c>
      <c r="G322">
        <f t="shared" si="21"/>
        <v>7.5014999999999998E-2</v>
      </c>
      <c r="H322">
        <f t="shared" si="21"/>
        <v>0.29634500000000003</v>
      </c>
      <c r="I322" s="5">
        <f t="shared" si="22"/>
        <v>1962</v>
      </c>
      <c r="J322">
        <f t="shared" si="23"/>
        <v>0.35875661967914418</v>
      </c>
      <c r="K322">
        <f t="shared" si="24"/>
        <v>-0.85925814432969039</v>
      </c>
    </row>
    <row r="323" spans="1:11" x14ac:dyDescent="0.25">
      <c r="A323" s="1"/>
      <c r="B323" s="4">
        <v>23012</v>
      </c>
      <c r="C323" t="s">
        <v>24</v>
      </c>
      <c r="D323" s="3">
        <v>13.083333333333334</v>
      </c>
      <c r="E323" s="5">
        <f t="shared" si="20"/>
        <v>1963</v>
      </c>
      <c r="F323">
        <v>-0.67964999999999998</v>
      </c>
      <c r="G323">
        <f t="shared" si="21"/>
        <v>0.57498500000000008</v>
      </c>
      <c r="H323">
        <f t="shared" si="21"/>
        <v>0.1881225</v>
      </c>
      <c r="I323" s="5">
        <f t="shared" si="22"/>
        <v>1963</v>
      </c>
      <c r="J323">
        <f t="shared" si="23"/>
        <v>-0.56897934900512959</v>
      </c>
      <c r="K323">
        <f t="shared" si="24"/>
        <v>0.55551883635757271</v>
      </c>
    </row>
    <row r="324" spans="1:11" x14ac:dyDescent="0.25">
      <c r="A324" s="1"/>
      <c r="B324" s="4">
        <v>23377</v>
      </c>
      <c r="C324" t="s">
        <v>24</v>
      </c>
      <c r="D324" s="3">
        <v>13.125</v>
      </c>
      <c r="E324" s="5">
        <f t="shared" si="20"/>
        <v>1964</v>
      </c>
      <c r="F324">
        <v>1.22532</v>
      </c>
      <c r="G324">
        <f t="shared" si="21"/>
        <v>0.45125999999999999</v>
      </c>
      <c r="H324">
        <f t="shared" si="21"/>
        <v>-0.14196750000000002</v>
      </c>
      <c r="I324" s="5">
        <f t="shared" si="22"/>
        <v>1964</v>
      </c>
      <c r="J324">
        <f t="shared" si="23"/>
        <v>1.6656680038493923</v>
      </c>
      <c r="K324">
        <f t="shared" si="24"/>
        <v>-0.14365718729358007</v>
      </c>
    </row>
    <row r="325" spans="1:11" x14ac:dyDescent="0.25">
      <c r="A325" s="1"/>
      <c r="B325" s="4">
        <v>23743</v>
      </c>
      <c r="C325" t="s">
        <v>24</v>
      </c>
      <c r="D325" s="3">
        <v>13.166666666666666</v>
      </c>
      <c r="E325" s="5">
        <f t="shared" si="20"/>
        <v>1965</v>
      </c>
      <c r="F325">
        <v>0.22287000000000001</v>
      </c>
      <c r="G325">
        <f t="shared" si="21"/>
        <v>0.29105000000000003</v>
      </c>
      <c r="H325">
        <f t="shared" si="21"/>
        <v>-0.42096249999999991</v>
      </c>
      <c r="I325" s="5">
        <f t="shared" si="22"/>
        <v>1965</v>
      </c>
      <c r="J325">
        <f t="shared" si="23"/>
        <v>-6.5562391028871903E-2</v>
      </c>
      <c r="K325">
        <f t="shared" si="24"/>
        <v>-0.29616490233293646</v>
      </c>
    </row>
    <row r="326" spans="1:11" x14ac:dyDescent="0.25">
      <c r="A326" s="1"/>
      <c r="B326" s="4">
        <v>24108</v>
      </c>
      <c r="C326" t="s">
        <v>24</v>
      </c>
      <c r="D326" s="3">
        <v>13.208333333333334</v>
      </c>
      <c r="E326" s="5">
        <f t="shared" si="20"/>
        <v>1966</v>
      </c>
      <c r="F326">
        <v>1.80742</v>
      </c>
      <c r="G326">
        <f t="shared" si="21"/>
        <v>-0.39066499999999982</v>
      </c>
      <c r="H326">
        <f t="shared" si="21"/>
        <v>-0.34595749999999997</v>
      </c>
      <c r="I326" s="5">
        <f t="shared" si="22"/>
        <v>1966</v>
      </c>
      <c r="J326">
        <f t="shared" si="23"/>
        <v>2.1252775347953277</v>
      </c>
      <c r="K326">
        <f t="shared" si="24"/>
        <v>0.67834350537680943</v>
      </c>
    </row>
    <row r="327" spans="1:11" x14ac:dyDescent="0.25">
      <c r="A327" s="1"/>
      <c r="B327" s="4">
        <v>24473</v>
      </c>
      <c r="C327" t="s">
        <v>24</v>
      </c>
      <c r="D327" s="3">
        <v>13.25</v>
      </c>
      <c r="E327" s="5">
        <f t="shared" si="20"/>
        <v>1967</v>
      </c>
      <c r="F327">
        <v>-0.55845999999999996</v>
      </c>
      <c r="G327">
        <f t="shared" si="21"/>
        <v>-0.40086499999999992</v>
      </c>
      <c r="H327">
        <f t="shared" si="21"/>
        <v>0.53493999999999975</v>
      </c>
      <c r="I327" s="5">
        <f t="shared" si="22"/>
        <v>1967</v>
      </c>
      <c r="J327">
        <f t="shared" si="23"/>
        <v>-1.9556889009025191E-2</v>
      </c>
      <c r="K327">
        <f t="shared" si="24"/>
        <v>-0.92849402392455227</v>
      </c>
    </row>
    <row r="328" spans="1:11" x14ac:dyDescent="0.25">
      <c r="A328" s="1"/>
      <c r="B328" s="4">
        <v>24838</v>
      </c>
      <c r="C328" t="s">
        <v>24</v>
      </c>
      <c r="D328" s="3">
        <v>13.291666666666666</v>
      </c>
      <c r="E328" s="5">
        <f t="shared" si="20"/>
        <v>1968</v>
      </c>
      <c r="F328">
        <v>1.00569</v>
      </c>
      <c r="G328">
        <f t="shared" si="21"/>
        <v>0.6792149999999999</v>
      </c>
      <c r="H328">
        <f t="shared" si="21"/>
        <v>-9.5775000000001276E-3</v>
      </c>
      <c r="I328" s="5">
        <f t="shared" si="22"/>
        <v>1968</v>
      </c>
      <c r="J328">
        <f t="shared" si="23"/>
        <v>0.79549627086602337</v>
      </c>
      <c r="K328">
        <f t="shared" si="24"/>
        <v>0.99792889254981654</v>
      </c>
    </row>
    <row r="329" spans="1:11" x14ac:dyDescent="0.25">
      <c r="A329" s="1"/>
      <c r="B329" s="4">
        <v>25204</v>
      </c>
      <c r="C329" t="s">
        <v>24</v>
      </c>
      <c r="D329" s="3">
        <v>13.333333333333334</v>
      </c>
      <c r="E329" s="5">
        <f t="shared" si="20"/>
        <v>1969</v>
      </c>
      <c r="F329">
        <v>0.79996999999999996</v>
      </c>
      <c r="G329">
        <f t="shared" si="21"/>
        <v>-0.42002</v>
      </c>
      <c r="H329">
        <f t="shared" si="21"/>
        <v>-1.3142899999999997</v>
      </c>
      <c r="I329" s="5">
        <f t="shared" si="22"/>
        <v>1969</v>
      </c>
      <c r="J329">
        <f t="shared" si="23"/>
        <v>-0.54697940263481559</v>
      </c>
      <c r="K329">
        <f t="shared" si="24"/>
        <v>-0.87313378904096417</v>
      </c>
    </row>
    <row r="330" spans="1:11" x14ac:dyDescent="0.25">
      <c r="A330" s="1"/>
      <c r="B330" s="4">
        <v>25569</v>
      </c>
      <c r="C330" t="s">
        <v>24</v>
      </c>
      <c r="D330" s="3">
        <v>13.375</v>
      </c>
      <c r="E330" s="5">
        <f t="shared" si="20"/>
        <v>1970</v>
      </c>
      <c r="F330">
        <v>0.16564999999999999</v>
      </c>
      <c r="G330">
        <f t="shared" si="21"/>
        <v>-1.9493649999999998</v>
      </c>
      <c r="H330">
        <f t="shared" si="21"/>
        <v>-8.6782499999999985E-2</v>
      </c>
      <c r="I330" s="5">
        <f t="shared" si="22"/>
        <v>1970</v>
      </c>
      <c r="J330">
        <f t="shared" si="23"/>
        <v>0.13344136522082128</v>
      </c>
      <c r="K330">
        <f t="shared" si="24"/>
        <v>0.57839796853152003</v>
      </c>
    </row>
    <row r="331" spans="1:11" x14ac:dyDescent="0.25">
      <c r="A331" s="1"/>
      <c r="B331" s="4">
        <v>25934</v>
      </c>
      <c r="C331" t="s">
        <v>24</v>
      </c>
      <c r="D331" s="3">
        <v>13.416666666666666</v>
      </c>
      <c r="E331" s="5">
        <f t="shared" si="20"/>
        <v>1971</v>
      </c>
      <c r="F331">
        <v>-3.09876</v>
      </c>
      <c r="G331">
        <f t="shared" si="21"/>
        <v>-0.59358500000000003</v>
      </c>
      <c r="H331">
        <f t="shared" si="21"/>
        <v>2.2187975</v>
      </c>
      <c r="I331" s="5">
        <f t="shared" si="22"/>
        <v>1971</v>
      </c>
      <c r="J331">
        <f t="shared" si="23"/>
        <v>-2.6957617862200882</v>
      </c>
      <c r="K331">
        <f t="shared" si="24"/>
        <v>-0.17108677101017503</v>
      </c>
    </row>
    <row r="332" spans="1:11" x14ac:dyDescent="0.25">
      <c r="A332" s="1"/>
      <c r="B332" s="4">
        <v>26299</v>
      </c>
      <c r="C332" t="s">
        <v>24</v>
      </c>
      <c r="D332" s="3">
        <v>13.458333333333334</v>
      </c>
      <c r="E332" s="5">
        <f t="shared" ref="E332:E337" si="25">+E331+1</f>
        <v>1972</v>
      </c>
      <c r="F332">
        <v>-1.02152</v>
      </c>
      <c r="G332">
        <f t="shared" ref="G332:H336" si="26">+(F333-F332)/2+(F332-F331)/2</f>
        <v>2.4882299999999997</v>
      </c>
      <c r="H332">
        <f t="shared" si="26"/>
        <v>-0.21449000000000007</v>
      </c>
      <c r="I332" s="5">
        <f t="shared" si="22"/>
        <v>1972</v>
      </c>
      <c r="J332">
        <f t="shared" si="23"/>
        <v>-1.7501683080668651</v>
      </c>
      <c r="K332">
        <f t="shared" si="24"/>
        <v>-0.26952357138402316</v>
      </c>
    </row>
    <row r="333" spans="1:11" x14ac:dyDescent="0.25">
      <c r="A333" s="1"/>
      <c r="B333" s="4">
        <v>26665</v>
      </c>
      <c r="C333" t="s">
        <v>24</v>
      </c>
      <c r="D333" s="3">
        <v>13.5</v>
      </c>
      <c r="E333" s="5">
        <f t="shared" si="25"/>
        <v>1973</v>
      </c>
      <c r="F333">
        <v>1.8776999999999999</v>
      </c>
      <c r="G333">
        <f t="shared" si="26"/>
        <v>-1.0225650000000002</v>
      </c>
      <c r="H333">
        <f t="shared" si="26"/>
        <v>-1.8191224999999998</v>
      </c>
      <c r="I333" s="5">
        <f t="shared" ref="I333:I335" si="27">+E333</f>
        <v>1973</v>
      </c>
      <c r="J333">
        <f t="shared" ref="J333:J335" si="28">+$J$6*F333+F333*$J$7*COS(2*PI()*$I333/$J$8+$J$9)+H333</f>
        <v>0.34799121276634271</v>
      </c>
      <c r="K333">
        <f t="shared" ref="K333:K335" si="29">+$K$8*COS(2*PI()*$I333/$K$6+$K$7)</f>
        <v>0.65767571144582482</v>
      </c>
    </row>
    <row r="334" spans="1:11" x14ac:dyDescent="0.25">
      <c r="A334" s="1"/>
      <c r="B334" s="4">
        <v>27030</v>
      </c>
      <c r="C334" t="s">
        <v>24</v>
      </c>
      <c r="D334" s="3">
        <v>13.541666666666666</v>
      </c>
      <c r="E334" s="5">
        <f t="shared" si="25"/>
        <v>1974</v>
      </c>
      <c r="F334">
        <v>-3.0666500000000001</v>
      </c>
      <c r="G334">
        <f t="shared" si="26"/>
        <v>-1.150015</v>
      </c>
      <c r="H334">
        <f t="shared" si="26"/>
        <v>1.0910950000000001</v>
      </c>
      <c r="I334" s="5">
        <f t="shared" si="27"/>
        <v>1974</v>
      </c>
      <c r="J334">
        <f t="shared" si="28"/>
        <v>-1.5009705536927367</v>
      </c>
      <c r="K334">
        <f t="shared" si="29"/>
        <v>-0.91782240336166521</v>
      </c>
    </row>
    <row r="335" spans="1:11" x14ac:dyDescent="0.25">
      <c r="A335" s="1"/>
      <c r="B335" s="4">
        <v>27395</v>
      </c>
      <c r="C335" t="s">
        <v>24</v>
      </c>
      <c r="D335" s="3">
        <v>13.583333333333334</v>
      </c>
      <c r="E335" s="5">
        <f t="shared" si="25"/>
        <v>1975</v>
      </c>
      <c r="F335">
        <v>-0.42232999999999998</v>
      </c>
      <c r="G335">
        <f t="shared" si="26"/>
        <v>1.1596250000000001</v>
      </c>
      <c r="H335">
        <f t="shared" si="26"/>
        <v>0.84307999999999983</v>
      </c>
      <c r="I335" s="5">
        <f t="shared" si="27"/>
        <v>1975</v>
      </c>
      <c r="J335">
        <f t="shared" si="28"/>
        <v>0.4849046601140134</v>
      </c>
      <c r="K335">
        <f t="shared" si="29"/>
        <v>0.99933049571474042</v>
      </c>
    </row>
    <row r="336" spans="1:11" x14ac:dyDescent="0.25">
      <c r="A336" s="1"/>
      <c r="B336" s="4">
        <v>27760</v>
      </c>
      <c r="C336" t="s">
        <v>24</v>
      </c>
      <c r="D336" s="3">
        <v>13.625</v>
      </c>
      <c r="E336" s="5">
        <f t="shared" si="25"/>
        <v>1976</v>
      </c>
      <c r="F336">
        <v>-0.74739999999999995</v>
      </c>
      <c r="G336">
        <f t="shared" si="26"/>
        <v>0.53614499999999998</v>
      </c>
    </row>
    <row r="337" spans="1:6" x14ac:dyDescent="0.25">
      <c r="A337" s="1"/>
      <c r="B337" s="4">
        <v>28126</v>
      </c>
      <c r="C337" t="s">
        <v>24</v>
      </c>
      <c r="D337" s="3">
        <v>13.666666666666666</v>
      </c>
      <c r="E337" s="5">
        <f t="shared" si="25"/>
        <v>1977</v>
      </c>
      <c r="F337">
        <v>0.64995999999999998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7"/>
  <sheetViews>
    <sheetView zoomScale="60" zoomScaleNormal="60" workbookViewId="0">
      <selection activeCell="P11" sqref="P11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F2" t="s">
        <v>9</v>
      </c>
      <c r="G2" t="s">
        <v>10</v>
      </c>
      <c r="H2" t="s">
        <v>11</v>
      </c>
      <c r="I2" t="s">
        <v>12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283</v>
      </c>
      <c r="J3">
        <v>0.34894972618714099</v>
      </c>
      <c r="K3">
        <v>0.35982706406215564</v>
      </c>
    </row>
    <row r="4" spans="1:16" x14ac:dyDescent="0.25">
      <c r="A4" s="1"/>
      <c r="B4" t="s">
        <v>15</v>
      </c>
      <c r="C4" t="s">
        <v>1</v>
      </c>
      <c r="I4" t="s">
        <v>282</v>
      </c>
      <c r="J4">
        <v>2.8970985991360707</v>
      </c>
      <c r="K4">
        <v>-0.59309795773732699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281</v>
      </c>
      <c r="J5">
        <v>-0.99067657003293619</v>
      </c>
      <c r="K5">
        <v>-0.67269931661341575</v>
      </c>
    </row>
    <row r="6" spans="1:16" x14ac:dyDescent="0.25">
      <c r="A6" s="1"/>
      <c r="B6" t="s">
        <v>20</v>
      </c>
      <c r="C6" t="s">
        <v>21</v>
      </c>
      <c r="I6" t="s">
        <v>277</v>
      </c>
      <c r="J6">
        <v>0.54426842175087753</v>
      </c>
      <c r="K6">
        <v>2.3470541170998027</v>
      </c>
      <c r="L6" t="s">
        <v>274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278</v>
      </c>
      <c r="J7">
        <v>0.59834790146276695</v>
      </c>
      <c r="K7">
        <v>-0.69998606103929217</v>
      </c>
      <c r="L7" t="s">
        <v>275</v>
      </c>
    </row>
    <row r="8" spans="1:16" x14ac:dyDescent="0.25">
      <c r="A8" s="1"/>
      <c r="B8" t="s">
        <v>21</v>
      </c>
      <c r="I8" t="s">
        <v>279</v>
      </c>
      <c r="J8">
        <v>0.92489656792612585</v>
      </c>
      <c r="K8">
        <v>5.6739820514378003</v>
      </c>
      <c r="L8" t="s">
        <v>276</v>
      </c>
    </row>
    <row r="9" spans="1:16" x14ac:dyDescent="0.25">
      <c r="A9" s="1">
        <v>1</v>
      </c>
      <c r="H9">
        <f>+AVERAGE(F10:F337)</f>
        <v>-1.25238572899789E-17</v>
      </c>
      <c r="I9" t="s">
        <v>280</v>
      </c>
      <c r="J9">
        <v>-5.0865313979365849</v>
      </c>
      <c r="K9">
        <v>1.3406456807101297</v>
      </c>
    </row>
    <row r="10" spans="1:16" x14ac:dyDescent="0.25">
      <c r="A10" s="1"/>
      <c r="B10" t="s">
        <v>23</v>
      </c>
      <c r="C10" t="s">
        <v>24</v>
      </c>
      <c r="D10" s="2">
        <v>4.1666666666666664E-2</v>
      </c>
      <c r="E10" s="5">
        <v>1650</v>
      </c>
      <c r="F10">
        <v>0.34445999999999999</v>
      </c>
      <c r="K10" s="6">
        <f>+CORREL(J230:J335,K230:K335)</f>
        <v>0.4102852925073221</v>
      </c>
      <c r="L10">
        <v>0.22041843795747953</v>
      </c>
    </row>
    <row r="11" spans="1:16" x14ac:dyDescent="0.25">
      <c r="A11" s="1"/>
      <c r="B11" t="s">
        <v>25</v>
      </c>
      <c r="C11" t="s">
        <v>24</v>
      </c>
      <c r="D11" s="2">
        <v>8.3333333333333329E-2</v>
      </c>
      <c r="E11" s="5">
        <f>+E10+1</f>
        <v>1651</v>
      </c>
      <c r="F11">
        <v>1.25427</v>
      </c>
      <c r="G11">
        <f>+(F12-F11)-(F11-F10)</f>
        <v>-1.4716800000000001</v>
      </c>
      <c r="H11">
        <f>+G11</f>
        <v>-1.4716800000000001</v>
      </c>
      <c r="K11" s="6">
        <f>+CORREL(J50:J335,K50:K335)</f>
        <v>0.2711750819906848</v>
      </c>
      <c r="L11">
        <v>0.6606267590724908</v>
      </c>
      <c r="P11">
        <f>+SUM(P13:P335)/(335-13)</f>
        <v>0.68633540372670809</v>
      </c>
    </row>
    <row r="12" spans="1:16" x14ac:dyDescent="0.25">
      <c r="A12" s="1"/>
      <c r="B12" t="s">
        <v>26</v>
      </c>
      <c r="C12" t="s">
        <v>24</v>
      </c>
      <c r="D12" s="2">
        <v>0.125</v>
      </c>
      <c r="E12" s="5">
        <f t="shared" ref="E12:E75" si="0">+E11+1</f>
        <v>1652</v>
      </c>
      <c r="F12">
        <v>0.69240000000000002</v>
      </c>
      <c r="G12">
        <f t="shared" ref="G12:G75" si="1">+(F13-F12)-(F12-F11)</f>
        <v>-0.72932999999999992</v>
      </c>
      <c r="H12">
        <f t="shared" ref="H12:H75" si="2">+G12</f>
        <v>-0.72932999999999992</v>
      </c>
      <c r="I12" s="5">
        <f>+E12</f>
        <v>1652</v>
      </c>
      <c r="J12">
        <f>+$J$6*F12+F12*$J$7*COS(2*PI()*$I12/$K$6+$K$5*COS($J$5*$I12+$K$8)+$J$9)+H12+F12*$J$3*COS(2*PI()*$I12/$J$8+$K$3)</f>
        <v>-3.5427503773378832E-2</v>
      </c>
      <c r="K12">
        <f>+$K$8*COS(2*PI()*$I12/$K$6+$K$5*COS($J$5*$I12+$K$8)+$K$7) +$K$4*COS(2*PI()*$I12/$J$8+$J$4)</f>
        <v>3.7023516200345576</v>
      </c>
      <c r="N12">
        <f>+$K$8*COS(2*PI()*$I12/$K$6+$K$5*COS($J$5*$I12+$K$8)+$K$7)</f>
        <v>3.2377551091781047</v>
      </c>
      <c r="P12">
        <f>+IF(J12*K12&gt;0,1, 0)</f>
        <v>0</v>
      </c>
    </row>
    <row r="13" spans="1:16" x14ac:dyDescent="0.25">
      <c r="A13" s="1"/>
      <c r="B13" t="s">
        <v>27</v>
      </c>
      <c r="C13" t="s">
        <v>24</v>
      </c>
      <c r="D13" s="2">
        <v>0.16666666666666666</v>
      </c>
      <c r="E13" s="5">
        <f t="shared" si="0"/>
        <v>1653</v>
      </c>
      <c r="F13">
        <v>-0.5988</v>
      </c>
      <c r="G13">
        <f t="shared" si="1"/>
        <v>1.2937099999999999</v>
      </c>
      <c r="H13">
        <f t="shared" si="2"/>
        <v>1.2937099999999999</v>
      </c>
      <c r="I13" s="5">
        <f t="shared" ref="I13:I76" si="3">+E13</f>
        <v>1653</v>
      </c>
      <c r="J13">
        <f t="shared" ref="J13:J76" si="4">+$J$6*F13+F13*$J$7*COS(2*PI()*$I13/$K$6+$K$5*COS($J$5*$I13+$K$8)+$J$9)+H13+F13*$J$3*COS(2*PI()*$I13/$J$8+$K$3)</f>
        <v>1.3702090481984848</v>
      </c>
      <c r="K13">
        <f t="shared" ref="K13:K76" si="5">+$K$8*COS(2*PI()*$I13/$K$6+$K$5*COS($J$5*$I13+$K$8)+$K$7) +$K$4*COS(2*PI()*$I13/$J$8+$J$4)</f>
        <v>2.2816685599587987</v>
      </c>
      <c r="P13">
        <f t="shared" ref="P13:P76" si="6">+IF(J13*K13&gt;0,1, 0)</f>
        <v>1</v>
      </c>
    </row>
    <row r="14" spans="1:16" x14ac:dyDescent="0.25">
      <c r="A14" s="1"/>
      <c r="B14" t="s">
        <v>28</v>
      </c>
      <c r="C14" t="s">
        <v>24</v>
      </c>
      <c r="D14" s="2">
        <v>0.20833333333333334</v>
      </c>
      <c r="E14" s="5">
        <f t="shared" si="0"/>
        <v>1654</v>
      </c>
      <c r="F14">
        <v>-0.59628999999999999</v>
      </c>
      <c r="G14">
        <f t="shared" si="1"/>
        <v>0.75729999999999997</v>
      </c>
      <c r="H14">
        <f t="shared" si="2"/>
        <v>0.75729999999999997</v>
      </c>
      <c r="I14" s="5">
        <f t="shared" si="3"/>
        <v>1654</v>
      </c>
      <c r="J14">
        <f t="shared" si="4"/>
        <v>0.41197080995373175</v>
      </c>
      <c r="K14">
        <f t="shared" si="5"/>
        <v>-5.6934470606548304</v>
      </c>
      <c r="P14">
        <f t="shared" si="6"/>
        <v>0</v>
      </c>
    </row>
    <row r="15" spans="1:16" x14ac:dyDescent="0.25">
      <c r="A15" s="1"/>
      <c r="B15" t="s">
        <v>29</v>
      </c>
      <c r="C15" t="s">
        <v>24</v>
      </c>
      <c r="D15" s="2">
        <v>0.25</v>
      </c>
      <c r="E15" s="5">
        <f t="shared" si="0"/>
        <v>1655</v>
      </c>
      <c r="F15">
        <v>0.16352</v>
      </c>
      <c r="G15">
        <f t="shared" si="1"/>
        <v>0.10324</v>
      </c>
      <c r="H15">
        <f t="shared" si="2"/>
        <v>0.10324</v>
      </c>
      <c r="I15" s="5">
        <f t="shared" si="3"/>
        <v>1655</v>
      </c>
      <c r="J15">
        <f t="shared" si="4"/>
        <v>0.15278677193399187</v>
      </c>
      <c r="K15">
        <f t="shared" si="5"/>
        <v>4.6993299124776513</v>
      </c>
      <c r="P15">
        <f t="shared" si="6"/>
        <v>1</v>
      </c>
    </row>
    <row r="16" spans="1:16" x14ac:dyDescent="0.25">
      <c r="A16" s="1"/>
      <c r="B16" t="s">
        <v>30</v>
      </c>
      <c r="C16" t="s">
        <v>24</v>
      </c>
      <c r="D16" s="2">
        <v>0.29166666666666669</v>
      </c>
      <c r="E16" s="5">
        <f t="shared" si="0"/>
        <v>1656</v>
      </c>
      <c r="F16">
        <v>1.02657</v>
      </c>
      <c r="G16">
        <f t="shared" si="1"/>
        <v>-1.7184300000000001</v>
      </c>
      <c r="H16">
        <f t="shared" si="2"/>
        <v>-1.7184300000000001</v>
      </c>
      <c r="I16" s="5">
        <f t="shared" si="3"/>
        <v>1656</v>
      </c>
      <c r="J16">
        <f t="shared" si="4"/>
        <v>-1.6167424331047342</v>
      </c>
      <c r="K16">
        <f t="shared" si="5"/>
        <v>-5.5282831794792848</v>
      </c>
      <c r="P16">
        <f t="shared" si="6"/>
        <v>1</v>
      </c>
    </row>
    <row r="17" spans="1:16" x14ac:dyDescent="0.25">
      <c r="A17" s="1"/>
      <c r="B17" t="s">
        <v>31</v>
      </c>
      <c r="C17" t="s">
        <v>24</v>
      </c>
      <c r="D17" s="2">
        <v>0.33333333333333331</v>
      </c>
      <c r="E17" s="5">
        <f t="shared" si="0"/>
        <v>1657</v>
      </c>
      <c r="F17">
        <v>0.17119000000000001</v>
      </c>
      <c r="G17">
        <f t="shared" si="1"/>
        <v>1.14673</v>
      </c>
      <c r="H17">
        <f t="shared" si="2"/>
        <v>1.14673</v>
      </c>
      <c r="I17" s="5">
        <f t="shared" si="3"/>
        <v>1657</v>
      </c>
      <c r="J17">
        <f t="shared" si="4"/>
        <v>1.1942632040009769</v>
      </c>
      <c r="K17">
        <f t="shared" si="5"/>
        <v>4.772806771331692</v>
      </c>
      <c r="P17">
        <f t="shared" si="6"/>
        <v>1</v>
      </c>
    </row>
    <row r="18" spans="1:16" x14ac:dyDescent="0.25">
      <c r="A18" s="1"/>
      <c r="B18" t="s">
        <v>32</v>
      </c>
      <c r="C18" t="s">
        <v>24</v>
      </c>
      <c r="D18" s="2">
        <v>0.375</v>
      </c>
      <c r="E18" s="5">
        <f t="shared" si="0"/>
        <v>1658</v>
      </c>
      <c r="F18">
        <v>0.46254000000000001</v>
      </c>
      <c r="G18">
        <f t="shared" si="1"/>
        <v>-0.77851999999999999</v>
      </c>
      <c r="H18">
        <f t="shared" si="2"/>
        <v>-0.77851999999999999</v>
      </c>
      <c r="I18" s="5">
        <f t="shared" si="3"/>
        <v>1658</v>
      </c>
      <c r="J18">
        <f t="shared" si="4"/>
        <v>-0.6473387419944463</v>
      </c>
      <c r="K18">
        <f t="shared" si="5"/>
        <v>-5.3324173108317678</v>
      </c>
      <c r="P18">
        <f t="shared" si="6"/>
        <v>1</v>
      </c>
    </row>
    <row r="19" spans="1:16" x14ac:dyDescent="0.25">
      <c r="A19" s="1"/>
      <c r="B19" t="s">
        <v>33</v>
      </c>
      <c r="C19" t="s">
        <v>24</v>
      </c>
      <c r="D19" s="2">
        <v>0.41666666666666669</v>
      </c>
      <c r="E19" s="5">
        <f t="shared" si="0"/>
        <v>1659</v>
      </c>
      <c r="F19">
        <v>-2.4629999999999999E-2</v>
      </c>
      <c r="G19">
        <f t="shared" si="1"/>
        <v>0.71074999999999999</v>
      </c>
      <c r="H19">
        <f t="shared" si="2"/>
        <v>0.71074999999999999</v>
      </c>
      <c r="I19" s="5">
        <f t="shared" si="3"/>
        <v>1659</v>
      </c>
      <c r="J19">
        <f t="shared" si="4"/>
        <v>0.68344534618278074</v>
      </c>
      <c r="K19">
        <f t="shared" si="5"/>
        <v>0.85598354073640515</v>
      </c>
      <c r="P19">
        <f t="shared" si="6"/>
        <v>1</v>
      </c>
    </row>
    <row r="20" spans="1:16" x14ac:dyDescent="0.25">
      <c r="A20" s="1"/>
      <c r="B20" t="s">
        <v>34</v>
      </c>
      <c r="C20" t="s">
        <v>24</v>
      </c>
      <c r="D20" s="2">
        <v>0.45833333333333331</v>
      </c>
      <c r="E20" s="5">
        <f t="shared" si="0"/>
        <v>1660</v>
      </c>
      <c r="F20">
        <v>0.19894999999999999</v>
      </c>
      <c r="G20">
        <f t="shared" si="1"/>
        <v>0.13978000000000002</v>
      </c>
      <c r="H20">
        <f t="shared" si="2"/>
        <v>0.13978000000000002</v>
      </c>
      <c r="I20" s="5">
        <f t="shared" si="3"/>
        <v>1660</v>
      </c>
      <c r="J20">
        <f t="shared" si="4"/>
        <v>0.19010024862378905</v>
      </c>
      <c r="K20">
        <f t="shared" si="5"/>
        <v>4.4839951721159288</v>
      </c>
      <c r="P20">
        <f t="shared" si="6"/>
        <v>1</v>
      </c>
    </row>
    <row r="21" spans="1:16" x14ac:dyDescent="0.25">
      <c r="A21" s="1"/>
      <c r="B21" t="s">
        <v>35</v>
      </c>
      <c r="C21" t="s">
        <v>24</v>
      </c>
      <c r="D21" s="2">
        <v>0.5</v>
      </c>
      <c r="E21" s="5">
        <f t="shared" si="0"/>
        <v>1661</v>
      </c>
      <c r="F21">
        <v>0.56230999999999998</v>
      </c>
      <c r="G21">
        <f t="shared" si="1"/>
        <v>-0.79430999999999996</v>
      </c>
      <c r="H21">
        <f t="shared" si="2"/>
        <v>-0.79430999999999996</v>
      </c>
      <c r="I21" s="5">
        <f t="shared" si="3"/>
        <v>1661</v>
      </c>
      <c r="J21">
        <f t="shared" si="4"/>
        <v>-0.24716667114275584</v>
      </c>
      <c r="K21">
        <f t="shared" si="5"/>
        <v>-5.3070383897033988</v>
      </c>
      <c r="P21">
        <f t="shared" si="6"/>
        <v>1</v>
      </c>
    </row>
    <row r="22" spans="1:16" x14ac:dyDescent="0.25">
      <c r="A22" s="1"/>
      <c r="B22" t="s">
        <v>36</v>
      </c>
      <c r="C22" t="s">
        <v>24</v>
      </c>
      <c r="D22" s="2">
        <v>0.54166666666666663</v>
      </c>
      <c r="E22" s="5">
        <f t="shared" si="0"/>
        <v>1662</v>
      </c>
      <c r="F22">
        <v>0.13136</v>
      </c>
      <c r="G22">
        <f t="shared" si="1"/>
        <v>-7.5390000000000068E-2</v>
      </c>
      <c r="H22">
        <f t="shared" si="2"/>
        <v>-7.5390000000000068E-2</v>
      </c>
      <c r="I22" s="5">
        <f t="shared" si="3"/>
        <v>1662</v>
      </c>
      <c r="J22">
        <f t="shared" si="4"/>
        <v>4.3105128727070403E-2</v>
      </c>
      <c r="K22">
        <f t="shared" si="5"/>
        <v>5.8606120376636319</v>
      </c>
      <c r="P22">
        <f t="shared" si="6"/>
        <v>1</v>
      </c>
    </row>
    <row r="23" spans="1:16" x14ac:dyDescent="0.25">
      <c r="A23" s="1"/>
      <c r="B23" t="s">
        <v>37</v>
      </c>
      <c r="C23" t="s">
        <v>24</v>
      </c>
      <c r="D23" s="2">
        <v>0.58333333333333337</v>
      </c>
      <c r="E23" s="5">
        <f t="shared" si="0"/>
        <v>1663</v>
      </c>
      <c r="F23">
        <v>-0.37497999999999998</v>
      </c>
      <c r="G23">
        <f t="shared" si="1"/>
        <v>-9.8799999999999999E-2</v>
      </c>
      <c r="H23">
        <f t="shared" si="2"/>
        <v>-9.8799999999999999E-2</v>
      </c>
      <c r="I23" s="5">
        <f t="shared" si="3"/>
        <v>1663</v>
      </c>
      <c r="J23">
        <f t="shared" si="4"/>
        <v>-0.44406022283463492</v>
      </c>
      <c r="K23">
        <f t="shared" si="5"/>
        <v>-4.9931965286518967</v>
      </c>
      <c r="P23">
        <f t="shared" si="6"/>
        <v>1</v>
      </c>
    </row>
    <row r="24" spans="1:16" x14ac:dyDescent="0.25">
      <c r="A24" s="1"/>
      <c r="B24" t="s">
        <v>38</v>
      </c>
      <c r="C24" t="s">
        <v>24</v>
      </c>
      <c r="D24" s="2">
        <v>0.625</v>
      </c>
      <c r="E24" s="5">
        <f t="shared" si="0"/>
        <v>1664</v>
      </c>
      <c r="F24">
        <v>-0.98011999999999999</v>
      </c>
      <c r="G24">
        <f t="shared" si="1"/>
        <v>1.1643399999999999</v>
      </c>
      <c r="H24">
        <f t="shared" si="2"/>
        <v>1.1643399999999999</v>
      </c>
      <c r="I24" s="5">
        <f t="shared" si="3"/>
        <v>1664</v>
      </c>
      <c r="J24">
        <f t="shared" si="4"/>
        <v>0.54734186892198711</v>
      </c>
      <c r="K24">
        <f t="shared" si="5"/>
        <v>6.0657016378840769</v>
      </c>
      <c r="P24">
        <f t="shared" si="6"/>
        <v>1</v>
      </c>
    </row>
    <row r="25" spans="1:16" x14ac:dyDescent="0.25">
      <c r="A25" s="1"/>
      <c r="B25" t="s">
        <v>39</v>
      </c>
      <c r="C25" t="s">
        <v>24</v>
      </c>
      <c r="D25" s="2">
        <v>0.66666666666666663</v>
      </c>
      <c r="E25" s="5">
        <f t="shared" si="0"/>
        <v>1665</v>
      </c>
      <c r="F25">
        <v>-0.42092000000000002</v>
      </c>
      <c r="G25">
        <f t="shared" si="1"/>
        <v>-0.38831999999999989</v>
      </c>
      <c r="H25">
        <f t="shared" si="2"/>
        <v>-0.38831999999999989</v>
      </c>
      <c r="I25" s="5">
        <f t="shared" si="3"/>
        <v>1665</v>
      </c>
      <c r="J25">
        <f t="shared" si="4"/>
        <v>-0.48644047328339579</v>
      </c>
      <c r="K25">
        <f t="shared" si="5"/>
        <v>-3.4920867998212168</v>
      </c>
      <c r="P25">
        <f t="shared" si="6"/>
        <v>1</v>
      </c>
    </row>
    <row r="26" spans="1:16" x14ac:dyDescent="0.25">
      <c r="A26" s="1"/>
      <c r="B26" t="s">
        <v>40</v>
      </c>
      <c r="C26" t="s">
        <v>24</v>
      </c>
      <c r="D26" s="2">
        <v>0.70833333333333337</v>
      </c>
      <c r="E26" s="5">
        <f t="shared" si="0"/>
        <v>1666</v>
      </c>
      <c r="F26">
        <v>-0.25003999999999998</v>
      </c>
      <c r="G26">
        <f t="shared" si="1"/>
        <v>-0.16959000000000005</v>
      </c>
      <c r="H26">
        <f t="shared" si="2"/>
        <v>-0.16959000000000005</v>
      </c>
      <c r="I26" s="5">
        <f t="shared" si="3"/>
        <v>1666</v>
      </c>
      <c r="J26">
        <f t="shared" si="4"/>
        <v>-0.40863882935753576</v>
      </c>
      <c r="K26">
        <f t="shared" si="5"/>
        <v>-1.8468371312815723</v>
      </c>
      <c r="P26">
        <f t="shared" si="6"/>
        <v>1</v>
      </c>
    </row>
    <row r="27" spans="1:16" x14ac:dyDescent="0.25">
      <c r="A27" s="1"/>
      <c r="B27" t="s">
        <v>41</v>
      </c>
      <c r="C27" t="s">
        <v>24</v>
      </c>
      <c r="D27" s="2">
        <v>0.75</v>
      </c>
      <c r="E27" s="5">
        <f t="shared" si="0"/>
        <v>1667</v>
      </c>
      <c r="F27">
        <v>-0.24875</v>
      </c>
      <c r="G27">
        <f t="shared" si="1"/>
        <v>-0.28654000000000002</v>
      </c>
      <c r="H27">
        <f t="shared" si="2"/>
        <v>-0.28654000000000002</v>
      </c>
      <c r="I27" s="5">
        <f t="shared" si="3"/>
        <v>1667</v>
      </c>
      <c r="J27">
        <f t="shared" si="4"/>
        <v>-0.26245783589008931</v>
      </c>
      <c r="K27">
        <f t="shared" si="5"/>
        <v>5.2044782921033494</v>
      </c>
      <c r="P27">
        <f t="shared" si="6"/>
        <v>0</v>
      </c>
    </row>
    <row r="28" spans="1:16" x14ac:dyDescent="0.25">
      <c r="A28" s="1"/>
      <c r="B28" t="s">
        <v>42</v>
      </c>
      <c r="C28" t="s">
        <v>24</v>
      </c>
      <c r="D28" s="2">
        <v>0.79166666666666663</v>
      </c>
      <c r="E28" s="5">
        <f t="shared" si="0"/>
        <v>1668</v>
      </c>
      <c r="F28">
        <v>-0.53400000000000003</v>
      </c>
      <c r="G28">
        <f t="shared" si="1"/>
        <v>0.54977000000000009</v>
      </c>
      <c r="H28">
        <f t="shared" si="2"/>
        <v>0.54977000000000009</v>
      </c>
      <c r="I28" s="5">
        <f t="shared" si="3"/>
        <v>1668</v>
      </c>
      <c r="J28">
        <f t="shared" si="4"/>
        <v>0.38752473477098881</v>
      </c>
      <c r="K28">
        <f t="shared" si="5"/>
        <v>-6.108233734907957</v>
      </c>
      <c r="P28">
        <f t="shared" si="6"/>
        <v>0</v>
      </c>
    </row>
    <row r="29" spans="1:16" x14ac:dyDescent="0.25">
      <c r="A29" s="1"/>
      <c r="B29" t="s">
        <v>43</v>
      </c>
      <c r="C29" t="s">
        <v>24</v>
      </c>
      <c r="D29" s="2">
        <v>0.83333333333333337</v>
      </c>
      <c r="E29" s="5">
        <f t="shared" si="0"/>
        <v>1669</v>
      </c>
      <c r="F29">
        <v>-0.26948</v>
      </c>
      <c r="G29">
        <f t="shared" si="1"/>
        <v>-0.27870000000000006</v>
      </c>
      <c r="H29">
        <f t="shared" si="2"/>
        <v>-0.27870000000000006</v>
      </c>
      <c r="I29" s="5">
        <f t="shared" si="3"/>
        <v>1669</v>
      </c>
      <c r="J29">
        <f t="shared" si="4"/>
        <v>-0.29932682427430757</v>
      </c>
      <c r="K29">
        <f t="shared" si="5"/>
        <v>5.076937784768635</v>
      </c>
      <c r="P29">
        <f t="shared" si="6"/>
        <v>0</v>
      </c>
    </row>
    <row r="30" spans="1:16" x14ac:dyDescent="0.25">
      <c r="A30" s="1"/>
      <c r="B30" t="s">
        <v>44</v>
      </c>
      <c r="C30" t="s">
        <v>24</v>
      </c>
      <c r="D30" s="2">
        <v>0.875</v>
      </c>
      <c r="E30" s="5">
        <f t="shared" si="0"/>
        <v>1670</v>
      </c>
      <c r="F30">
        <v>-0.28366000000000002</v>
      </c>
      <c r="G30">
        <f t="shared" si="1"/>
        <v>0.70045000000000002</v>
      </c>
      <c r="H30">
        <f t="shared" si="2"/>
        <v>0.70045000000000002</v>
      </c>
      <c r="I30" s="5">
        <f t="shared" si="3"/>
        <v>1670</v>
      </c>
      <c r="J30">
        <f t="shared" si="4"/>
        <v>0.53395661574916942</v>
      </c>
      <c r="K30">
        <f t="shared" si="5"/>
        <v>-6.2052876089310409</v>
      </c>
      <c r="P30">
        <f t="shared" si="6"/>
        <v>0</v>
      </c>
    </row>
    <row r="31" spans="1:16" x14ac:dyDescent="0.25">
      <c r="A31" s="1"/>
      <c r="B31" t="s">
        <v>45</v>
      </c>
      <c r="C31" t="s">
        <v>24</v>
      </c>
      <c r="D31" s="2">
        <v>0.91666666666666663</v>
      </c>
      <c r="E31" s="5">
        <f t="shared" si="0"/>
        <v>1671</v>
      </c>
      <c r="F31">
        <v>0.40261000000000002</v>
      </c>
      <c r="G31">
        <f t="shared" si="1"/>
        <v>-1.4431400000000001</v>
      </c>
      <c r="H31">
        <f t="shared" si="2"/>
        <v>-1.4431400000000001</v>
      </c>
      <c r="I31" s="5">
        <f t="shared" si="3"/>
        <v>1671</v>
      </c>
      <c r="J31">
        <f t="shared" si="4"/>
        <v>-1.2200831725324239</v>
      </c>
      <c r="K31">
        <f t="shared" si="5"/>
        <v>4.9651407318282716</v>
      </c>
      <c r="P31">
        <f t="shared" si="6"/>
        <v>0</v>
      </c>
    </row>
    <row r="32" spans="1:16" x14ac:dyDescent="0.25">
      <c r="A32" s="1"/>
      <c r="B32" t="s">
        <v>46</v>
      </c>
      <c r="C32" t="s">
        <v>24</v>
      </c>
      <c r="D32" s="2">
        <v>0.95833333333333337</v>
      </c>
      <c r="E32" s="5">
        <f t="shared" si="0"/>
        <v>1672</v>
      </c>
      <c r="F32">
        <v>-0.35426000000000002</v>
      </c>
      <c r="G32">
        <f t="shared" si="1"/>
        <v>0.87363000000000013</v>
      </c>
      <c r="H32">
        <f t="shared" si="2"/>
        <v>0.87363000000000013</v>
      </c>
      <c r="I32" s="5">
        <f t="shared" si="3"/>
        <v>1672</v>
      </c>
      <c r="J32">
        <f t="shared" si="4"/>
        <v>0.80164775129256904</v>
      </c>
      <c r="K32">
        <f t="shared" si="5"/>
        <v>-1.449821877366378</v>
      </c>
      <c r="P32">
        <f t="shared" si="6"/>
        <v>0</v>
      </c>
    </row>
    <row r="33" spans="1:16" x14ac:dyDescent="0.25">
      <c r="A33" s="1"/>
      <c r="B33" t="s">
        <v>47</v>
      </c>
      <c r="C33" t="s">
        <v>24</v>
      </c>
      <c r="D33" s="3">
        <v>1</v>
      </c>
      <c r="E33" s="5">
        <f t="shared" si="0"/>
        <v>1673</v>
      </c>
      <c r="F33">
        <v>-0.23749999999999999</v>
      </c>
      <c r="G33">
        <f t="shared" si="1"/>
        <v>0.73222000000000009</v>
      </c>
      <c r="H33">
        <f t="shared" si="2"/>
        <v>0.73222000000000009</v>
      </c>
      <c r="I33" s="5">
        <f t="shared" si="3"/>
        <v>1673</v>
      </c>
      <c r="J33">
        <f t="shared" si="4"/>
        <v>0.40872892680831296</v>
      </c>
      <c r="K33">
        <f t="shared" si="5"/>
        <v>-3.9427380567454957</v>
      </c>
      <c r="P33">
        <f t="shared" si="6"/>
        <v>0</v>
      </c>
    </row>
    <row r="34" spans="1:16" x14ac:dyDescent="0.25">
      <c r="A34" s="1"/>
      <c r="B34" t="s">
        <v>48</v>
      </c>
      <c r="C34" t="s">
        <v>24</v>
      </c>
      <c r="D34" s="3">
        <v>1.0416666666666667</v>
      </c>
      <c r="E34" s="5">
        <f t="shared" si="0"/>
        <v>1674</v>
      </c>
      <c r="F34">
        <v>0.61148000000000002</v>
      </c>
      <c r="G34">
        <f t="shared" si="1"/>
        <v>-1.57823</v>
      </c>
      <c r="H34">
        <f t="shared" si="2"/>
        <v>-1.57823</v>
      </c>
      <c r="I34" s="5">
        <f t="shared" si="3"/>
        <v>1674</v>
      </c>
      <c r="J34">
        <f t="shared" si="4"/>
        <v>-1.1903662977084519</v>
      </c>
      <c r="K34">
        <f t="shared" si="5"/>
        <v>6.0975285690631846</v>
      </c>
      <c r="P34">
        <f t="shared" si="6"/>
        <v>0</v>
      </c>
    </row>
    <row r="35" spans="1:16" x14ac:dyDescent="0.25">
      <c r="A35" s="1"/>
      <c r="B35" t="s">
        <v>49</v>
      </c>
      <c r="C35" t="s">
        <v>24</v>
      </c>
      <c r="D35" s="3">
        <v>1.0833333333333333</v>
      </c>
      <c r="E35" s="5">
        <f t="shared" si="0"/>
        <v>1675</v>
      </c>
      <c r="F35">
        <v>-0.11777</v>
      </c>
      <c r="G35">
        <f t="shared" si="1"/>
        <v>0.11476000000000008</v>
      </c>
      <c r="H35">
        <f t="shared" si="2"/>
        <v>0.11476000000000008</v>
      </c>
      <c r="I35" s="5">
        <f t="shared" si="3"/>
        <v>1675</v>
      </c>
      <c r="J35">
        <f t="shared" si="4"/>
        <v>-1.460824448053813E-2</v>
      </c>
      <c r="K35">
        <f t="shared" si="5"/>
        <v>-5.0680078017242796</v>
      </c>
      <c r="P35">
        <f t="shared" si="6"/>
        <v>1</v>
      </c>
    </row>
    <row r="36" spans="1:16" x14ac:dyDescent="0.25">
      <c r="A36" s="1"/>
      <c r="B36" t="s">
        <v>50</v>
      </c>
      <c r="C36" t="s">
        <v>24</v>
      </c>
      <c r="D36" s="3">
        <v>1.125</v>
      </c>
      <c r="E36" s="5">
        <f t="shared" si="0"/>
        <v>1676</v>
      </c>
      <c r="F36">
        <v>-0.73226000000000002</v>
      </c>
      <c r="G36">
        <f t="shared" si="1"/>
        <v>1.7616499999999999</v>
      </c>
      <c r="H36">
        <f t="shared" si="2"/>
        <v>1.7616499999999999</v>
      </c>
      <c r="I36" s="5">
        <f t="shared" si="3"/>
        <v>1676</v>
      </c>
      <c r="J36">
        <f t="shared" si="4"/>
        <v>1.4546700555897958</v>
      </c>
      <c r="K36">
        <f t="shared" si="5"/>
        <v>6.0516331886414907</v>
      </c>
      <c r="P36">
        <f t="shared" si="6"/>
        <v>1</v>
      </c>
    </row>
    <row r="37" spans="1:16" x14ac:dyDescent="0.25">
      <c r="A37" s="1"/>
      <c r="B37" t="s">
        <v>51</v>
      </c>
      <c r="C37" t="s">
        <v>24</v>
      </c>
      <c r="D37" s="3">
        <v>1.1666666666666667</v>
      </c>
      <c r="E37" s="5">
        <f t="shared" si="0"/>
        <v>1677</v>
      </c>
      <c r="F37">
        <v>0.41489999999999999</v>
      </c>
      <c r="G37">
        <f t="shared" si="1"/>
        <v>-1.8254699999999999</v>
      </c>
      <c r="H37">
        <f t="shared" si="2"/>
        <v>-1.8254699999999999</v>
      </c>
      <c r="I37" s="5">
        <f t="shared" si="3"/>
        <v>1677</v>
      </c>
      <c r="J37">
        <f t="shared" si="4"/>
        <v>-1.4928824177731461</v>
      </c>
      <c r="K37">
        <f t="shared" si="5"/>
        <v>-5.2794960534298321</v>
      </c>
      <c r="P37">
        <f t="shared" si="6"/>
        <v>1</v>
      </c>
    </row>
    <row r="38" spans="1:16" x14ac:dyDescent="0.25">
      <c r="A38" s="1"/>
      <c r="B38" t="s">
        <v>52</v>
      </c>
      <c r="C38" t="s">
        <v>24</v>
      </c>
      <c r="D38" s="3">
        <v>1.2083333333333333</v>
      </c>
      <c r="E38" s="5">
        <f t="shared" si="0"/>
        <v>1678</v>
      </c>
      <c r="F38">
        <v>-0.26340999999999998</v>
      </c>
      <c r="G38">
        <f t="shared" si="1"/>
        <v>0.3245599999999999</v>
      </c>
      <c r="H38">
        <f t="shared" si="2"/>
        <v>0.3245599999999999</v>
      </c>
      <c r="I38" s="5">
        <f t="shared" si="3"/>
        <v>1678</v>
      </c>
      <c r="J38">
        <f t="shared" si="4"/>
        <v>0.15140611803692058</v>
      </c>
      <c r="K38">
        <f t="shared" si="5"/>
        <v>4.242997922976226</v>
      </c>
      <c r="P38">
        <f t="shared" si="6"/>
        <v>1</v>
      </c>
    </row>
    <row r="39" spans="1:16" x14ac:dyDescent="0.25">
      <c r="A39" s="1"/>
      <c r="B39" t="s">
        <v>53</v>
      </c>
      <c r="C39" t="s">
        <v>24</v>
      </c>
      <c r="D39" s="3">
        <v>1.25</v>
      </c>
      <c r="E39" s="5">
        <f t="shared" si="0"/>
        <v>1679</v>
      </c>
      <c r="F39">
        <v>-0.61716000000000004</v>
      </c>
      <c r="G39">
        <f t="shared" si="1"/>
        <v>1.15364</v>
      </c>
      <c r="H39">
        <f t="shared" si="2"/>
        <v>1.15364</v>
      </c>
      <c r="I39" s="5">
        <f t="shared" si="3"/>
        <v>1679</v>
      </c>
      <c r="J39">
        <f t="shared" si="4"/>
        <v>1.35727088381813</v>
      </c>
      <c r="K39">
        <f t="shared" si="5"/>
        <v>1.4428277651797501</v>
      </c>
      <c r="P39">
        <f t="shared" si="6"/>
        <v>1</v>
      </c>
    </row>
    <row r="40" spans="1:16" x14ac:dyDescent="0.25">
      <c r="A40" s="1"/>
      <c r="B40" t="s">
        <v>54</v>
      </c>
      <c r="C40" t="s">
        <v>24</v>
      </c>
      <c r="D40" s="3">
        <v>1.2916666666666667</v>
      </c>
      <c r="E40" s="5">
        <f t="shared" si="0"/>
        <v>1680</v>
      </c>
      <c r="F40">
        <v>0.18273</v>
      </c>
      <c r="G40">
        <f t="shared" si="1"/>
        <v>-0.71388000000000007</v>
      </c>
      <c r="H40">
        <f t="shared" si="2"/>
        <v>-0.71388000000000007</v>
      </c>
      <c r="I40" s="5">
        <f t="shared" si="3"/>
        <v>1680</v>
      </c>
      <c r="J40">
        <f t="shared" si="4"/>
        <v>-0.6002784833209629</v>
      </c>
      <c r="K40">
        <f t="shared" si="5"/>
        <v>-5.5216237245067381</v>
      </c>
      <c r="P40">
        <f t="shared" si="6"/>
        <v>1</v>
      </c>
    </row>
    <row r="41" spans="1:16" x14ac:dyDescent="0.25">
      <c r="A41" s="1"/>
      <c r="B41" t="s">
        <v>55</v>
      </c>
      <c r="C41" t="s">
        <v>24</v>
      </c>
      <c r="D41" s="3">
        <v>1.3333333333333333</v>
      </c>
      <c r="E41" s="5">
        <f t="shared" si="0"/>
        <v>1681</v>
      </c>
      <c r="F41">
        <v>0.26873999999999998</v>
      </c>
      <c r="G41">
        <f t="shared" si="1"/>
        <v>0.38514000000000009</v>
      </c>
      <c r="H41">
        <f t="shared" si="2"/>
        <v>0.38514000000000009</v>
      </c>
      <c r="I41" s="5">
        <f t="shared" si="3"/>
        <v>1681</v>
      </c>
      <c r="J41">
        <f t="shared" si="4"/>
        <v>0.35737805307338799</v>
      </c>
      <c r="K41">
        <f t="shared" si="5"/>
        <v>4.9338476591818701</v>
      </c>
      <c r="P41">
        <f t="shared" si="6"/>
        <v>1</v>
      </c>
    </row>
    <row r="42" spans="1:16" x14ac:dyDescent="0.25">
      <c r="A42" s="1"/>
      <c r="B42" t="s">
        <v>56</v>
      </c>
      <c r="C42" t="s">
        <v>24</v>
      </c>
      <c r="D42" s="3">
        <v>1.375</v>
      </c>
      <c r="E42" s="5">
        <f t="shared" si="0"/>
        <v>1682</v>
      </c>
      <c r="F42">
        <v>0.73989000000000005</v>
      </c>
      <c r="G42">
        <f t="shared" si="1"/>
        <v>-1.0157100000000001</v>
      </c>
      <c r="H42">
        <f t="shared" si="2"/>
        <v>-1.0157100000000001</v>
      </c>
      <c r="I42" s="5">
        <f t="shared" si="3"/>
        <v>1682</v>
      </c>
      <c r="J42">
        <f t="shared" si="4"/>
        <v>-0.48317715850908072</v>
      </c>
      <c r="K42">
        <f t="shared" si="5"/>
        <v>-5.7857337820401957</v>
      </c>
      <c r="P42">
        <f t="shared" si="6"/>
        <v>1</v>
      </c>
    </row>
    <row r="43" spans="1:16" x14ac:dyDescent="0.25">
      <c r="A43" s="1"/>
      <c r="B43" t="s">
        <v>57</v>
      </c>
      <c r="C43" t="s">
        <v>24</v>
      </c>
      <c r="D43" s="3">
        <v>1.4166666666666667</v>
      </c>
      <c r="E43" s="5">
        <f t="shared" si="0"/>
        <v>1683</v>
      </c>
      <c r="F43">
        <v>0.19533</v>
      </c>
      <c r="G43">
        <f t="shared" si="1"/>
        <v>0.24701000000000006</v>
      </c>
      <c r="H43">
        <f t="shared" si="2"/>
        <v>0.24701000000000006</v>
      </c>
      <c r="I43" s="5">
        <f t="shared" si="3"/>
        <v>1683</v>
      </c>
      <c r="J43">
        <f t="shared" si="4"/>
        <v>0.26455832956971642</v>
      </c>
      <c r="K43">
        <f t="shared" si="5"/>
        <v>4.8410498430913105</v>
      </c>
      <c r="P43">
        <f t="shared" si="6"/>
        <v>1</v>
      </c>
    </row>
    <row r="44" spans="1:16" x14ac:dyDescent="0.25">
      <c r="A44" s="1"/>
      <c r="B44" t="s">
        <v>58</v>
      </c>
      <c r="C44" t="s">
        <v>24</v>
      </c>
      <c r="D44" s="3">
        <v>1.4583333333333333</v>
      </c>
      <c r="E44" s="5">
        <f t="shared" si="0"/>
        <v>1684</v>
      </c>
      <c r="F44">
        <v>-0.10222000000000001</v>
      </c>
      <c r="G44">
        <f t="shared" si="1"/>
        <v>-0.73465000000000003</v>
      </c>
      <c r="H44">
        <f t="shared" si="2"/>
        <v>-0.73465000000000003</v>
      </c>
      <c r="I44" s="5">
        <f t="shared" si="3"/>
        <v>1684</v>
      </c>
      <c r="J44">
        <f t="shared" si="4"/>
        <v>-0.80771226986532352</v>
      </c>
      <c r="K44">
        <f t="shared" si="5"/>
        <v>-5.6945765400167287</v>
      </c>
      <c r="P44">
        <f t="shared" si="6"/>
        <v>1</v>
      </c>
    </row>
    <row r="45" spans="1:16" x14ac:dyDescent="0.25">
      <c r="A45" s="1"/>
      <c r="B45" t="s">
        <v>59</v>
      </c>
      <c r="C45" t="s">
        <v>24</v>
      </c>
      <c r="D45" s="3">
        <v>1.5</v>
      </c>
      <c r="E45" s="5">
        <f t="shared" si="0"/>
        <v>1685</v>
      </c>
      <c r="F45">
        <v>-1.13442</v>
      </c>
      <c r="G45">
        <f t="shared" si="1"/>
        <v>2.4325399999999999</v>
      </c>
      <c r="H45">
        <f t="shared" si="2"/>
        <v>2.4325399999999999</v>
      </c>
      <c r="I45" s="5">
        <f t="shared" si="3"/>
        <v>1685</v>
      </c>
      <c r="J45">
        <f t="shared" si="4"/>
        <v>0.96427828371660129</v>
      </c>
      <c r="K45">
        <f t="shared" si="5"/>
        <v>1.7039682976178467</v>
      </c>
      <c r="P45">
        <f t="shared" si="6"/>
        <v>1</v>
      </c>
    </row>
    <row r="46" spans="1:16" x14ac:dyDescent="0.25">
      <c r="A46" s="1"/>
      <c r="B46" t="s">
        <v>60</v>
      </c>
      <c r="C46" t="s">
        <v>24</v>
      </c>
      <c r="D46" s="3">
        <v>1.5416666666666667</v>
      </c>
      <c r="E46" s="5">
        <f t="shared" si="0"/>
        <v>1686</v>
      </c>
      <c r="F46">
        <v>0.26591999999999999</v>
      </c>
      <c r="G46">
        <f t="shared" si="1"/>
        <v>-0.68174000000000001</v>
      </c>
      <c r="H46">
        <f t="shared" si="2"/>
        <v>-0.68174000000000001</v>
      </c>
      <c r="I46" s="5">
        <f t="shared" si="3"/>
        <v>1686</v>
      </c>
      <c r="J46">
        <f t="shared" si="4"/>
        <v>-0.59482699369128222</v>
      </c>
      <c r="K46">
        <f t="shared" si="5"/>
        <v>4.0459737826215072</v>
      </c>
      <c r="P46">
        <f t="shared" si="6"/>
        <v>0</v>
      </c>
    </row>
    <row r="47" spans="1:16" x14ac:dyDescent="0.25">
      <c r="A47" s="1"/>
      <c r="B47" t="s">
        <v>61</v>
      </c>
      <c r="C47" t="s">
        <v>24</v>
      </c>
      <c r="D47" s="3">
        <v>1.5833333333333333</v>
      </c>
      <c r="E47" s="5">
        <f t="shared" si="0"/>
        <v>1687</v>
      </c>
      <c r="F47">
        <v>0.98451999999999995</v>
      </c>
      <c r="G47">
        <f t="shared" si="1"/>
        <v>-1.5032599999999998</v>
      </c>
      <c r="H47">
        <f t="shared" si="2"/>
        <v>-1.5032599999999998</v>
      </c>
      <c r="I47" s="5">
        <f t="shared" si="3"/>
        <v>1687</v>
      </c>
      <c r="J47">
        <f t="shared" si="4"/>
        <v>-0.22693900338097944</v>
      </c>
      <c r="K47">
        <f t="shared" si="5"/>
        <v>-4.5579089890845328</v>
      </c>
      <c r="P47">
        <f t="shared" si="6"/>
        <v>1</v>
      </c>
    </row>
    <row r="48" spans="1:16" x14ac:dyDescent="0.25">
      <c r="A48" s="1"/>
      <c r="B48" t="s">
        <v>62</v>
      </c>
      <c r="C48" t="s">
        <v>24</v>
      </c>
      <c r="D48" s="3">
        <v>1.625</v>
      </c>
      <c r="E48" s="5">
        <f t="shared" si="0"/>
        <v>1688</v>
      </c>
      <c r="F48">
        <v>0.19986000000000001</v>
      </c>
      <c r="G48">
        <f t="shared" si="1"/>
        <v>1.1437299999999999</v>
      </c>
      <c r="H48">
        <f t="shared" si="2"/>
        <v>1.1437299999999999</v>
      </c>
      <c r="I48" s="5">
        <f t="shared" si="3"/>
        <v>1688</v>
      </c>
      <c r="J48">
        <f t="shared" si="4"/>
        <v>1.210747609479722</v>
      </c>
      <c r="K48">
        <f t="shared" si="5"/>
        <v>5.4635327416061461</v>
      </c>
      <c r="P48">
        <f t="shared" si="6"/>
        <v>1</v>
      </c>
    </row>
    <row r="49" spans="1:16" x14ac:dyDescent="0.25">
      <c r="A49" s="1"/>
      <c r="B49" t="s">
        <v>63</v>
      </c>
      <c r="C49" t="s">
        <v>24</v>
      </c>
      <c r="D49" s="3">
        <v>1.6666666666666667</v>
      </c>
      <c r="E49" s="5">
        <f t="shared" si="0"/>
        <v>1689</v>
      </c>
      <c r="F49">
        <v>0.55893000000000004</v>
      </c>
      <c r="G49">
        <f t="shared" si="1"/>
        <v>-0.55098000000000003</v>
      </c>
      <c r="H49">
        <f t="shared" si="2"/>
        <v>-0.55098000000000003</v>
      </c>
      <c r="I49" s="5">
        <f t="shared" si="3"/>
        <v>1689</v>
      </c>
      <c r="J49">
        <f t="shared" si="4"/>
        <v>8.0093235483449043E-2</v>
      </c>
      <c r="K49">
        <f t="shared" si="5"/>
        <v>-4.0932214702362302</v>
      </c>
      <c r="P49">
        <f t="shared" si="6"/>
        <v>0</v>
      </c>
    </row>
    <row r="50" spans="1:16" x14ac:dyDescent="0.25">
      <c r="A50" s="1"/>
      <c r="B50" t="s">
        <v>64</v>
      </c>
      <c r="C50" t="s">
        <v>24</v>
      </c>
      <c r="D50" s="3">
        <v>1.7083333333333333</v>
      </c>
      <c r="E50" s="5">
        <f t="shared" si="0"/>
        <v>1690</v>
      </c>
      <c r="F50">
        <v>0.36702000000000001</v>
      </c>
      <c r="G50">
        <f t="shared" si="1"/>
        <v>-0.22628999999999999</v>
      </c>
      <c r="H50">
        <f t="shared" si="2"/>
        <v>-0.22628999999999999</v>
      </c>
      <c r="I50" s="5">
        <f t="shared" si="3"/>
        <v>1690</v>
      </c>
      <c r="J50">
        <f t="shared" si="4"/>
        <v>-0.1764820992785967</v>
      </c>
      <c r="K50">
        <f t="shared" si="5"/>
        <v>5.7105298807598963</v>
      </c>
      <c r="P50">
        <f t="shared" si="6"/>
        <v>0</v>
      </c>
    </row>
    <row r="51" spans="1:16" x14ac:dyDescent="0.25">
      <c r="A51" s="1"/>
      <c r="B51" t="s">
        <v>65</v>
      </c>
      <c r="C51" t="s">
        <v>24</v>
      </c>
      <c r="D51" s="3">
        <v>1.75</v>
      </c>
      <c r="E51" s="5">
        <f t="shared" si="0"/>
        <v>1691</v>
      </c>
      <c r="F51">
        <v>-5.1180000000000003E-2</v>
      </c>
      <c r="G51">
        <f t="shared" si="1"/>
        <v>1.0916700000000001</v>
      </c>
      <c r="H51">
        <f t="shared" si="2"/>
        <v>1.0916700000000001</v>
      </c>
      <c r="I51" s="5">
        <f t="shared" si="3"/>
        <v>1691</v>
      </c>
      <c r="J51">
        <f t="shared" si="4"/>
        <v>1.0874801028014283</v>
      </c>
      <c r="K51">
        <f t="shared" si="5"/>
        <v>-4.393496119745647</v>
      </c>
      <c r="P51">
        <f t="shared" si="6"/>
        <v>0</v>
      </c>
    </row>
    <row r="52" spans="1:16" x14ac:dyDescent="0.25">
      <c r="A52" s="1"/>
      <c r="B52" t="s">
        <v>66</v>
      </c>
      <c r="C52" t="s">
        <v>24</v>
      </c>
      <c r="D52" s="3">
        <v>1.7916666666666667</v>
      </c>
      <c r="E52" s="5">
        <f t="shared" si="0"/>
        <v>1692</v>
      </c>
      <c r="F52">
        <v>0.62229000000000001</v>
      </c>
      <c r="G52">
        <f t="shared" si="1"/>
        <v>-0.81603000000000003</v>
      </c>
      <c r="H52">
        <f t="shared" si="2"/>
        <v>-0.81603000000000003</v>
      </c>
      <c r="I52" s="5">
        <f t="shared" si="3"/>
        <v>1692</v>
      </c>
      <c r="J52">
        <f t="shared" si="4"/>
        <v>-0.31425705244136354</v>
      </c>
      <c r="K52">
        <f t="shared" si="5"/>
        <v>-1.5687314225980702</v>
      </c>
      <c r="P52">
        <f t="shared" si="6"/>
        <v>1</v>
      </c>
    </row>
    <row r="53" spans="1:16" x14ac:dyDescent="0.25">
      <c r="A53" s="1"/>
      <c r="B53" t="s">
        <v>67</v>
      </c>
      <c r="C53" t="s">
        <v>24</v>
      </c>
      <c r="D53" s="3">
        <v>1.8333333333333333</v>
      </c>
      <c r="E53" s="5">
        <f t="shared" si="0"/>
        <v>1693</v>
      </c>
      <c r="F53">
        <v>0.47972999999999999</v>
      </c>
      <c r="G53">
        <f t="shared" si="1"/>
        <v>0.33596000000000004</v>
      </c>
      <c r="H53">
        <f t="shared" si="2"/>
        <v>0.33596000000000004</v>
      </c>
      <c r="I53" s="5">
        <f t="shared" si="3"/>
        <v>1693</v>
      </c>
      <c r="J53">
        <f t="shared" si="4"/>
        <v>0.18545484999964992</v>
      </c>
      <c r="K53">
        <f t="shared" si="5"/>
        <v>3.7397655160829109</v>
      </c>
      <c r="P53">
        <f t="shared" si="6"/>
        <v>1</v>
      </c>
    </row>
    <row r="54" spans="1:16" x14ac:dyDescent="0.25">
      <c r="A54" s="1"/>
      <c r="B54" t="s">
        <v>68</v>
      </c>
      <c r="C54" t="s">
        <v>24</v>
      </c>
      <c r="D54" s="3">
        <v>1.875</v>
      </c>
      <c r="E54" s="5">
        <f t="shared" si="0"/>
        <v>1694</v>
      </c>
      <c r="F54">
        <v>0.67313000000000001</v>
      </c>
      <c r="G54">
        <f t="shared" si="1"/>
        <v>0.17141000000000006</v>
      </c>
      <c r="H54">
        <f t="shared" si="2"/>
        <v>0.17141000000000006</v>
      </c>
      <c r="I54" s="5">
        <f t="shared" si="3"/>
        <v>1694</v>
      </c>
      <c r="J54">
        <f t="shared" si="4"/>
        <v>0.69734124218252069</v>
      </c>
      <c r="K54">
        <f t="shared" si="5"/>
        <v>-5.0484786926642631</v>
      </c>
      <c r="P54">
        <f t="shared" si="6"/>
        <v>0</v>
      </c>
    </row>
    <row r="55" spans="1:16" x14ac:dyDescent="0.25">
      <c r="A55" s="1"/>
      <c r="B55" t="s">
        <v>69</v>
      </c>
      <c r="C55" t="s">
        <v>24</v>
      </c>
      <c r="D55" s="3">
        <v>1.9166666666666667</v>
      </c>
      <c r="E55" s="5">
        <f t="shared" si="0"/>
        <v>1695</v>
      </c>
      <c r="F55">
        <v>1.0379400000000001</v>
      </c>
      <c r="G55">
        <f t="shared" si="1"/>
        <v>-2.4887899999999998</v>
      </c>
      <c r="H55">
        <f t="shared" si="2"/>
        <v>-2.4887899999999998</v>
      </c>
      <c r="I55" s="5">
        <f t="shared" si="3"/>
        <v>1695</v>
      </c>
      <c r="J55">
        <f t="shared" si="4"/>
        <v>-2.6172903345347591</v>
      </c>
      <c r="K55">
        <f t="shared" si="5"/>
        <v>3.3193098347021737</v>
      </c>
      <c r="P55">
        <f t="shared" si="6"/>
        <v>0</v>
      </c>
    </row>
    <row r="56" spans="1:16" x14ac:dyDescent="0.25">
      <c r="A56" s="1"/>
      <c r="B56" t="s">
        <v>70</v>
      </c>
      <c r="C56" t="s">
        <v>24</v>
      </c>
      <c r="D56" s="3">
        <v>1.9583333333333333</v>
      </c>
      <c r="E56" s="5">
        <f t="shared" si="0"/>
        <v>1696</v>
      </c>
      <c r="F56">
        <v>-1.0860399999999999</v>
      </c>
      <c r="G56">
        <f t="shared" si="1"/>
        <v>2.6817099999999998</v>
      </c>
      <c r="H56">
        <f t="shared" si="2"/>
        <v>2.6817099999999998</v>
      </c>
      <c r="I56" s="5">
        <f t="shared" si="3"/>
        <v>1696</v>
      </c>
      <c r="J56">
        <f t="shared" si="4"/>
        <v>1.4910657436027488</v>
      </c>
      <c r="K56">
        <f t="shared" si="5"/>
        <v>-4.7692819618779794</v>
      </c>
      <c r="P56">
        <f t="shared" si="6"/>
        <v>0</v>
      </c>
    </row>
    <row r="57" spans="1:16" x14ac:dyDescent="0.25">
      <c r="A57" s="1"/>
      <c r="B57" t="s">
        <v>71</v>
      </c>
      <c r="C57" t="s">
        <v>24</v>
      </c>
      <c r="D57" s="3">
        <v>2</v>
      </c>
      <c r="E57" s="5">
        <f t="shared" si="0"/>
        <v>1697</v>
      </c>
      <c r="F57">
        <v>-0.52830999999999995</v>
      </c>
      <c r="G57">
        <f t="shared" si="1"/>
        <v>-1.1302399999999999</v>
      </c>
      <c r="H57">
        <f t="shared" si="2"/>
        <v>-1.1302399999999999</v>
      </c>
      <c r="I57" s="5">
        <f t="shared" si="3"/>
        <v>1697</v>
      </c>
      <c r="J57">
        <f t="shared" si="4"/>
        <v>-1.4751079610300171</v>
      </c>
      <c r="K57">
        <f t="shared" si="5"/>
        <v>5.6565465796956174</v>
      </c>
      <c r="P57">
        <f t="shared" si="6"/>
        <v>0</v>
      </c>
    </row>
    <row r="58" spans="1:16" x14ac:dyDescent="0.25">
      <c r="A58" s="1"/>
      <c r="B58" t="s">
        <v>72</v>
      </c>
      <c r="C58" t="s">
        <v>24</v>
      </c>
      <c r="D58" s="3">
        <v>2.0416666666666665</v>
      </c>
      <c r="E58" s="5">
        <f t="shared" si="0"/>
        <v>1698</v>
      </c>
      <c r="F58">
        <v>-1.1008199999999999</v>
      </c>
      <c r="G58">
        <f t="shared" si="1"/>
        <v>1.4529199999999998</v>
      </c>
      <c r="H58">
        <f t="shared" si="2"/>
        <v>1.4529199999999998</v>
      </c>
      <c r="I58" s="5">
        <f t="shared" si="3"/>
        <v>1698</v>
      </c>
      <c r="J58">
        <f t="shared" si="4"/>
        <v>1.0224895946706796</v>
      </c>
      <c r="K58">
        <f t="shared" si="5"/>
        <v>-1.4841788770348563</v>
      </c>
      <c r="P58">
        <f t="shared" si="6"/>
        <v>0</v>
      </c>
    </row>
    <row r="59" spans="1:16" x14ac:dyDescent="0.25">
      <c r="A59" s="1"/>
      <c r="B59" t="s">
        <v>73</v>
      </c>
      <c r="C59" t="s">
        <v>24</v>
      </c>
      <c r="D59" s="3">
        <v>2.0833333333333335</v>
      </c>
      <c r="E59" s="5">
        <f t="shared" si="0"/>
        <v>1699</v>
      </c>
      <c r="F59">
        <v>-0.22040999999999999</v>
      </c>
      <c r="G59">
        <f t="shared" si="1"/>
        <v>-0.67158999999999991</v>
      </c>
      <c r="H59">
        <f t="shared" si="2"/>
        <v>-0.67158999999999991</v>
      </c>
      <c r="I59" s="5">
        <f t="shared" si="3"/>
        <v>1699</v>
      </c>
      <c r="J59">
        <f t="shared" si="4"/>
        <v>-0.99749745920790545</v>
      </c>
      <c r="K59">
        <f t="shared" si="5"/>
        <v>-2.2538500029897666</v>
      </c>
      <c r="P59">
        <f t="shared" si="6"/>
        <v>1</v>
      </c>
    </row>
    <row r="60" spans="1:16" x14ac:dyDescent="0.25">
      <c r="A60" s="1"/>
      <c r="B60" t="s">
        <v>74</v>
      </c>
      <c r="C60" t="s">
        <v>24</v>
      </c>
      <c r="D60" s="3">
        <v>2.125</v>
      </c>
      <c r="E60" s="5">
        <f t="shared" si="0"/>
        <v>1700</v>
      </c>
      <c r="F60">
        <v>-1.159E-2</v>
      </c>
      <c r="G60">
        <f t="shared" si="1"/>
        <v>0.22741</v>
      </c>
      <c r="H60">
        <f t="shared" si="2"/>
        <v>0.22741</v>
      </c>
      <c r="I60" s="5">
        <f t="shared" si="3"/>
        <v>1700</v>
      </c>
      <c r="J60">
        <f t="shared" si="4"/>
        <v>0.22417410707958665</v>
      </c>
      <c r="K60">
        <f t="shared" si="5"/>
        <v>4.4395137992473197</v>
      </c>
      <c r="P60">
        <f t="shared" si="6"/>
        <v>1</v>
      </c>
    </row>
    <row r="61" spans="1:16" x14ac:dyDescent="0.25">
      <c r="A61" s="1"/>
      <c r="B61" t="s">
        <v>75</v>
      </c>
      <c r="C61" t="s">
        <v>24</v>
      </c>
      <c r="D61" s="3">
        <v>2.1666666666666665</v>
      </c>
      <c r="E61" s="5">
        <f t="shared" si="0"/>
        <v>1701</v>
      </c>
      <c r="F61">
        <v>0.42464000000000002</v>
      </c>
      <c r="G61">
        <f t="shared" si="1"/>
        <v>-0.60131000000000001</v>
      </c>
      <c r="H61">
        <f t="shared" si="2"/>
        <v>-0.60131000000000001</v>
      </c>
      <c r="I61" s="5">
        <f t="shared" si="3"/>
        <v>1701</v>
      </c>
      <c r="J61">
        <f t="shared" si="4"/>
        <v>-6.29890333143929E-2</v>
      </c>
      <c r="K61">
        <f t="shared" si="5"/>
        <v>-2.6192401090660438</v>
      </c>
      <c r="P61">
        <f t="shared" si="6"/>
        <v>1</v>
      </c>
    </row>
    <row r="62" spans="1:16" x14ac:dyDescent="0.25">
      <c r="A62" s="1"/>
      <c r="B62" t="s">
        <v>76</v>
      </c>
      <c r="C62" t="s">
        <v>24</v>
      </c>
      <c r="D62" s="3">
        <v>2.2083333333333335</v>
      </c>
      <c r="E62" s="5">
        <f t="shared" si="0"/>
        <v>1702</v>
      </c>
      <c r="F62">
        <v>0.25956000000000001</v>
      </c>
      <c r="G62">
        <f t="shared" si="1"/>
        <v>-0.81159999999999999</v>
      </c>
      <c r="H62">
        <f t="shared" si="2"/>
        <v>-0.81159999999999999</v>
      </c>
      <c r="I62" s="5">
        <f t="shared" si="3"/>
        <v>1702</v>
      </c>
      <c r="J62">
        <f t="shared" si="4"/>
        <v>-0.82748352006300407</v>
      </c>
      <c r="K62">
        <f t="shared" si="5"/>
        <v>3.4731372926453212</v>
      </c>
      <c r="P62">
        <f t="shared" si="6"/>
        <v>0</v>
      </c>
    </row>
    <row r="63" spans="1:16" x14ac:dyDescent="0.25">
      <c r="A63" s="1"/>
      <c r="B63" t="s">
        <v>77</v>
      </c>
      <c r="C63" t="s">
        <v>24</v>
      </c>
      <c r="D63" s="3">
        <v>2.25</v>
      </c>
      <c r="E63" s="5">
        <f t="shared" si="0"/>
        <v>1703</v>
      </c>
      <c r="F63">
        <v>-0.71711999999999998</v>
      </c>
      <c r="G63">
        <f t="shared" si="1"/>
        <v>0.99912000000000001</v>
      </c>
      <c r="H63">
        <f t="shared" si="2"/>
        <v>0.99912000000000001</v>
      </c>
      <c r="I63" s="5">
        <f t="shared" si="3"/>
        <v>1703</v>
      </c>
      <c r="J63">
        <f t="shared" si="4"/>
        <v>0.46871825499493169</v>
      </c>
      <c r="K63">
        <f t="shared" si="5"/>
        <v>-5.2527636269839455</v>
      </c>
      <c r="P63">
        <f t="shared" si="6"/>
        <v>0</v>
      </c>
    </row>
    <row r="64" spans="1:16" x14ac:dyDescent="0.25">
      <c r="A64" s="1"/>
      <c r="B64" t="s">
        <v>78</v>
      </c>
      <c r="C64" t="s">
        <v>24</v>
      </c>
      <c r="D64" s="3">
        <v>2.2916666666666665</v>
      </c>
      <c r="E64" s="5">
        <f t="shared" si="0"/>
        <v>1704</v>
      </c>
      <c r="F64">
        <v>-0.69467999999999996</v>
      </c>
      <c r="G64">
        <f t="shared" si="1"/>
        <v>0.17132999999999998</v>
      </c>
      <c r="H64">
        <f t="shared" si="2"/>
        <v>0.17132999999999998</v>
      </c>
      <c r="I64" s="5">
        <f t="shared" si="3"/>
        <v>1704</v>
      </c>
      <c r="J64">
        <f t="shared" si="4"/>
        <v>-0.13236992742971992</v>
      </c>
      <c r="K64">
        <f t="shared" si="5"/>
        <v>4.1491326375289601</v>
      </c>
      <c r="P64">
        <f t="shared" si="6"/>
        <v>0</v>
      </c>
    </row>
    <row r="65" spans="1:16" x14ac:dyDescent="0.25">
      <c r="A65" s="1"/>
      <c r="B65" t="s">
        <v>79</v>
      </c>
      <c r="C65" t="s">
        <v>24</v>
      </c>
      <c r="D65" s="3">
        <v>2.3333333333333335</v>
      </c>
      <c r="E65" s="5">
        <f t="shared" si="0"/>
        <v>1705</v>
      </c>
      <c r="F65">
        <v>-0.50090999999999997</v>
      </c>
      <c r="G65">
        <f t="shared" si="1"/>
        <v>0.27430999999999994</v>
      </c>
      <c r="H65">
        <f t="shared" si="2"/>
        <v>0.27430999999999994</v>
      </c>
      <c r="I65" s="5">
        <f t="shared" si="3"/>
        <v>1705</v>
      </c>
      <c r="J65">
        <f t="shared" si="4"/>
        <v>0.46785705772931935</v>
      </c>
      <c r="K65">
        <f t="shared" si="5"/>
        <v>1.7579677182752773E-2</v>
      </c>
      <c r="P65">
        <f t="shared" si="6"/>
        <v>1</v>
      </c>
    </row>
    <row r="66" spans="1:16" x14ac:dyDescent="0.25">
      <c r="A66" s="1"/>
      <c r="B66" t="s">
        <v>80</v>
      </c>
      <c r="C66" t="s">
        <v>24</v>
      </c>
      <c r="D66" s="3">
        <v>2.375</v>
      </c>
      <c r="E66" s="5">
        <f t="shared" si="0"/>
        <v>1706</v>
      </c>
      <c r="F66">
        <v>-3.2829999999999998E-2</v>
      </c>
      <c r="G66">
        <f t="shared" si="1"/>
        <v>-0.98914999999999986</v>
      </c>
      <c r="H66">
        <f t="shared" si="2"/>
        <v>-0.98914999999999986</v>
      </c>
      <c r="I66" s="5">
        <f t="shared" si="3"/>
        <v>1706</v>
      </c>
      <c r="J66">
        <f t="shared" si="4"/>
        <v>-1.0164741855225505</v>
      </c>
      <c r="K66">
        <f t="shared" si="5"/>
        <v>-3.4910091021729333</v>
      </c>
      <c r="P66">
        <f t="shared" si="6"/>
        <v>1</v>
      </c>
    </row>
    <row r="67" spans="1:16" x14ac:dyDescent="0.25">
      <c r="A67" s="1"/>
      <c r="B67" t="s">
        <v>81</v>
      </c>
      <c r="C67" t="s">
        <v>24</v>
      </c>
      <c r="D67" s="3">
        <v>2.4166666666666665</v>
      </c>
      <c r="E67" s="5">
        <f t="shared" si="0"/>
        <v>1707</v>
      </c>
      <c r="F67">
        <v>-0.55389999999999995</v>
      </c>
      <c r="G67">
        <f t="shared" si="1"/>
        <v>1.0324299999999997</v>
      </c>
      <c r="H67">
        <f t="shared" si="2"/>
        <v>1.0324299999999997</v>
      </c>
      <c r="I67" s="5">
        <f t="shared" si="3"/>
        <v>1707</v>
      </c>
      <c r="J67">
        <f t="shared" si="4"/>
        <v>1.1537438867582535</v>
      </c>
      <c r="K67">
        <f t="shared" si="5"/>
        <v>1.9623890526970578</v>
      </c>
      <c r="P67">
        <f t="shared" si="6"/>
        <v>1</v>
      </c>
    </row>
    <row r="68" spans="1:16" x14ac:dyDescent="0.25">
      <c r="A68" s="1"/>
      <c r="B68" t="s">
        <v>82</v>
      </c>
      <c r="C68" t="s">
        <v>24</v>
      </c>
      <c r="D68" s="3">
        <v>2.4583333333333335</v>
      </c>
      <c r="E68" s="5">
        <f t="shared" si="0"/>
        <v>1708</v>
      </c>
      <c r="F68">
        <v>-4.2540000000000001E-2</v>
      </c>
      <c r="G68">
        <f t="shared" si="1"/>
        <v>-1.0063</v>
      </c>
      <c r="H68">
        <f t="shared" si="2"/>
        <v>-1.0063</v>
      </c>
      <c r="I68" s="5">
        <f t="shared" si="3"/>
        <v>1708</v>
      </c>
      <c r="J68">
        <f t="shared" si="4"/>
        <v>-1.0549269667475123</v>
      </c>
      <c r="K68">
        <f t="shared" si="5"/>
        <v>-2.2370715334282072</v>
      </c>
      <c r="P68">
        <f t="shared" si="6"/>
        <v>1</v>
      </c>
    </row>
    <row r="69" spans="1:16" x14ac:dyDescent="0.25">
      <c r="A69" s="1"/>
      <c r="B69" t="s">
        <v>83</v>
      </c>
      <c r="C69" t="s">
        <v>24</v>
      </c>
      <c r="D69" s="3">
        <v>2.5</v>
      </c>
      <c r="E69" s="5">
        <f t="shared" si="0"/>
        <v>1709</v>
      </c>
      <c r="F69">
        <v>-0.53747999999999996</v>
      </c>
      <c r="G69">
        <f t="shared" si="1"/>
        <v>2.1544999999999996</v>
      </c>
      <c r="H69">
        <f t="shared" si="2"/>
        <v>2.1544999999999996</v>
      </c>
      <c r="I69" s="5">
        <f t="shared" si="3"/>
        <v>1709</v>
      </c>
      <c r="J69">
        <f t="shared" si="4"/>
        <v>2.0673058672807101</v>
      </c>
      <c r="K69">
        <f t="shared" si="5"/>
        <v>3.6779118069339169</v>
      </c>
      <c r="P69">
        <f t="shared" si="6"/>
        <v>1</v>
      </c>
    </row>
    <row r="70" spans="1:16" x14ac:dyDescent="0.25">
      <c r="A70" s="1"/>
      <c r="B70" t="s">
        <v>84</v>
      </c>
      <c r="C70" t="s">
        <v>24</v>
      </c>
      <c r="D70" s="3">
        <v>2.5416666666666665</v>
      </c>
      <c r="E70" s="5">
        <f t="shared" si="0"/>
        <v>1710</v>
      </c>
      <c r="F70">
        <v>1.12208</v>
      </c>
      <c r="G70">
        <f t="shared" si="1"/>
        <v>-2.5803599999999998</v>
      </c>
      <c r="H70">
        <f t="shared" si="2"/>
        <v>-2.5803599999999998</v>
      </c>
      <c r="I70" s="5">
        <f t="shared" si="3"/>
        <v>1710</v>
      </c>
      <c r="J70">
        <f t="shared" si="4"/>
        <v>-1.4807905871424605</v>
      </c>
      <c r="K70">
        <f t="shared" si="5"/>
        <v>-5.4087992777797798</v>
      </c>
      <c r="P70">
        <f t="shared" si="6"/>
        <v>1</v>
      </c>
    </row>
    <row r="71" spans="1:16" x14ac:dyDescent="0.25">
      <c r="A71" s="1"/>
      <c r="B71" t="s">
        <v>85</v>
      </c>
      <c r="C71" t="s">
        <v>24</v>
      </c>
      <c r="D71" s="3">
        <v>2.5833333333333335</v>
      </c>
      <c r="E71" s="5">
        <f t="shared" si="0"/>
        <v>1711</v>
      </c>
      <c r="F71">
        <v>0.20127999999999999</v>
      </c>
      <c r="G71">
        <f t="shared" si="1"/>
        <v>1.24187</v>
      </c>
      <c r="H71">
        <f t="shared" si="2"/>
        <v>1.24187</v>
      </c>
      <c r="I71" s="5">
        <f t="shared" si="3"/>
        <v>1711</v>
      </c>
      <c r="J71">
        <f t="shared" si="4"/>
        <v>1.511912193876281</v>
      </c>
      <c r="K71">
        <f t="shared" si="5"/>
        <v>2.6692216977465586</v>
      </c>
      <c r="P71">
        <f t="shared" si="6"/>
        <v>1</v>
      </c>
    </row>
    <row r="72" spans="1:16" x14ac:dyDescent="0.25">
      <c r="A72" s="1"/>
      <c r="B72" t="s">
        <v>86</v>
      </c>
      <c r="C72" t="s">
        <v>24</v>
      </c>
      <c r="D72" s="3">
        <v>2.625</v>
      </c>
      <c r="E72" s="5">
        <f t="shared" si="0"/>
        <v>1712</v>
      </c>
      <c r="F72">
        <v>0.52234999999999998</v>
      </c>
      <c r="G72">
        <f t="shared" si="1"/>
        <v>-0.32424999999999993</v>
      </c>
      <c r="H72">
        <f t="shared" si="2"/>
        <v>-0.32424999999999993</v>
      </c>
      <c r="I72" s="5">
        <f t="shared" si="3"/>
        <v>1712</v>
      </c>
      <c r="J72">
        <f t="shared" si="4"/>
        <v>-0.18946819169009177</v>
      </c>
      <c r="K72">
        <f t="shared" si="5"/>
        <v>2.0531718599764837</v>
      </c>
      <c r="P72">
        <f t="shared" si="6"/>
        <v>0</v>
      </c>
    </row>
    <row r="73" spans="1:16" x14ac:dyDescent="0.25">
      <c r="A73" s="1"/>
      <c r="B73" t="s">
        <v>87</v>
      </c>
      <c r="C73" t="s">
        <v>24</v>
      </c>
      <c r="D73" s="3">
        <v>2.6666666666666665</v>
      </c>
      <c r="E73" s="5">
        <f t="shared" si="0"/>
        <v>1713</v>
      </c>
      <c r="F73">
        <v>0.51917000000000002</v>
      </c>
      <c r="G73">
        <f t="shared" si="1"/>
        <v>-0.61990000000000012</v>
      </c>
      <c r="H73">
        <f t="shared" si="2"/>
        <v>-0.61990000000000012</v>
      </c>
      <c r="I73" s="5">
        <f t="shared" si="3"/>
        <v>1713</v>
      </c>
      <c r="J73">
        <f t="shared" si="4"/>
        <v>7.3951034711984553E-2</v>
      </c>
      <c r="K73">
        <f t="shared" si="5"/>
        <v>-1.245572338241554</v>
      </c>
      <c r="P73">
        <f t="shared" si="6"/>
        <v>0</v>
      </c>
    </row>
    <row r="74" spans="1:16" x14ac:dyDescent="0.25">
      <c r="A74" s="1"/>
      <c r="B74" t="s">
        <v>88</v>
      </c>
      <c r="C74" t="s">
        <v>24</v>
      </c>
      <c r="D74" s="3">
        <v>2.7083333333333335</v>
      </c>
      <c r="E74" s="5">
        <f t="shared" si="0"/>
        <v>1714</v>
      </c>
      <c r="F74">
        <v>-0.10391</v>
      </c>
      <c r="G74">
        <f t="shared" si="1"/>
        <v>-5.4999999999999938E-2</v>
      </c>
      <c r="H74">
        <f t="shared" si="2"/>
        <v>-5.4999999999999938E-2</v>
      </c>
      <c r="I74" s="5">
        <f t="shared" si="3"/>
        <v>1714</v>
      </c>
      <c r="J74">
        <f t="shared" si="4"/>
        <v>-5.3186129552873503E-2</v>
      </c>
      <c r="K74">
        <f t="shared" si="5"/>
        <v>1.2258836616058888</v>
      </c>
      <c r="P74">
        <f t="shared" si="6"/>
        <v>0</v>
      </c>
    </row>
    <row r="75" spans="1:16" x14ac:dyDescent="0.25">
      <c r="A75" s="1"/>
      <c r="B75" t="s">
        <v>89</v>
      </c>
      <c r="C75" t="s">
        <v>24</v>
      </c>
      <c r="D75" s="3">
        <v>2.75</v>
      </c>
      <c r="E75" s="5">
        <f t="shared" si="0"/>
        <v>1715</v>
      </c>
      <c r="F75">
        <v>-0.78198999999999996</v>
      </c>
      <c r="G75">
        <f t="shared" si="1"/>
        <v>0.26412999999999998</v>
      </c>
      <c r="H75">
        <f t="shared" si="2"/>
        <v>0.26412999999999998</v>
      </c>
      <c r="I75" s="5">
        <f t="shared" si="3"/>
        <v>1715</v>
      </c>
      <c r="J75">
        <f t="shared" si="4"/>
        <v>-0.51527344291010779</v>
      </c>
      <c r="K75">
        <f t="shared" si="5"/>
        <v>-1.6899397121991102</v>
      </c>
      <c r="P75">
        <f t="shared" si="6"/>
        <v>1</v>
      </c>
    </row>
    <row r="76" spans="1:16" x14ac:dyDescent="0.25">
      <c r="A76" s="1"/>
      <c r="B76" t="s">
        <v>90</v>
      </c>
      <c r="C76" t="s">
        <v>24</v>
      </c>
      <c r="D76" s="3">
        <v>2.7916666666666665</v>
      </c>
      <c r="E76" s="5">
        <f t="shared" ref="E76:E139" si="7">+E75+1</f>
        <v>1716</v>
      </c>
      <c r="F76">
        <v>-1.19594</v>
      </c>
      <c r="G76">
        <f t="shared" ref="G76:G139" si="8">+(F77-F76)-(F76-F75)</f>
        <v>1.0762200000000002</v>
      </c>
      <c r="H76">
        <f t="shared" ref="H76:H139" si="9">+G76</f>
        <v>1.0762200000000002</v>
      </c>
      <c r="I76" s="5">
        <f t="shared" si="3"/>
        <v>1716</v>
      </c>
      <c r="J76">
        <f t="shared" si="4"/>
        <v>1.2744436196351181</v>
      </c>
      <c r="K76">
        <f t="shared" si="5"/>
        <v>4.8600526409472362</v>
      </c>
      <c r="P76">
        <f t="shared" si="6"/>
        <v>1</v>
      </c>
    </row>
    <row r="77" spans="1:16" x14ac:dyDescent="0.25">
      <c r="A77" s="1"/>
      <c r="B77" t="s">
        <v>91</v>
      </c>
      <c r="C77" t="s">
        <v>24</v>
      </c>
      <c r="D77" s="3">
        <v>2.8333333333333335</v>
      </c>
      <c r="E77" s="5">
        <f t="shared" si="7"/>
        <v>1717</v>
      </c>
      <c r="F77">
        <v>-0.53366999999999998</v>
      </c>
      <c r="G77">
        <f t="shared" si="8"/>
        <v>0.85764999999999991</v>
      </c>
      <c r="H77">
        <f t="shared" si="9"/>
        <v>0.85764999999999991</v>
      </c>
      <c r="I77" s="5">
        <f t="shared" ref="I77:I140" si="10">+E77</f>
        <v>1717</v>
      </c>
      <c r="J77">
        <f t="shared" ref="J77:J140" si="11">+$J$6*F77+F77*$J$7*COS(2*PI()*$I77/$K$6+$K$5*COS($J$5*$I77+$K$8)+$J$9)+H77+F77*$J$3*COS(2*PI()*$I77/$J$8+$K$3)</f>
        <v>0.84824354644389444</v>
      </c>
      <c r="K77">
        <f t="shared" ref="K77:K140" si="12">+$K$8*COS(2*PI()*$I77/$K$6+$K$5*COS($J$5*$I77+$K$8)+$K$7) +$K$4*COS(2*PI()*$I77/$J$8+$J$4)</f>
        <v>-5.0237093274873956</v>
      </c>
      <c r="P77">
        <f t="shared" ref="P77:P140" si="13">+IF(J77*K77&gt;0,1, 0)</f>
        <v>0</v>
      </c>
    </row>
    <row r="78" spans="1:16" x14ac:dyDescent="0.25">
      <c r="A78" s="1"/>
      <c r="B78" t="s">
        <v>92</v>
      </c>
      <c r="C78" t="s">
        <v>24</v>
      </c>
      <c r="D78" s="3">
        <v>2.875</v>
      </c>
      <c r="E78" s="5">
        <f t="shared" si="7"/>
        <v>1718</v>
      </c>
      <c r="F78">
        <v>0.98624999999999996</v>
      </c>
      <c r="G78">
        <f t="shared" si="8"/>
        <v>-1.81474</v>
      </c>
      <c r="H78">
        <f t="shared" si="9"/>
        <v>-1.81474</v>
      </c>
      <c r="I78" s="5">
        <f t="shared" si="10"/>
        <v>1718</v>
      </c>
      <c r="J78">
        <f t="shared" si="11"/>
        <v>-1.0560529718280982</v>
      </c>
      <c r="K78">
        <f t="shared" si="12"/>
        <v>-7.4931981186015295E-2</v>
      </c>
      <c r="P78">
        <f t="shared" si="13"/>
        <v>1</v>
      </c>
    </row>
    <row r="79" spans="1:16" x14ac:dyDescent="0.25">
      <c r="A79" s="1"/>
      <c r="B79" t="s">
        <v>93</v>
      </c>
      <c r="C79" t="s">
        <v>24</v>
      </c>
      <c r="D79" s="3">
        <v>2.9166666666666665</v>
      </c>
      <c r="E79" s="5">
        <f t="shared" si="7"/>
        <v>1719</v>
      </c>
      <c r="F79">
        <v>0.69142999999999999</v>
      </c>
      <c r="G79">
        <f t="shared" si="8"/>
        <v>0.23932999999999993</v>
      </c>
      <c r="H79">
        <f t="shared" si="9"/>
        <v>0.23932999999999993</v>
      </c>
      <c r="I79" s="5">
        <f t="shared" si="10"/>
        <v>1719</v>
      </c>
      <c r="J79">
        <f t="shared" si="11"/>
        <v>5.7911738347104474E-2</v>
      </c>
      <c r="K79">
        <f t="shared" si="12"/>
        <v>0.33677551649353543</v>
      </c>
      <c r="P79">
        <f t="shared" si="13"/>
        <v>1</v>
      </c>
    </row>
    <row r="80" spans="1:16" x14ac:dyDescent="0.25">
      <c r="A80" s="1"/>
      <c r="B80" t="s">
        <v>94</v>
      </c>
      <c r="C80" t="s">
        <v>24</v>
      </c>
      <c r="D80" s="3">
        <v>2.9583333333333335</v>
      </c>
      <c r="E80" s="5">
        <f t="shared" si="7"/>
        <v>1720</v>
      </c>
      <c r="F80">
        <v>0.63593999999999995</v>
      </c>
      <c r="G80">
        <f t="shared" si="8"/>
        <v>0.26335000000000008</v>
      </c>
      <c r="H80">
        <f t="shared" si="9"/>
        <v>0.26335000000000008</v>
      </c>
      <c r="I80" s="5">
        <f t="shared" si="10"/>
        <v>1720</v>
      </c>
      <c r="J80">
        <f t="shared" si="11"/>
        <v>0.93513930598406891</v>
      </c>
      <c r="K80">
        <f t="shared" si="12"/>
        <v>-0.42603704085102712</v>
      </c>
      <c r="P80">
        <f t="shared" si="13"/>
        <v>0</v>
      </c>
    </row>
    <row r="81" spans="1:16" x14ac:dyDescent="0.25">
      <c r="A81" s="1"/>
      <c r="B81" t="s">
        <v>95</v>
      </c>
      <c r="C81" t="s">
        <v>24</v>
      </c>
      <c r="D81" s="3">
        <v>3</v>
      </c>
      <c r="E81" s="5">
        <f t="shared" si="7"/>
        <v>1721</v>
      </c>
      <c r="F81">
        <v>0.84379999999999999</v>
      </c>
      <c r="G81">
        <f t="shared" si="8"/>
        <v>-0.45996000000000004</v>
      </c>
      <c r="H81">
        <f t="shared" si="9"/>
        <v>-0.45996000000000004</v>
      </c>
      <c r="I81" s="5">
        <f t="shared" si="10"/>
        <v>1721</v>
      </c>
      <c r="J81">
        <f t="shared" si="11"/>
        <v>-0.37797151491967895</v>
      </c>
      <c r="K81">
        <f t="shared" si="12"/>
        <v>-0.14134114815170612</v>
      </c>
      <c r="P81">
        <f t="shared" si="13"/>
        <v>1</v>
      </c>
    </row>
    <row r="82" spans="1:16" x14ac:dyDescent="0.25">
      <c r="A82" s="1"/>
      <c r="B82" t="s">
        <v>96</v>
      </c>
      <c r="C82" t="s">
        <v>24</v>
      </c>
      <c r="D82" s="3">
        <v>3.0416666666666665</v>
      </c>
      <c r="E82" s="5">
        <f t="shared" si="7"/>
        <v>1722</v>
      </c>
      <c r="F82">
        <v>0.5917</v>
      </c>
      <c r="G82">
        <f t="shared" si="8"/>
        <v>1.0697000000000001</v>
      </c>
      <c r="H82">
        <f t="shared" si="9"/>
        <v>1.0697000000000001</v>
      </c>
      <c r="I82" s="5">
        <f t="shared" si="10"/>
        <v>1722</v>
      </c>
      <c r="J82">
        <f t="shared" si="11"/>
        <v>1.8913598593003367</v>
      </c>
      <c r="K82">
        <f t="shared" si="12"/>
        <v>-2.9426028049022261</v>
      </c>
      <c r="P82">
        <f t="shared" si="13"/>
        <v>0</v>
      </c>
    </row>
    <row r="83" spans="1:16" x14ac:dyDescent="0.25">
      <c r="A83" s="1"/>
      <c r="B83" t="s">
        <v>97</v>
      </c>
      <c r="C83" t="s">
        <v>24</v>
      </c>
      <c r="D83" s="3">
        <v>3.0833333333333335</v>
      </c>
      <c r="E83" s="5">
        <f t="shared" si="7"/>
        <v>1723</v>
      </c>
      <c r="F83">
        <v>1.4093</v>
      </c>
      <c r="G83">
        <f t="shared" si="8"/>
        <v>-2.00299</v>
      </c>
      <c r="H83">
        <f t="shared" si="9"/>
        <v>-2.00299</v>
      </c>
      <c r="I83" s="5">
        <f t="shared" si="10"/>
        <v>1723</v>
      </c>
      <c r="J83">
        <f t="shared" si="11"/>
        <v>-0.9771925166949802</v>
      </c>
      <c r="K83">
        <f t="shared" si="12"/>
        <v>6.0761533987777687</v>
      </c>
      <c r="P83">
        <f t="shared" si="13"/>
        <v>0</v>
      </c>
    </row>
    <row r="84" spans="1:16" x14ac:dyDescent="0.25">
      <c r="A84" s="1"/>
      <c r="B84" t="s">
        <v>98</v>
      </c>
      <c r="C84" t="s">
        <v>24</v>
      </c>
      <c r="D84" s="3">
        <v>3.125</v>
      </c>
      <c r="E84" s="5">
        <f t="shared" si="7"/>
        <v>1724</v>
      </c>
      <c r="F84">
        <v>0.22391</v>
      </c>
      <c r="G84">
        <f t="shared" si="8"/>
        <v>-0.26653000000000016</v>
      </c>
      <c r="H84">
        <f t="shared" si="9"/>
        <v>-0.26653000000000016</v>
      </c>
      <c r="I84" s="5">
        <f t="shared" si="10"/>
        <v>1724</v>
      </c>
      <c r="J84">
        <f t="shared" si="11"/>
        <v>-0.15960434351991404</v>
      </c>
      <c r="K84">
        <f t="shared" si="12"/>
        <v>-2.2274186106284457</v>
      </c>
      <c r="P84">
        <f t="shared" si="13"/>
        <v>1</v>
      </c>
    </row>
    <row r="85" spans="1:16" x14ac:dyDescent="0.25">
      <c r="A85" s="1"/>
      <c r="B85" t="s">
        <v>99</v>
      </c>
      <c r="C85" t="s">
        <v>24</v>
      </c>
      <c r="D85" s="3">
        <v>3.1666666666666665</v>
      </c>
      <c r="E85" s="5">
        <f t="shared" si="7"/>
        <v>1725</v>
      </c>
      <c r="F85">
        <v>-1.22801</v>
      </c>
      <c r="G85">
        <f t="shared" si="8"/>
        <v>4.0070200000000007</v>
      </c>
      <c r="H85">
        <f t="shared" si="9"/>
        <v>4.0070200000000007</v>
      </c>
      <c r="I85" s="5">
        <f t="shared" si="10"/>
        <v>1725</v>
      </c>
      <c r="J85">
        <f t="shared" si="11"/>
        <v>2.364110246206037</v>
      </c>
      <c r="K85">
        <f t="shared" si="12"/>
        <v>0.88247888912194072</v>
      </c>
      <c r="P85">
        <f t="shared" si="13"/>
        <v>1</v>
      </c>
    </row>
    <row r="86" spans="1:16" x14ac:dyDescent="0.25">
      <c r="A86" s="1"/>
      <c r="B86" t="s">
        <v>100</v>
      </c>
      <c r="C86" t="s">
        <v>24</v>
      </c>
      <c r="D86" s="3">
        <v>3.2083333333333335</v>
      </c>
      <c r="E86" s="5">
        <f t="shared" si="7"/>
        <v>1726</v>
      </c>
      <c r="F86">
        <v>1.3270900000000001</v>
      </c>
      <c r="G86">
        <f t="shared" si="8"/>
        <v>-2.7964900000000004</v>
      </c>
      <c r="H86">
        <f t="shared" si="9"/>
        <v>-2.7964900000000004</v>
      </c>
      <c r="I86" s="5">
        <f t="shared" si="10"/>
        <v>1726</v>
      </c>
      <c r="J86">
        <f t="shared" si="11"/>
        <v>-2.6789307655582135</v>
      </c>
      <c r="K86">
        <f t="shared" si="12"/>
        <v>-0.26651601924032231</v>
      </c>
      <c r="P86">
        <f t="shared" si="13"/>
        <v>1</v>
      </c>
    </row>
    <row r="87" spans="1:16" x14ac:dyDescent="0.25">
      <c r="A87" s="1"/>
      <c r="B87" t="s">
        <v>101</v>
      </c>
      <c r="C87" t="s">
        <v>24</v>
      </c>
      <c r="D87" s="3">
        <v>3.25</v>
      </c>
      <c r="E87" s="5">
        <f t="shared" si="7"/>
        <v>1727</v>
      </c>
      <c r="F87">
        <v>1.0857000000000001</v>
      </c>
      <c r="G87">
        <f t="shared" si="8"/>
        <v>-1.32742</v>
      </c>
      <c r="H87">
        <f t="shared" si="9"/>
        <v>-1.32742</v>
      </c>
      <c r="I87" s="5">
        <f t="shared" si="10"/>
        <v>1727</v>
      </c>
      <c r="J87">
        <f t="shared" si="11"/>
        <v>-0.29157059955166298</v>
      </c>
      <c r="K87">
        <f t="shared" si="12"/>
        <v>1.5762945754182094</v>
      </c>
      <c r="P87">
        <f t="shared" si="13"/>
        <v>0</v>
      </c>
    </row>
    <row r="88" spans="1:16" x14ac:dyDescent="0.25">
      <c r="A88" s="1"/>
      <c r="B88" t="s">
        <v>102</v>
      </c>
      <c r="C88" t="s">
        <v>24</v>
      </c>
      <c r="D88" s="3">
        <v>3.2916666666666665</v>
      </c>
      <c r="E88" s="5">
        <f t="shared" si="7"/>
        <v>1728</v>
      </c>
      <c r="F88">
        <v>-0.48310999999999998</v>
      </c>
      <c r="G88">
        <f t="shared" si="8"/>
        <v>1.4823</v>
      </c>
      <c r="H88">
        <f t="shared" si="9"/>
        <v>1.4823</v>
      </c>
      <c r="I88" s="5">
        <f t="shared" si="10"/>
        <v>1728</v>
      </c>
      <c r="J88">
        <f t="shared" si="11"/>
        <v>1.6206004162314356</v>
      </c>
      <c r="K88">
        <f t="shared" si="12"/>
        <v>0.53801940116041025</v>
      </c>
      <c r="P88">
        <f t="shared" si="13"/>
        <v>1</v>
      </c>
    </row>
    <row r="89" spans="1:16" x14ac:dyDescent="0.25">
      <c r="A89" s="1"/>
      <c r="B89" t="s">
        <v>103</v>
      </c>
      <c r="C89" t="s">
        <v>24</v>
      </c>
      <c r="D89" s="3">
        <v>3.3333333333333335</v>
      </c>
      <c r="E89" s="5">
        <f t="shared" si="7"/>
        <v>1729</v>
      </c>
      <c r="F89">
        <v>-0.56962000000000002</v>
      </c>
      <c r="G89">
        <f t="shared" si="8"/>
        <v>5.3220000000000101E-2</v>
      </c>
      <c r="H89">
        <f t="shared" si="9"/>
        <v>5.3220000000000101E-2</v>
      </c>
      <c r="I89" s="5">
        <f t="shared" si="10"/>
        <v>1729</v>
      </c>
      <c r="J89">
        <f t="shared" si="11"/>
        <v>-0.32151196946846516</v>
      </c>
      <c r="K89">
        <f t="shared" si="12"/>
        <v>-5.2921728780976043</v>
      </c>
      <c r="P89">
        <f t="shared" si="13"/>
        <v>1</v>
      </c>
    </row>
    <row r="90" spans="1:16" x14ac:dyDescent="0.25">
      <c r="A90" s="1"/>
      <c r="B90" t="s">
        <v>104</v>
      </c>
      <c r="C90" t="s">
        <v>24</v>
      </c>
      <c r="D90" s="3">
        <v>3.375</v>
      </c>
      <c r="E90" s="5">
        <f t="shared" si="7"/>
        <v>1730</v>
      </c>
      <c r="F90">
        <v>-0.60290999999999995</v>
      </c>
      <c r="G90">
        <f t="shared" si="8"/>
        <v>0.26333999999999985</v>
      </c>
      <c r="H90">
        <f t="shared" si="9"/>
        <v>0.26333999999999985</v>
      </c>
      <c r="I90" s="5">
        <f t="shared" si="10"/>
        <v>1730</v>
      </c>
      <c r="J90">
        <f t="shared" si="11"/>
        <v>5.5583446677606646E-2</v>
      </c>
      <c r="K90">
        <f t="shared" si="12"/>
        <v>4.2488939471575193</v>
      </c>
      <c r="P90">
        <f t="shared" si="13"/>
        <v>1</v>
      </c>
    </row>
    <row r="91" spans="1:16" x14ac:dyDescent="0.25">
      <c r="A91" s="1"/>
      <c r="B91" t="s">
        <v>105</v>
      </c>
      <c r="C91" t="s">
        <v>24</v>
      </c>
      <c r="D91" s="3">
        <v>3.4166666666666665</v>
      </c>
      <c r="E91" s="5">
        <f t="shared" si="7"/>
        <v>1731</v>
      </c>
      <c r="F91">
        <v>-0.37286000000000002</v>
      </c>
      <c r="G91">
        <f t="shared" si="8"/>
        <v>-0.2749299999999999</v>
      </c>
      <c r="H91">
        <f t="shared" si="9"/>
        <v>-0.2749299999999999</v>
      </c>
      <c r="I91" s="5">
        <f t="shared" si="10"/>
        <v>1731</v>
      </c>
      <c r="J91">
        <f t="shared" si="11"/>
        <v>-0.20560659161665312</v>
      </c>
      <c r="K91">
        <f t="shared" si="12"/>
        <v>-2.448631572695513</v>
      </c>
      <c r="P91">
        <f t="shared" si="13"/>
        <v>1</v>
      </c>
    </row>
    <row r="92" spans="1:16" x14ac:dyDescent="0.25">
      <c r="A92" s="1"/>
      <c r="B92" t="s">
        <v>106</v>
      </c>
      <c r="C92" t="s">
        <v>24</v>
      </c>
      <c r="D92" s="3">
        <v>3.4583333333333335</v>
      </c>
      <c r="E92" s="5">
        <f t="shared" si="7"/>
        <v>1732</v>
      </c>
      <c r="F92">
        <v>-0.41774</v>
      </c>
      <c r="G92">
        <f t="shared" si="8"/>
        <v>-1.03712</v>
      </c>
      <c r="H92">
        <f t="shared" si="9"/>
        <v>-1.03712</v>
      </c>
      <c r="I92" s="5">
        <f t="shared" si="10"/>
        <v>1732</v>
      </c>
      <c r="J92">
        <f t="shared" si="11"/>
        <v>-1.4269574865068038</v>
      </c>
      <c r="K92">
        <f t="shared" si="12"/>
        <v>0.98398416844624914</v>
      </c>
      <c r="P92">
        <f t="shared" si="13"/>
        <v>0</v>
      </c>
    </row>
    <row r="93" spans="1:16" x14ac:dyDescent="0.25">
      <c r="A93" s="1"/>
      <c r="B93" t="s">
        <v>107</v>
      </c>
      <c r="C93" t="s">
        <v>24</v>
      </c>
      <c r="D93" s="3">
        <v>3.5</v>
      </c>
      <c r="E93" s="5">
        <f t="shared" si="7"/>
        <v>1733</v>
      </c>
      <c r="F93">
        <v>-1.4997400000000001</v>
      </c>
      <c r="G93">
        <f t="shared" si="8"/>
        <v>2.6493099999999998</v>
      </c>
      <c r="H93">
        <f t="shared" si="9"/>
        <v>2.6493099999999998</v>
      </c>
      <c r="I93" s="5">
        <f t="shared" si="10"/>
        <v>1733</v>
      </c>
      <c r="J93">
        <f t="shared" si="11"/>
        <v>2.385253789173408</v>
      </c>
      <c r="K93">
        <f t="shared" si="12"/>
        <v>-2.6187199754573349</v>
      </c>
      <c r="P93">
        <f t="shared" si="13"/>
        <v>0</v>
      </c>
    </row>
    <row r="94" spans="1:16" x14ac:dyDescent="0.25">
      <c r="A94" s="1"/>
      <c r="B94" t="s">
        <v>108</v>
      </c>
      <c r="C94" t="s">
        <v>24</v>
      </c>
      <c r="D94" s="3">
        <v>3.5416666666666665</v>
      </c>
      <c r="E94" s="5">
        <f t="shared" si="7"/>
        <v>1734</v>
      </c>
      <c r="F94">
        <v>6.7570000000000005E-2</v>
      </c>
      <c r="G94">
        <f t="shared" si="8"/>
        <v>-1.6783299999999999</v>
      </c>
      <c r="H94">
        <f t="shared" si="9"/>
        <v>-1.6783299999999999</v>
      </c>
      <c r="I94" s="5">
        <f t="shared" si="10"/>
        <v>1734</v>
      </c>
      <c r="J94">
        <f t="shared" si="11"/>
        <v>-1.5930559850830228</v>
      </c>
      <c r="K94">
        <f t="shared" si="12"/>
        <v>1.6100810762492572</v>
      </c>
      <c r="P94">
        <f t="shared" si="13"/>
        <v>0</v>
      </c>
    </row>
    <row r="95" spans="1:16" x14ac:dyDescent="0.25">
      <c r="A95" s="1"/>
      <c r="B95" t="s">
        <v>109</v>
      </c>
      <c r="C95" t="s">
        <v>24</v>
      </c>
      <c r="D95" s="3">
        <v>3.5833333333333335</v>
      </c>
      <c r="E95" s="5">
        <f t="shared" si="7"/>
        <v>1735</v>
      </c>
      <c r="F95">
        <v>-4.3450000000000003E-2</v>
      </c>
      <c r="G95">
        <f t="shared" si="8"/>
        <v>0.40123999999999999</v>
      </c>
      <c r="H95">
        <f t="shared" si="9"/>
        <v>0.40123999999999999</v>
      </c>
      <c r="I95" s="5">
        <f t="shared" si="10"/>
        <v>1735</v>
      </c>
      <c r="J95">
        <f t="shared" si="11"/>
        <v>0.38906593492708169</v>
      </c>
      <c r="K95">
        <f t="shared" si="12"/>
        <v>2.9897930728487494</v>
      </c>
      <c r="P95">
        <f t="shared" si="13"/>
        <v>1</v>
      </c>
    </row>
    <row r="96" spans="1:16" x14ac:dyDescent="0.25">
      <c r="A96" s="1"/>
      <c r="B96" t="s">
        <v>110</v>
      </c>
      <c r="C96" t="s">
        <v>24</v>
      </c>
      <c r="D96" s="3">
        <v>3.625</v>
      </c>
      <c r="E96" s="5">
        <f t="shared" si="7"/>
        <v>1736</v>
      </c>
      <c r="F96">
        <v>0.24676999999999999</v>
      </c>
      <c r="G96">
        <f t="shared" si="8"/>
        <v>0.38614000000000009</v>
      </c>
      <c r="H96">
        <f t="shared" si="9"/>
        <v>0.38614000000000009</v>
      </c>
      <c r="I96" s="5">
        <f t="shared" si="10"/>
        <v>1736</v>
      </c>
      <c r="J96">
        <f t="shared" si="11"/>
        <v>0.65050620679014659</v>
      </c>
      <c r="K96">
        <f t="shared" si="12"/>
        <v>-5.1402016703331945</v>
      </c>
      <c r="P96">
        <f t="shared" si="13"/>
        <v>0</v>
      </c>
    </row>
    <row r="97" spans="1:16" x14ac:dyDescent="0.25">
      <c r="A97" s="1"/>
      <c r="B97" t="s">
        <v>111</v>
      </c>
      <c r="C97" t="s">
        <v>24</v>
      </c>
      <c r="D97" s="3">
        <v>3.6666666666666665</v>
      </c>
      <c r="E97" s="5">
        <f t="shared" si="7"/>
        <v>1737</v>
      </c>
      <c r="F97">
        <v>0.92313000000000001</v>
      </c>
      <c r="G97">
        <f t="shared" si="8"/>
        <v>-0.4811700000000001</v>
      </c>
      <c r="H97">
        <f t="shared" si="9"/>
        <v>-0.4811700000000001</v>
      </c>
      <c r="I97" s="5">
        <f t="shared" si="10"/>
        <v>1737</v>
      </c>
      <c r="J97">
        <f t="shared" si="11"/>
        <v>0.56644624031517243</v>
      </c>
      <c r="K97">
        <f t="shared" si="12"/>
        <v>4.2061766409952757</v>
      </c>
      <c r="P97">
        <f t="shared" si="13"/>
        <v>1</v>
      </c>
    </row>
    <row r="98" spans="1:16" x14ac:dyDescent="0.25">
      <c r="A98" s="1"/>
      <c r="B98" t="s">
        <v>112</v>
      </c>
      <c r="C98" t="s">
        <v>24</v>
      </c>
      <c r="D98" s="3">
        <v>3.7083333333333335</v>
      </c>
      <c r="E98" s="5">
        <f t="shared" si="7"/>
        <v>1738</v>
      </c>
      <c r="F98">
        <v>1.11832</v>
      </c>
      <c r="G98">
        <f t="shared" si="8"/>
        <v>-1.9736899999999999</v>
      </c>
      <c r="H98">
        <f t="shared" si="9"/>
        <v>-1.9736899999999999</v>
      </c>
      <c r="I98" s="5">
        <f t="shared" si="10"/>
        <v>1738</v>
      </c>
      <c r="J98">
        <f t="shared" si="11"/>
        <v>-1.7020684556787693</v>
      </c>
      <c r="K98">
        <f t="shared" si="12"/>
        <v>-1.8406114851884001</v>
      </c>
      <c r="P98">
        <f t="shared" si="13"/>
        <v>1</v>
      </c>
    </row>
    <row r="99" spans="1:16" x14ac:dyDescent="0.25">
      <c r="A99" s="1"/>
      <c r="B99" t="s">
        <v>113</v>
      </c>
      <c r="C99" t="s">
        <v>24</v>
      </c>
      <c r="D99" s="3">
        <v>3.75</v>
      </c>
      <c r="E99" s="5">
        <f t="shared" si="7"/>
        <v>1739</v>
      </c>
      <c r="F99">
        <v>-0.66017999999999999</v>
      </c>
      <c r="G99">
        <f t="shared" si="8"/>
        <v>2.4390399999999999</v>
      </c>
      <c r="H99">
        <f t="shared" si="9"/>
        <v>2.4390399999999999</v>
      </c>
      <c r="I99" s="5">
        <f t="shared" si="10"/>
        <v>1739</v>
      </c>
      <c r="J99">
        <f t="shared" si="11"/>
        <v>1.8607463740065846</v>
      </c>
      <c r="K99">
        <f t="shared" si="12"/>
        <v>3.3826180808288502</v>
      </c>
      <c r="P99">
        <f t="shared" si="13"/>
        <v>1</v>
      </c>
    </row>
    <row r="100" spans="1:16" x14ac:dyDescent="0.25">
      <c r="A100" s="1"/>
      <c r="B100" t="s">
        <v>114</v>
      </c>
      <c r="C100" t="s">
        <v>24</v>
      </c>
      <c r="D100" s="3">
        <v>3.7916666666666665</v>
      </c>
      <c r="E100" s="5">
        <f t="shared" si="7"/>
        <v>1740</v>
      </c>
      <c r="F100">
        <v>3.6000000000000002E-4</v>
      </c>
      <c r="G100">
        <f t="shared" si="8"/>
        <v>-0.43651000000000001</v>
      </c>
      <c r="H100">
        <f t="shared" si="9"/>
        <v>-0.43651000000000001</v>
      </c>
      <c r="I100" s="5">
        <f t="shared" si="10"/>
        <v>1740</v>
      </c>
      <c r="J100">
        <f t="shared" si="11"/>
        <v>-0.43651805935493171</v>
      </c>
      <c r="K100">
        <f t="shared" si="12"/>
        <v>-3.1724518674068878</v>
      </c>
      <c r="P100">
        <f t="shared" si="13"/>
        <v>1</v>
      </c>
    </row>
    <row r="101" spans="1:16" x14ac:dyDescent="0.25">
      <c r="A101" s="1"/>
      <c r="B101" t="s">
        <v>115</v>
      </c>
      <c r="C101" t="s">
        <v>24</v>
      </c>
      <c r="D101" s="3">
        <v>3.8333333333333335</v>
      </c>
      <c r="E101" s="5">
        <f t="shared" si="7"/>
        <v>1741</v>
      </c>
      <c r="F101">
        <v>0.22439000000000001</v>
      </c>
      <c r="G101">
        <f t="shared" si="8"/>
        <v>-2.0484300000000002</v>
      </c>
      <c r="H101">
        <f t="shared" si="9"/>
        <v>-2.0484300000000002</v>
      </c>
      <c r="I101" s="5">
        <f t="shared" si="10"/>
        <v>1741</v>
      </c>
      <c r="J101">
        <f t="shared" si="11"/>
        <v>-1.871414380781417</v>
      </c>
      <c r="K101">
        <f t="shared" si="12"/>
        <v>-0.11145189886760642</v>
      </c>
      <c r="P101">
        <f t="shared" si="13"/>
        <v>1</v>
      </c>
    </row>
    <row r="102" spans="1:16" x14ac:dyDescent="0.25">
      <c r="A102" s="1"/>
      <c r="B102" t="s">
        <v>116</v>
      </c>
      <c r="C102" t="s">
        <v>24</v>
      </c>
      <c r="D102" s="3">
        <v>3.875</v>
      </c>
      <c r="E102" s="5">
        <f t="shared" si="7"/>
        <v>1742</v>
      </c>
      <c r="F102">
        <v>-1.6000099999999999</v>
      </c>
      <c r="G102">
        <f t="shared" si="8"/>
        <v>2.9113899999999999</v>
      </c>
      <c r="H102">
        <f t="shared" si="9"/>
        <v>2.9113899999999999</v>
      </c>
      <c r="I102" s="5">
        <f t="shared" si="10"/>
        <v>1742</v>
      </c>
      <c r="J102">
        <f t="shared" si="11"/>
        <v>3.3380639508125887</v>
      </c>
      <c r="K102">
        <f t="shared" si="12"/>
        <v>4.3013048149826565</v>
      </c>
      <c r="P102">
        <f t="shared" si="13"/>
        <v>1</v>
      </c>
    </row>
    <row r="103" spans="1:16" x14ac:dyDescent="0.25">
      <c r="A103" s="1"/>
      <c r="B103" t="s">
        <v>117</v>
      </c>
      <c r="C103" t="s">
        <v>24</v>
      </c>
      <c r="D103" s="3">
        <v>3.9166666666666665</v>
      </c>
      <c r="E103" s="5">
        <f t="shared" si="7"/>
        <v>1743</v>
      </c>
      <c r="F103">
        <v>-0.51302000000000003</v>
      </c>
      <c r="G103">
        <f t="shared" si="8"/>
        <v>-0.31160999999999994</v>
      </c>
      <c r="H103">
        <f t="shared" si="9"/>
        <v>-0.31160999999999994</v>
      </c>
      <c r="I103" s="5">
        <f t="shared" si="10"/>
        <v>1743</v>
      </c>
      <c r="J103">
        <f t="shared" si="11"/>
        <v>-0.40353352397902409</v>
      </c>
      <c r="K103">
        <f t="shared" si="12"/>
        <v>-5.7057121441382224</v>
      </c>
      <c r="P103">
        <f t="shared" si="13"/>
        <v>1</v>
      </c>
    </row>
    <row r="104" spans="1:16" x14ac:dyDescent="0.25">
      <c r="A104" s="1"/>
      <c r="B104" t="s">
        <v>118</v>
      </c>
      <c r="C104" t="s">
        <v>24</v>
      </c>
      <c r="D104" s="3">
        <v>3.9583333333333335</v>
      </c>
      <c r="E104" s="5">
        <f t="shared" si="7"/>
        <v>1744</v>
      </c>
      <c r="F104">
        <v>0.26235999999999998</v>
      </c>
      <c r="G104">
        <f t="shared" si="8"/>
        <v>9.7040000000000015E-2</v>
      </c>
      <c r="H104">
        <f t="shared" si="9"/>
        <v>9.7040000000000015E-2</v>
      </c>
      <c r="I104" s="5">
        <f t="shared" si="10"/>
        <v>1744</v>
      </c>
      <c r="J104">
        <f t="shared" si="11"/>
        <v>0.2863319775915994</v>
      </c>
      <c r="K104">
        <f t="shared" si="12"/>
        <v>2.8802902102280727</v>
      </c>
      <c r="P104">
        <f t="shared" si="13"/>
        <v>1</v>
      </c>
    </row>
    <row r="105" spans="1:16" x14ac:dyDescent="0.25">
      <c r="A105" s="1"/>
      <c r="B105" t="s">
        <v>119</v>
      </c>
      <c r="C105" t="s">
        <v>24</v>
      </c>
      <c r="D105" s="3">
        <v>4</v>
      </c>
      <c r="E105" s="5">
        <f t="shared" si="7"/>
        <v>1745</v>
      </c>
      <c r="F105">
        <v>1.1347799999999999</v>
      </c>
      <c r="G105">
        <f t="shared" si="8"/>
        <v>-0.42901999999999996</v>
      </c>
      <c r="H105">
        <f t="shared" si="9"/>
        <v>-0.42901999999999996</v>
      </c>
      <c r="I105" s="5">
        <f t="shared" si="10"/>
        <v>1745</v>
      </c>
      <c r="J105">
        <f t="shared" si="11"/>
        <v>-0.14812055733839602</v>
      </c>
      <c r="K105">
        <f t="shared" si="12"/>
        <v>-4.0037113608414945</v>
      </c>
      <c r="P105">
        <f t="shared" si="13"/>
        <v>1</v>
      </c>
    </row>
    <row r="106" spans="1:16" x14ac:dyDescent="0.25">
      <c r="A106" s="1"/>
      <c r="B106" t="s">
        <v>120</v>
      </c>
      <c r="C106" t="s">
        <v>24</v>
      </c>
      <c r="D106" s="3">
        <v>4.041666666666667</v>
      </c>
      <c r="E106" s="5">
        <f t="shared" si="7"/>
        <v>1746</v>
      </c>
      <c r="F106">
        <v>1.5781799999999999</v>
      </c>
      <c r="G106">
        <f t="shared" si="8"/>
        <v>-0.21579999999999999</v>
      </c>
      <c r="H106">
        <f t="shared" si="9"/>
        <v>-0.21579999999999999</v>
      </c>
      <c r="I106" s="5">
        <f t="shared" si="10"/>
        <v>1746</v>
      </c>
      <c r="J106">
        <f t="shared" si="11"/>
        <v>1.3040251911186629</v>
      </c>
      <c r="K106">
        <f t="shared" si="12"/>
        <v>4.1616326100068513</v>
      </c>
      <c r="P106">
        <f t="shared" si="13"/>
        <v>1</v>
      </c>
    </row>
    <row r="107" spans="1:16" x14ac:dyDescent="0.25">
      <c r="A107" s="1"/>
      <c r="B107" t="s">
        <v>121</v>
      </c>
      <c r="C107" t="s">
        <v>24</v>
      </c>
      <c r="D107" s="3">
        <v>4.083333333333333</v>
      </c>
      <c r="E107" s="5">
        <f t="shared" si="7"/>
        <v>1747</v>
      </c>
      <c r="F107">
        <v>1.8057799999999999</v>
      </c>
      <c r="G107">
        <f t="shared" si="8"/>
        <v>-3.0292000000000003</v>
      </c>
      <c r="H107">
        <f t="shared" si="9"/>
        <v>-3.0292000000000003</v>
      </c>
      <c r="I107" s="5">
        <f t="shared" si="10"/>
        <v>1747</v>
      </c>
      <c r="J107">
        <f t="shared" si="11"/>
        <v>-2.239638096816948</v>
      </c>
      <c r="K107">
        <f t="shared" si="12"/>
        <v>-2.4179574361024709</v>
      </c>
      <c r="P107">
        <f t="shared" si="13"/>
        <v>1</v>
      </c>
    </row>
    <row r="108" spans="1:16" x14ac:dyDescent="0.25">
      <c r="A108" s="1"/>
      <c r="B108" t="s">
        <v>122</v>
      </c>
      <c r="C108" t="s">
        <v>24</v>
      </c>
      <c r="D108" s="3">
        <v>4.125</v>
      </c>
      <c r="E108" s="5">
        <f t="shared" si="7"/>
        <v>1748</v>
      </c>
      <c r="F108">
        <v>-0.99582000000000004</v>
      </c>
      <c r="G108">
        <f t="shared" si="8"/>
        <v>4.8936600000000006</v>
      </c>
      <c r="H108">
        <f t="shared" si="9"/>
        <v>4.8936600000000006</v>
      </c>
      <c r="I108" s="5">
        <f t="shared" si="10"/>
        <v>1748</v>
      </c>
      <c r="J108">
        <f t="shared" si="11"/>
        <v>3.4117122895062195</v>
      </c>
      <c r="K108">
        <f t="shared" si="12"/>
        <v>-1.8919749283486416</v>
      </c>
      <c r="P108">
        <f t="shared" si="13"/>
        <v>0</v>
      </c>
    </row>
    <row r="109" spans="1:16" x14ac:dyDescent="0.25">
      <c r="A109" s="1"/>
      <c r="B109" t="s">
        <v>123</v>
      </c>
      <c r="C109" t="s">
        <v>24</v>
      </c>
      <c r="D109" s="3">
        <v>4.166666666666667</v>
      </c>
      <c r="E109" s="5">
        <f t="shared" si="7"/>
        <v>1749</v>
      </c>
      <c r="F109">
        <v>1.0962400000000001</v>
      </c>
      <c r="G109">
        <f t="shared" si="8"/>
        <v>-2.4696899999999999</v>
      </c>
      <c r="H109">
        <f t="shared" si="9"/>
        <v>-2.4696899999999999</v>
      </c>
      <c r="I109" s="5">
        <f t="shared" si="10"/>
        <v>1749</v>
      </c>
      <c r="J109">
        <f t="shared" si="11"/>
        <v>-1.7779490779784648</v>
      </c>
      <c r="K109">
        <f t="shared" si="12"/>
        <v>6.2567921095686554</v>
      </c>
      <c r="P109">
        <f t="shared" si="13"/>
        <v>0</v>
      </c>
    </row>
    <row r="110" spans="1:16" x14ac:dyDescent="0.25">
      <c r="A110" s="1"/>
      <c r="B110" t="s">
        <v>124</v>
      </c>
      <c r="C110" t="s">
        <v>24</v>
      </c>
      <c r="D110" s="3">
        <v>4.208333333333333</v>
      </c>
      <c r="E110" s="5">
        <f t="shared" si="7"/>
        <v>1750</v>
      </c>
      <c r="F110">
        <v>0.71860999999999997</v>
      </c>
      <c r="G110">
        <f t="shared" si="8"/>
        <v>-5.4319999999999813E-2</v>
      </c>
      <c r="H110">
        <f t="shared" si="9"/>
        <v>-5.4319999999999813E-2</v>
      </c>
      <c r="I110" s="5">
        <f t="shared" si="10"/>
        <v>1750</v>
      </c>
      <c r="J110">
        <f t="shared" si="11"/>
        <v>0.33700742523743632</v>
      </c>
      <c r="K110">
        <f t="shared" si="12"/>
        <v>-4.003547458837672</v>
      </c>
      <c r="P110">
        <f t="shared" si="13"/>
        <v>0</v>
      </c>
    </row>
    <row r="111" spans="1:16" x14ac:dyDescent="0.25">
      <c r="A111" s="1"/>
      <c r="B111" t="s">
        <v>125</v>
      </c>
      <c r="C111" t="s">
        <v>24</v>
      </c>
      <c r="D111" s="3">
        <v>4.25</v>
      </c>
      <c r="E111" s="5">
        <f t="shared" si="7"/>
        <v>1751</v>
      </c>
      <c r="F111">
        <v>0.28666000000000003</v>
      </c>
      <c r="G111">
        <f t="shared" si="8"/>
        <v>-1.7390400000000001</v>
      </c>
      <c r="H111">
        <f t="shared" si="9"/>
        <v>-1.7390400000000001</v>
      </c>
      <c r="I111" s="5">
        <f t="shared" si="10"/>
        <v>1751</v>
      </c>
      <c r="J111">
        <f t="shared" si="11"/>
        <v>-1.5106851809052755</v>
      </c>
      <c r="K111">
        <f t="shared" si="12"/>
        <v>4.5937701350115629</v>
      </c>
      <c r="P111">
        <f t="shared" si="13"/>
        <v>0</v>
      </c>
    </row>
    <row r="112" spans="1:16" x14ac:dyDescent="0.25">
      <c r="A112" s="1"/>
      <c r="B112" t="s">
        <v>126</v>
      </c>
      <c r="C112" t="s">
        <v>24</v>
      </c>
      <c r="D112" s="3">
        <v>4.291666666666667</v>
      </c>
      <c r="E112" s="5">
        <f t="shared" si="7"/>
        <v>1752</v>
      </c>
      <c r="F112">
        <v>-1.8843300000000001</v>
      </c>
      <c r="G112">
        <f t="shared" si="8"/>
        <v>2.90266</v>
      </c>
      <c r="H112">
        <f t="shared" si="9"/>
        <v>2.90266</v>
      </c>
      <c r="I112" s="5">
        <f t="shared" si="10"/>
        <v>1752</v>
      </c>
      <c r="J112">
        <f t="shared" si="11"/>
        <v>2.4244470478623907</v>
      </c>
      <c r="K112">
        <f t="shared" si="12"/>
        <v>-4.7377796079416896</v>
      </c>
      <c r="P112">
        <f t="shared" si="13"/>
        <v>0</v>
      </c>
    </row>
    <row r="113" spans="1:16" x14ac:dyDescent="0.25">
      <c r="A113" s="1"/>
      <c r="B113" t="s">
        <v>127</v>
      </c>
      <c r="C113" t="s">
        <v>24</v>
      </c>
      <c r="D113" s="3">
        <v>4.333333333333333</v>
      </c>
      <c r="E113" s="5">
        <f t="shared" si="7"/>
        <v>1753</v>
      </c>
      <c r="F113">
        <v>-1.15266</v>
      </c>
      <c r="G113">
        <f t="shared" si="8"/>
        <v>-0.31825000000000003</v>
      </c>
      <c r="H113">
        <f t="shared" si="9"/>
        <v>-0.31825000000000003</v>
      </c>
      <c r="I113" s="5">
        <f t="shared" si="10"/>
        <v>1753</v>
      </c>
      <c r="J113">
        <f t="shared" si="11"/>
        <v>-0.86302155501055489</v>
      </c>
      <c r="K113">
        <f t="shared" si="12"/>
        <v>4.1444041764412418</v>
      </c>
      <c r="P113">
        <f t="shared" si="13"/>
        <v>0</v>
      </c>
    </row>
    <row r="114" spans="1:16" x14ac:dyDescent="0.25">
      <c r="A114" s="1"/>
      <c r="B114" t="s">
        <v>128</v>
      </c>
      <c r="C114" t="s">
        <v>24</v>
      </c>
      <c r="D114" s="3">
        <v>4.375</v>
      </c>
      <c r="E114" s="5">
        <f t="shared" si="7"/>
        <v>1754</v>
      </c>
      <c r="F114">
        <v>-0.73924000000000001</v>
      </c>
      <c r="G114">
        <f t="shared" si="8"/>
        <v>-0.72632999999999992</v>
      </c>
      <c r="H114">
        <f t="shared" si="9"/>
        <v>-0.72632999999999992</v>
      </c>
      <c r="I114" s="5">
        <f t="shared" si="10"/>
        <v>1754</v>
      </c>
      <c r="J114">
        <f t="shared" si="11"/>
        <v>-0.4740434293486529</v>
      </c>
      <c r="K114">
        <f t="shared" si="12"/>
        <v>-1.1741715275454452</v>
      </c>
      <c r="P114">
        <f t="shared" si="13"/>
        <v>1</v>
      </c>
    </row>
    <row r="115" spans="1:16" x14ac:dyDescent="0.25">
      <c r="A115" s="1"/>
      <c r="B115" t="s">
        <v>129</v>
      </c>
      <c r="C115" t="s">
        <v>24</v>
      </c>
      <c r="D115" s="3">
        <v>4.416666666666667</v>
      </c>
      <c r="E115" s="5">
        <f t="shared" si="7"/>
        <v>1755</v>
      </c>
      <c r="F115">
        <v>-1.0521499999999999</v>
      </c>
      <c r="G115">
        <f t="shared" si="8"/>
        <v>1.1541699999999997</v>
      </c>
      <c r="H115">
        <f t="shared" si="9"/>
        <v>1.1541699999999997</v>
      </c>
      <c r="I115" s="5">
        <f t="shared" si="10"/>
        <v>1755</v>
      </c>
      <c r="J115">
        <f t="shared" si="11"/>
        <v>0.41437523115461866</v>
      </c>
      <c r="K115">
        <f t="shared" si="12"/>
        <v>-5.2711128783611967</v>
      </c>
      <c r="P115">
        <f t="shared" si="13"/>
        <v>0</v>
      </c>
    </row>
    <row r="116" spans="1:16" x14ac:dyDescent="0.25">
      <c r="A116" s="1"/>
      <c r="B116" t="s">
        <v>130</v>
      </c>
      <c r="C116" t="s">
        <v>24</v>
      </c>
      <c r="D116" s="3">
        <v>4.458333333333333</v>
      </c>
      <c r="E116" s="5">
        <f t="shared" si="7"/>
        <v>1756</v>
      </c>
      <c r="F116">
        <v>-0.21088999999999999</v>
      </c>
      <c r="G116">
        <f t="shared" si="8"/>
        <v>-2.3304299999999998</v>
      </c>
      <c r="H116">
        <f t="shared" si="9"/>
        <v>-2.3304299999999998</v>
      </c>
      <c r="I116" s="5">
        <f t="shared" si="10"/>
        <v>1756</v>
      </c>
      <c r="J116">
        <f t="shared" si="11"/>
        <v>-2.3951988520039831</v>
      </c>
      <c r="K116">
        <f t="shared" si="12"/>
        <v>4.8935943311078542</v>
      </c>
      <c r="P116">
        <f t="shared" si="13"/>
        <v>0</v>
      </c>
    </row>
    <row r="117" spans="1:16" x14ac:dyDescent="0.25">
      <c r="A117" s="1"/>
      <c r="B117" t="s">
        <v>131</v>
      </c>
      <c r="C117" t="s">
        <v>24</v>
      </c>
      <c r="D117" s="3">
        <v>4.5</v>
      </c>
      <c r="E117" s="5">
        <f t="shared" si="7"/>
        <v>1757</v>
      </c>
      <c r="F117">
        <v>-1.7000599999999999</v>
      </c>
      <c r="G117">
        <f t="shared" si="8"/>
        <v>2.5641400000000001</v>
      </c>
      <c r="H117">
        <f t="shared" si="9"/>
        <v>2.5641400000000001</v>
      </c>
      <c r="I117" s="5">
        <f t="shared" si="10"/>
        <v>1757</v>
      </c>
      <c r="J117">
        <f t="shared" si="11"/>
        <v>1.9522339318260189</v>
      </c>
      <c r="K117">
        <f t="shared" si="12"/>
        <v>-5.205631165457377</v>
      </c>
      <c r="P117">
        <f t="shared" si="13"/>
        <v>0</v>
      </c>
    </row>
    <row r="118" spans="1:16" x14ac:dyDescent="0.25">
      <c r="A118" s="1"/>
      <c r="B118" t="s">
        <v>132</v>
      </c>
      <c r="C118" t="s">
        <v>24</v>
      </c>
      <c r="D118" s="3">
        <v>4.541666666666667</v>
      </c>
      <c r="E118" s="5">
        <f t="shared" si="7"/>
        <v>1758</v>
      </c>
      <c r="F118">
        <v>-0.62509000000000003</v>
      </c>
      <c r="G118">
        <f t="shared" si="8"/>
        <v>-2.9079999999999995E-2</v>
      </c>
      <c r="H118">
        <f t="shared" si="9"/>
        <v>-2.9079999999999995E-2</v>
      </c>
      <c r="I118" s="5">
        <f t="shared" si="10"/>
        <v>1758</v>
      </c>
      <c r="J118">
        <f t="shared" si="11"/>
        <v>-0.48205876042706036</v>
      </c>
      <c r="K118">
        <f t="shared" si="12"/>
        <v>5.0677798187592398</v>
      </c>
      <c r="P118">
        <f t="shared" si="13"/>
        <v>0</v>
      </c>
    </row>
    <row r="119" spans="1:16" x14ac:dyDescent="0.25">
      <c r="A119" s="1"/>
      <c r="B119" t="s">
        <v>133</v>
      </c>
      <c r="C119" t="s">
        <v>24</v>
      </c>
      <c r="D119" s="3">
        <v>4.583333333333333</v>
      </c>
      <c r="E119" s="5">
        <f t="shared" si="7"/>
        <v>1759</v>
      </c>
      <c r="F119">
        <v>0.42080000000000001</v>
      </c>
      <c r="G119">
        <f t="shared" si="8"/>
        <v>-1.4132500000000001</v>
      </c>
      <c r="H119">
        <f t="shared" si="9"/>
        <v>-1.4132500000000001</v>
      </c>
      <c r="I119" s="5">
        <f t="shared" si="10"/>
        <v>1759</v>
      </c>
      <c r="J119">
        <f t="shared" si="11"/>
        <v>-1.0856444367023637</v>
      </c>
      <c r="K119">
        <f t="shared" si="12"/>
        <v>-5.0868861566757682</v>
      </c>
      <c r="P119">
        <f t="shared" si="13"/>
        <v>1</v>
      </c>
    </row>
    <row r="120" spans="1:16" x14ac:dyDescent="0.25">
      <c r="A120" s="1"/>
      <c r="B120" t="s">
        <v>134</v>
      </c>
      <c r="C120" t="s">
        <v>24</v>
      </c>
      <c r="D120" s="3">
        <v>4.625</v>
      </c>
      <c r="E120" s="5">
        <f t="shared" si="7"/>
        <v>1760</v>
      </c>
      <c r="F120">
        <v>5.3440000000000001E-2</v>
      </c>
      <c r="G120">
        <f t="shared" si="8"/>
        <v>-0.51621000000000006</v>
      </c>
      <c r="H120">
        <f t="shared" si="9"/>
        <v>-0.51621000000000006</v>
      </c>
      <c r="I120" s="5">
        <f t="shared" si="10"/>
        <v>1760</v>
      </c>
      <c r="J120">
        <f t="shared" si="11"/>
        <v>-0.4506144921159323</v>
      </c>
      <c r="K120">
        <f t="shared" si="12"/>
        <v>3.8207533075918496</v>
      </c>
      <c r="P120">
        <f t="shared" si="13"/>
        <v>0</v>
      </c>
    </row>
    <row r="121" spans="1:16" x14ac:dyDescent="0.25">
      <c r="A121" s="1"/>
      <c r="B121" t="s">
        <v>135</v>
      </c>
      <c r="C121" t="s">
        <v>24</v>
      </c>
      <c r="D121" s="3">
        <v>4.666666666666667</v>
      </c>
      <c r="E121" s="5">
        <f t="shared" si="7"/>
        <v>1761</v>
      </c>
      <c r="F121">
        <v>-0.83013000000000003</v>
      </c>
      <c r="G121">
        <f t="shared" si="8"/>
        <v>2.25312</v>
      </c>
      <c r="H121">
        <f t="shared" si="9"/>
        <v>2.25312</v>
      </c>
      <c r="I121" s="5">
        <f t="shared" si="10"/>
        <v>1761</v>
      </c>
      <c r="J121">
        <f t="shared" si="11"/>
        <v>2.0236103849461511</v>
      </c>
      <c r="K121">
        <f t="shared" si="12"/>
        <v>2.7599818198532282</v>
      </c>
      <c r="P121">
        <f t="shared" si="13"/>
        <v>1</v>
      </c>
    </row>
    <row r="122" spans="1:16" x14ac:dyDescent="0.25">
      <c r="A122" s="1"/>
      <c r="B122" t="s">
        <v>136</v>
      </c>
      <c r="C122" t="s">
        <v>24</v>
      </c>
      <c r="D122" s="3">
        <v>4.708333333333333</v>
      </c>
      <c r="E122" s="5">
        <f t="shared" si="7"/>
        <v>1762</v>
      </c>
      <c r="F122">
        <v>0.53942000000000001</v>
      </c>
      <c r="G122">
        <f t="shared" si="8"/>
        <v>-2.6812800000000001</v>
      </c>
      <c r="H122">
        <f t="shared" si="9"/>
        <v>-2.6812800000000001</v>
      </c>
      <c r="I122" s="5">
        <f t="shared" si="10"/>
        <v>1762</v>
      </c>
      <c r="J122">
        <f t="shared" si="11"/>
        <v>-2.1128974939674938</v>
      </c>
      <c r="K122">
        <f t="shared" si="12"/>
        <v>-5.026934683885969</v>
      </c>
      <c r="P122">
        <f t="shared" si="13"/>
        <v>1</v>
      </c>
    </row>
    <row r="123" spans="1:16" x14ac:dyDescent="0.25">
      <c r="A123" s="1"/>
      <c r="B123" t="s">
        <v>137</v>
      </c>
      <c r="C123" t="s">
        <v>24</v>
      </c>
      <c r="D123" s="3">
        <v>4.75</v>
      </c>
      <c r="E123" s="5">
        <f t="shared" si="7"/>
        <v>1763</v>
      </c>
      <c r="F123">
        <v>-0.77231000000000005</v>
      </c>
      <c r="G123">
        <f t="shared" si="8"/>
        <v>2.0208200000000001</v>
      </c>
      <c r="H123">
        <f t="shared" si="9"/>
        <v>2.0208200000000001</v>
      </c>
      <c r="I123" s="5">
        <f t="shared" si="10"/>
        <v>1763</v>
      </c>
      <c r="J123">
        <f t="shared" si="11"/>
        <v>1.5389206893511211</v>
      </c>
      <c r="K123">
        <f t="shared" si="12"/>
        <v>5.7873025245545415</v>
      </c>
      <c r="P123">
        <f t="shared" si="13"/>
        <v>1</v>
      </c>
    </row>
    <row r="124" spans="1:16" x14ac:dyDescent="0.25">
      <c r="A124" s="1"/>
      <c r="B124" t="s">
        <v>138</v>
      </c>
      <c r="C124" t="s">
        <v>24</v>
      </c>
      <c r="D124" s="3">
        <v>4.791666666666667</v>
      </c>
      <c r="E124" s="5">
        <f t="shared" si="7"/>
        <v>1764</v>
      </c>
      <c r="F124">
        <v>-6.3219999999999998E-2</v>
      </c>
      <c r="G124">
        <f t="shared" si="8"/>
        <v>-0.91364000000000001</v>
      </c>
      <c r="H124">
        <f t="shared" si="9"/>
        <v>-0.91364000000000001</v>
      </c>
      <c r="I124" s="5">
        <f t="shared" si="10"/>
        <v>1764</v>
      </c>
      <c r="J124">
        <f t="shared" si="11"/>
        <v>-0.94313233133216068</v>
      </c>
      <c r="K124">
        <f t="shared" si="12"/>
        <v>-5.2681429145591938</v>
      </c>
      <c r="P124">
        <f t="shared" si="13"/>
        <v>1</v>
      </c>
    </row>
    <row r="125" spans="1:16" x14ac:dyDescent="0.25">
      <c r="A125" s="1"/>
      <c r="B125" t="s">
        <v>139</v>
      </c>
      <c r="C125" t="s">
        <v>24</v>
      </c>
      <c r="D125" s="3">
        <v>4.833333333333333</v>
      </c>
      <c r="E125" s="5">
        <f t="shared" si="7"/>
        <v>1765</v>
      </c>
      <c r="F125">
        <v>-0.26777000000000001</v>
      </c>
      <c r="G125">
        <f t="shared" si="8"/>
        <v>1.14693</v>
      </c>
      <c r="H125">
        <f t="shared" si="9"/>
        <v>1.14693</v>
      </c>
      <c r="I125" s="5">
        <f t="shared" si="10"/>
        <v>1765</v>
      </c>
      <c r="J125">
        <f t="shared" si="11"/>
        <v>1.0967519690522201</v>
      </c>
      <c r="K125">
        <f t="shared" si="12"/>
        <v>5.4892595006414338</v>
      </c>
      <c r="P125">
        <f t="shared" si="13"/>
        <v>1</v>
      </c>
    </row>
    <row r="126" spans="1:16" x14ac:dyDescent="0.25">
      <c r="A126" s="1"/>
      <c r="B126" t="s">
        <v>140</v>
      </c>
      <c r="C126" t="s">
        <v>24</v>
      </c>
      <c r="D126" s="3">
        <v>4.875</v>
      </c>
      <c r="E126" s="5">
        <f t="shared" si="7"/>
        <v>1766</v>
      </c>
      <c r="F126">
        <v>0.67461000000000004</v>
      </c>
      <c r="G126">
        <f t="shared" si="8"/>
        <v>-1.22204</v>
      </c>
      <c r="H126">
        <f t="shared" si="9"/>
        <v>-1.22204</v>
      </c>
      <c r="I126" s="5">
        <f t="shared" si="10"/>
        <v>1766</v>
      </c>
      <c r="J126">
        <f t="shared" si="11"/>
        <v>-1.1434444966961013</v>
      </c>
      <c r="K126">
        <f t="shared" si="12"/>
        <v>-5.4307785386764182</v>
      </c>
      <c r="P126">
        <f t="shared" si="13"/>
        <v>1</v>
      </c>
    </row>
    <row r="127" spans="1:16" x14ac:dyDescent="0.25">
      <c r="A127" s="1"/>
      <c r="B127" t="s">
        <v>141</v>
      </c>
      <c r="C127" t="s">
        <v>24</v>
      </c>
      <c r="D127" s="3">
        <v>4.916666666666667</v>
      </c>
      <c r="E127" s="5">
        <f t="shared" si="7"/>
        <v>1767</v>
      </c>
      <c r="F127">
        <v>0.39495000000000002</v>
      </c>
      <c r="G127">
        <f t="shared" si="8"/>
        <v>-0.18498999999999999</v>
      </c>
      <c r="H127">
        <f t="shared" si="9"/>
        <v>-0.18498999999999999</v>
      </c>
      <c r="I127" s="5">
        <f t="shared" si="10"/>
        <v>1767</v>
      </c>
      <c r="J127">
        <f t="shared" si="11"/>
        <v>0.10305019396308485</v>
      </c>
      <c r="K127">
        <f t="shared" si="12"/>
        <v>0.47761000972329126</v>
      </c>
      <c r="P127">
        <f t="shared" si="13"/>
        <v>1</v>
      </c>
    </row>
    <row r="128" spans="1:16" x14ac:dyDescent="0.25">
      <c r="A128" s="1"/>
      <c r="B128" t="s">
        <v>142</v>
      </c>
      <c r="C128" t="s">
        <v>24</v>
      </c>
      <c r="D128" s="3">
        <v>4.958333333333333</v>
      </c>
      <c r="E128" s="5">
        <f t="shared" si="7"/>
        <v>1768</v>
      </c>
      <c r="F128">
        <v>-6.9699999999999998E-2</v>
      </c>
      <c r="G128">
        <f t="shared" si="8"/>
        <v>0.86162000000000005</v>
      </c>
      <c r="H128">
        <f t="shared" si="9"/>
        <v>0.86162000000000005</v>
      </c>
      <c r="I128" s="5">
        <f t="shared" si="10"/>
        <v>1768</v>
      </c>
      <c r="J128">
        <f t="shared" si="11"/>
        <v>0.87598310124874823</v>
      </c>
      <c r="K128">
        <f t="shared" si="12"/>
        <v>3.8901149464427949</v>
      </c>
      <c r="P128">
        <f t="shared" si="13"/>
        <v>1</v>
      </c>
    </row>
    <row r="129" spans="1:16" x14ac:dyDescent="0.25">
      <c r="A129" s="1"/>
      <c r="B129" t="s">
        <v>143</v>
      </c>
      <c r="C129" t="s">
        <v>24</v>
      </c>
      <c r="D129" s="3">
        <v>5</v>
      </c>
      <c r="E129" s="5">
        <f t="shared" si="7"/>
        <v>1769</v>
      </c>
      <c r="F129">
        <v>0.32727000000000001</v>
      </c>
      <c r="G129">
        <f t="shared" si="8"/>
        <v>0.12131999999999993</v>
      </c>
      <c r="H129">
        <f t="shared" si="9"/>
        <v>0.12131999999999993</v>
      </c>
      <c r="I129" s="5">
        <f t="shared" si="10"/>
        <v>1769</v>
      </c>
      <c r="J129">
        <f t="shared" si="11"/>
        <v>0.32098286002934073</v>
      </c>
      <c r="K129">
        <f t="shared" si="12"/>
        <v>-6.1315164973446503</v>
      </c>
      <c r="P129">
        <f t="shared" si="13"/>
        <v>0</v>
      </c>
    </row>
    <row r="130" spans="1:16" x14ac:dyDescent="0.25">
      <c r="A130" s="1"/>
      <c r="B130" t="s">
        <v>144</v>
      </c>
      <c r="C130" t="s">
        <v>24</v>
      </c>
      <c r="D130" s="3">
        <v>5.041666666666667</v>
      </c>
      <c r="E130" s="5">
        <f t="shared" si="7"/>
        <v>1770</v>
      </c>
      <c r="F130">
        <v>0.84555999999999998</v>
      </c>
      <c r="G130">
        <f t="shared" si="8"/>
        <v>-0.67840999999999985</v>
      </c>
      <c r="H130">
        <f t="shared" si="9"/>
        <v>-0.67840999999999985</v>
      </c>
      <c r="I130" s="5">
        <f t="shared" si="10"/>
        <v>1770</v>
      </c>
      <c r="J130">
        <f t="shared" si="11"/>
        <v>-0.24452664082128123</v>
      </c>
      <c r="K130">
        <f t="shared" si="12"/>
        <v>5.3900439778388556</v>
      </c>
      <c r="P130">
        <f t="shared" si="13"/>
        <v>0</v>
      </c>
    </row>
    <row r="131" spans="1:16" x14ac:dyDescent="0.25">
      <c r="A131" s="1"/>
      <c r="B131" t="s">
        <v>145</v>
      </c>
      <c r="C131" t="s">
        <v>24</v>
      </c>
      <c r="D131" s="3">
        <v>5.083333333333333</v>
      </c>
      <c r="E131" s="5">
        <f t="shared" si="7"/>
        <v>1771</v>
      </c>
      <c r="F131">
        <v>0.68544000000000005</v>
      </c>
      <c r="G131">
        <f t="shared" si="8"/>
        <v>-1.19834</v>
      </c>
      <c r="H131">
        <f t="shared" si="9"/>
        <v>-1.19834</v>
      </c>
      <c r="I131" s="5">
        <f t="shared" si="10"/>
        <v>1771</v>
      </c>
      <c r="J131">
        <f t="shared" si="11"/>
        <v>-0.52375442776955328</v>
      </c>
      <c r="K131">
        <f t="shared" si="12"/>
        <v>-5.5981302390492846</v>
      </c>
      <c r="P131">
        <f t="shared" si="13"/>
        <v>1</v>
      </c>
    </row>
    <row r="132" spans="1:16" x14ac:dyDescent="0.25">
      <c r="A132" s="1"/>
      <c r="B132" t="s">
        <v>146</v>
      </c>
      <c r="C132" t="s">
        <v>24</v>
      </c>
      <c r="D132" s="3">
        <v>5.125</v>
      </c>
      <c r="E132" s="5">
        <f t="shared" si="7"/>
        <v>1772</v>
      </c>
      <c r="F132">
        <v>-0.67301999999999995</v>
      </c>
      <c r="G132">
        <f t="shared" si="8"/>
        <v>0.61890999999999985</v>
      </c>
      <c r="H132">
        <f t="shared" si="9"/>
        <v>0.61890999999999985</v>
      </c>
      <c r="I132" s="5">
        <f t="shared" si="10"/>
        <v>1772</v>
      </c>
      <c r="J132">
        <f t="shared" si="11"/>
        <v>0.12160812507978663</v>
      </c>
      <c r="K132">
        <f t="shared" si="12"/>
        <v>5.9984689695831692</v>
      </c>
      <c r="P132">
        <f t="shared" si="13"/>
        <v>1</v>
      </c>
    </row>
    <row r="133" spans="1:16" x14ac:dyDescent="0.25">
      <c r="A133" s="1"/>
      <c r="B133" t="s">
        <v>147</v>
      </c>
      <c r="C133" t="s">
        <v>24</v>
      </c>
      <c r="D133" s="3">
        <v>5.166666666666667</v>
      </c>
      <c r="E133" s="5">
        <f t="shared" si="7"/>
        <v>1773</v>
      </c>
      <c r="F133">
        <v>-1.4125700000000001</v>
      </c>
      <c r="G133">
        <f t="shared" si="8"/>
        <v>1.9438000000000002</v>
      </c>
      <c r="H133">
        <f t="shared" si="9"/>
        <v>1.9438000000000002</v>
      </c>
      <c r="I133" s="5">
        <f t="shared" si="10"/>
        <v>1773</v>
      </c>
      <c r="J133">
        <f t="shared" si="11"/>
        <v>1.0987401798412946</v>
      </c>
      <c r="K133">
        <f t="shared" si="12"/>
        <v>-3.2859495142887805</v>
      </c>
      <c r="P133">
        <f t="shared" si="13"/>
        <v>0</v>
      </c>
    </row>
    <row r="134" spans="1:16" x14ac:dyDescent="0.25">
      <c r="A134" s="1"/>
      <c r="B134" t="s">
        <v>148</v>
      </c>
      <c r="C134" t="s">
        <v>24</v>
      </c>
      <c r="D134" s="3">
        <v>5.208333333333333</v>
      </c>
      <c r="E134" s="5">
        <f t="shared" si="7"/>
        <v>1774</v>
      </c>
      <c r="F134">
        <v>-0.20832000000000001</v>
      </c>
      <c r="G134">
        <f t="shared" si="8"/>
        <v>-1.0641700000000001</v>
      </c>
      <c r="H134">
        <f t="shared" si="9"/>
        <v>-1.0641700000000001</v>
      </c>
      <c r="I134" s="5">
        <f t="shared" si="10"/>
        <v>1774</v>
      </c>
      <c r="J134">
        <f t="shared" si="11"/>
        <v>-1.3582721104136417</v>
      </c>
      <c r="K134">
        <f t="shared" si="12"/>
        <v>-1.3924945816223393</v>
      </c>
      <c r="P134">
        <f t="shared" si="13"/>
        <v>1</v>
      </c>
    </row>
    <row r="135" spans="1:16" x14ac:dyDescent="0.25">
      <c r="A135" s="1"/>
      <c r="B135" t="s">
        <v>149</v>
      </c>
      <c r="C135" t="s">
        <v>24</v>
      </c>
      <c r="D135" s="3">
        <v>5.25</v>
      </c>
      <c r="E135" s="5">
        <f t="shared" si="7"/>
        <v>1775</v>
      </c>
      <c r="F135">
        <v>-6.8239999999999995E-2</v>
      </c>
      <c r="G135">
        <f t="shared" si="8"/>
        <v>-0.52205999999999997</v>
      </c>
      <c r="H135">
        <f t="shared" si="9"/>
        <v>-0.52205999999999997</v>
      </c>
      <c r="I135" s="5">
        <f t="shared" si="10"/>
        <v>1775</v>
      </c>
      <c r="J135">
        <f t="shared" si="11"/>
        <v>-0.54315094477424386</v>
      </c>
      <c r="K135">
        <f t="shared" si="12"/>
        <v>5.8700505052177494</v>
      </c>
      <c r="P135">
        <f t="shared" si="13"/>
        <v>0</v>
      </c>
    </row>
    <row r="136" spans="1:16" x14ac:dyDescent="0.25">
      <c r="A136" s="1"/>
      <c r="B136" t="s">
        <v>150</v>
      </c>
      <c r="C136" t="s">
        <v>24</v>
      </c>
      <c r="D136" s="3">
        <v>5.291666666666667</v>
      </c>
      <c r="E136" s="5">
        <f t="shared" si="7"/>
        <v>1776</v>
      </c>
      <c r="F136">
        <v>-0.45022000000000001</v>
      </c>
      <c r="G136">
        <f t="shared" si="8"/>
        <v>0.28513000000000005</v>
      </c>
      <c r="H136">
        <f t="shared" si="9"/>
        <v>0.28513000000000005</v>
      </c>
      <c r="I136" s="5">
        <f t="shared" si="10"/>
        <v>1776</v>
      </c>
      <c r="J136">
        <f t="shared" si="11"/>
        <v>-3.1147139967672495E-2</v>
      </c>
      <c r="K136">
        <f t="shared" si="12"/>
        <v>-5.4054562212170749</v>
      </c>
      <c r="P136">
        <f t="shared" si="13"/>
        <v>1</v>
      </c>
    </row>
    <row r="137" spans="1:16" x14ac:dyDescent="0.25">
      <c r="A137" s="1"/>
      <c r="B137" t="s">
        <v>151</v>
      </c>
      <c r="C137" t="s">
        <v>24</v>
      </c>
      <c r="D137" s="3">
        <v>5.333333333333333</v>
      </c>
      <c r="E137" s="5">
        <f t="shared" si="7"/>
        <v>1777</v>
      </c>
      <c r="F137">
        <v>-0.54706999999999995</v>
      </c>
      <c r="G137">
        <f t="shared" si="8"/>
        <v>-0.23581000000000013</v>
      </c>
      <c r="H137">
        <f t="shared" si="9"/>
        <v>-0.23581000000000013</v>
      </c>
      <c r="I137" s="5">
        <f t="shared" si="10"/>
        <v>1777</v>
      </c>
      <c r="J137">
        <f t="shared" si="11"/>
        <v>-0.26274667919327227</v>
      </c>
      <c r="K137">
        <f t="shared" si="12"/>
        <v>5.566758042844457</v>
      </c>
      <c r="P137">
        <f t="shared" si="13"/>
        <v>0</v>
      </c>
    </row>
    <row r="138" spans="1:16" x14ac:dyDescent="0.25">
      <c r="A138" s="1"/>
      <c r="B138" t="s">
        <v>152</v>
      </c>
      <c r="C138" t="s">
        <v>24</v>
      </c>
      <c r="D138" s="3">
        <v>5.375</v>
      </c>
      <c r="E138" s="5">
        <f t="shared" si="7"/>
        <v>1778</v>
      </c>
      <c r="F138">
        <v>-0.87973000000000001</v>
      </c>
      <c r="G138">
        <f t="shared" si="8"/>
        <v>0.59026000000000012</v>
      </c>
      <c r="H138">
        <f t="shared" si="9"/>
        <v>0.59026000000000012</v>
      </c>
      <c r="I138" s="5">
        <f t="shared" si="10"/>
        <v>1778</v>
      </c>
      <c r="J138">
        <f t="shared" si="11"/>
        <v>0.12650500704138973</v>
      </c>
      <c r="K138">
        <f t="shared" si="12"/>
        <v>-5.8680210797751426</v>
      </c>
      <c r="P138">
        <f t="shared" si="13"/>
        <v>0</v>
      </c>
    </row>
    <row r="139" spans="1:16" x14ac:dyDescent="0.25">
      <c r="A139" s="1"/>
      <c r="B139" t="s">
        <v>153</v>
      </c>
      <c r="C139" t="s">
        <v>24</v>
      </c>
      <c r="D139" s="3">
        <v>5.416666666666667</v>
      </c>
      <c r="E139" s="5">
        <f t="shared" si="7"/>
        <v>1779</v>
      </c>
      <c r="F139">
        <v>-0.62212999999999996</v>
      </c>
      <c r="G139">
        <f t="shared" si="8"/>
        <v>0.30409999999999993</v>
      </c>
      <c r="H139">
        <f t="shared" si="9"/>
        <v>0.30409999999999993</v>
      </c>
      <c r="I139" s="5">
        <f t="shared" si="10"/>
        <v>1779</v>
      </c>
      <c r="J139">
        <f t="shared" si="11"/>
        <v>0.18365216730755876</v>
      </c>
      <c r="K139">
        <f t="shared" si="12"/>
        <v>4.8669434306389787</v>
      </c>
      <c r="P139">
        <f t="shared" si="13"/>
        <v>1</v>
      </c>
    </row>
    <row r="140" spans="1:16" x14ac:dyDescent="0.25">
      <c r="A140" s="1"/>
      <c r="B140" t="s">
        <v>154</v>
      </c>
      <c r="C140" t="s">
        <v>24</v>
      </c>
      <c r="D140" s="3">
        <v>5.458333333333333</v>
      </c>
      <c r="E140" s="5">
        <f t="shared" ref="E140:E203" si="14">+E139+1</f>
        <v>1780</v>
      </c>
      <c r="F140">
        <v>-6.0429999999999998E-2</v>
      </c>
      <c r="G140">
        <f t="shared" ref="G140:G203" si="15">+(F141-F140)-(F140-F139)</f>
        <v>-1.3107199999999999</v>
      </c>
      <c r="H140">
        <f t="shared" ref="H140:H203" si="16">+G140</f>
        <v>-1.3107199999999999</v>
      </c>
      <c r="I140" s="5">
        <f t="shared" si="10"/>
        <v>1780</v>
      </c>
      <c r="J140">
        <f t="shared" si="11"/>
        <v>-1.2954121416889066</v>
      </c>
      <c r="K140">
        <f t="shared" si="12"/>
        <v>-1.8349076455078586</v>
      </c>
      <c r="P140">
        <f t="shared" si="13"/>
        <v>1</v>
      </c>
    </row>
    <row r="141" spans="1:16" x14ac:dyDescent="0.25">
      <c r="A141" s="1"/>
      <c r="B141" t="s">
        <v>155</v>
      </c>
      <c r="C141" t="s">
        <v>24</v>
      </c>
      <c r="D141" s="3">
        <v>5.5</v>
      </c>
      <c r="E141" s="5">
        <f t="shared" si="14"/>
        <v>1781</v>
      </c>
      <c r="F141">
        <v>-0.80945</v>
      </c>
      <c r="G141">
        <f t="shared" si="15"/>
        <v>0.48418000000000005</v>
      </c>
      <c r="H141">
        <f t="shared" si="16"/>
        <v>0.48418000000000005</v>
      </c>
      <c r="I141" s="5">
        <f t="shared" ref="I141:I204" si="17">+E141</f>
        <v>1781</v>
      </c>
      <c r="J141">
        <f t="shared" ref="J141:J204" si="18">+$J$6*F141+F141*$J$7*COS(2*PI()*$I141/$K$6+$K$5*COS($J$5*$I141+$K$8)+$J$9)+H141+F141*$J$3*COS(2*PI()*$I141/$J$8+$K$3)</f>
        <v>-0.26297816568394816</v>
      </c>
      <c r="K141">
        <f t="shared" ref="K141:K204" si="19">+$K$8*COS(2*PI()*$I141/$K$6+$K$5*COS($J$5*$I141+$K$8)+$K$7) +$K$4*COS(2*PI()*$I141/$J$8+$J$4)</f>
        <v>-4.6013510542177709</v>
      </c>
      <c r="P141">
        <f t="shared" ref="P141:P204" si="20">+IF(J141*K141&gt;0,1, 0)</f>
        <v>1</v>
      </c>
    </row>
    <row r="142" spans="1:16" x14ac:dyDescent="0.25">
      <c r="A142" s="1"/>
      <c r="B142" t="s">
        <v>156</v>
      </c>
      <c r="C142" t="s">
        <v>24</v>
      </c>
      <c r="D142" s="3">
        <v>5.541666666666667</v>
      </c>
      <c r="E142" s="5">
        <f t="shared" si="14"/>
        <v>1782</v>
      </c>
      <c r="F142">
        <v>-1.07429</v>
      </c>
      <c r="G142">
        <f t="shared" si="15"/>
        <v>2.16337</v>
      </c>
      <c r="H142">
        <f t="shared" si="16"/>
        <v>2.16337</v>
      </c>
      <c r="I142" s="5">
        <f t="shared" si="17"/>
        <v>1782</v>
      </c>
      <c r="J142">
        <f t="shared" si="18"/>
        <v>1.9093516936225381</v>
      </c>
      <c r="K142">
        <f t="shared" si="19"/>
        <v>5.1832907420120957</v>
      </c>
      <c r="P142">
        <f t="shared" si="20"/>
        <v>1</v>
      </c>
    </row>
    <row r="143" spans="1:16" x14ac:dyDescent="0.25">
      <c r="A143" s="1"/>
      <c r="B143" t="s">
        <v>157</v>
      </c>
      <c r="C143" t="s">
        <v>24</v>
      </c>
      <c r="D143" s="3">
        <v>5.583333333333333</v>
      </c>
      <c r="E143" s="5">
        <f t="shared" si="14"/>
        <v>1783</v>
      </c>
      <c r="F143">
        <v>0.82423999999999997</v>
      </c>
      <c r="G143">
        <f t="shared" si="15"/>
        <v>-1.2054200000000002</v>
      </c>
      <c r="H143">
        <f t="shared" si="16"/>
        <v>-1.2054200000000002</v>
      </c>
      <c r="I143" s="5">
        <f t="shared" si="17"/>
        <v>1783</v>
      </c>
      <c r="J143">
        <f t="shared" si="18"/>
        <v>-0.31454586806572105</v>
      </c>
      <c r="K143">
        <f t="shared" si="19"/>
        <v>-5.4477352975582605</v>
      </c>
      <c r="P143">
        <f t="shared" si="20"/>
        <v>1</v>
      </c>
    </row>
    <row r="144" spans="1:16" x14ac:dyDescent="0.25">
      <c r="A144" s="1"/>
      <c r="B144" t="s">
        <v>158</v>
      </c>
      <c r="C144" t="s">
        <v>24</v>
      </c>
      <c r="D144" s="3">
        <v>5.625</v>
      </c>
      <c r="E144" s="5">
        <f t="shared" si="14"/>
        <v>1784</v>
      </c>
      <c r="F144">
        <v>1.51735</v>
      </c>
      <c r="G144">
        <f t="shared" si="15"/>
        <v>-2.7677499999999999</v>
      </c>
      <c r="H144">
        <f t="shared" si="16"/>
        <v>-2.7677499999999999</v>
      </c>
      <c r="I144" s="5">
        <f t="shared" si="17"/>
        <v>1784</v>
      </c>
      <c r="J144">
        <f t="shared" si="18"/>
        <v>-2.1020925350920772</v>
      </c>
      <c r="K144">
        <f t="shared" si="19"/>
        <v>5.4137190847888732</v>
      </c>
      <c r="P144">
        <f t="shared" si="20"/>
        <v>0</v>
      </c>
    </row>
    <row r="145" spans="1:16" x14ac:dyDescent="0.25">
      <c r="A145" s="1"/>
      <c r="B145" t="s">
        <v>159</v>
      </c>
      <c r="C145" t="s">
        <v>24</v>
      </c>
      <c r="D145" s="3">
        <v>5.666666666666667</v>
      </c>
      <c r="E145" s="5">
        <f t="shared" si="14"/>
        <v>1785</v>
      </c>
      <c r="F145">
        <v>-0.55728999999999995</v>
      </c>
      <c r="G145">
        <f t="shared" si="15"/>
        <v>1.5596000000000001</v>
      </c>
      <c r="H145">
        <f t="shared" si="16"/>
        <v>1.5596000000000001</v>
      </c>
      <c r="I145" s="5">
        <f t="shared" si="17"/>
        <v>1785</v>
      </c>
      <c r="J145">
        <f t="shared" si="18"/>
        <v>0.91604650666689336</v>
      </c>
      <c r="K145">
        <f t="shared" si="19"/>
        <v>-5.134596228223165</v>
      </c>
      <c r="P145">
        <f t="shared" si="20"/>
        <v>0</v>
      </c>
    </row>
    <row r="146" spans="1:16" x14ac:dyDescent="0.25">
      <c r="A146" s="1"/>
      <c r="B146" t="s">
        <v>160</v>
      </c>
      <c r="C146" t="s">
        <v>24</v>
      </c>
      <c r="D146" s="3">
        <v>5.708333333333333</v>
      </c>
      <c r="E146" s="5">
        <f t="shared" si="14"/>
        <v>1786</v>
      </c>
      <c r="F146">
        <v>-1.07233</v>
      </c>
      <c r="G146">
        <f t="shared" si="15"/>
        <v>1.5132400000000001</v>
      </c>
      <c r="H146">
        <f t="shared" si="16"/>
        <v>1.5132400000000001</v>
      </c>
      <c r="I146" s="5">
        <f t="shared" si="17"/>
        <v>1786</v>
      </c>
      <c r="J146">
        <f t="shared" si="18"/>
        <v>0.32966277760496365</v>
      </c>
      <c r="K146">
        <f t="shared" si="19"/>
        <v>4.6581490433635935</v>
      </c>
      <c r="P146">
        <f t="shared" si="20"/>
        <v>1</v>
      </c>
    </row>
    <row r="147" spans="1:16" x14ac:dyDescent="0.25">
      <c r="A147" s="1"/>
      <c r="B147" t="s">
        <v>161</v>
      </c>
      <c r="C147" t="s">
        <v>24</v>
      </c>
      <c r="D147" s="3">
        <v>5.75</v>
      </c>
      <c r="E147" s="5">
        <f t="shared" si="14"/>
        <v>1787</v>
      </c>
      <c r="F147">
        <v>-7.4130000000000001E-2</v>
      </c>
      <c r="G147">
        <f t="shared" si="15"/>
        <v>-0.81238999999999995</v>
      </c>
      <c r="H147">
        <f t="shared" si="16"/>
        <v>-0.81238999999999995</v>
      </c>
      <c r="I147" s="5">
        <f t="shared" si="17"/>
        <v>1787</v>
      </c>
      <c r="J147">
        <f t="shared" si="18"/>
        <v>-0.82153952450782308</v>
      </c>
      <c r="K147">
        <f t="shared" si="19"/>
        <v>2.1943366991449187</v>
      </c>
      <c r="P147">
        <f t="shared" si="20"/>
        <v>0</v>
      </c>
    </row>
    <row r="148" spans="1:16" x14ac:dyDescent="0.25">
      <c r="A148" s="1"/>
      <c r="B148" t="s">
        <v>162</v>
      </c>
      <c r="C148" t="s">
        <v>24</v>
      </c>
      <c r="D148" s="3">
        <v>5.791666666666667</v>
      </c>
      <c r="E148" s="5">
        <f t="shared" si="14"/>
        <v>1788</v>
      </c>
      <c r="F148">
        <v>0.11168</v>
      </c>
      <c r="G148">
        <f t="shared" si="15"/>
        <v>-1.2239200000000001</v>
      </c>
      <c r="H148">
        <f t="shared" si="16"/>
        <v>-1.2239200000000001</v>
      </c>
      <c r="I148" s="5">
        <f t="shared" si="17"/>
        <v>1788</v>
      </c>
      <c r="J148">
        <f t="shared" si="18"/>
        <v>-1.1108278827496221</v>
      </c>
      <c r="K148">
        <f t="shared" si="19"/>
        <v>-4.4821456568633362</v>
      </c>
      <c r="P148">
        <f t="shared" si="20"/>
        <v>1</v>
      </c>
    </row>
    <row r="149" spans="1:16" x14ac:dyDescent="0.25">
      <c r="A149" s="1"/>
      <c r="B149" t="s">
        <v>163</v>
      </c>
      <c r="C149" t="s">
        <v>24</v>
      </c>
      <c r="D149" s="3">
        <v>5.833333333333333</v>
      </c>
      <c r="E149" s="5">
        <f t="shared" si="14"/>
        <v>1789</v>
      </c>
      <c r="F149">
        <v>-0.92642999999999998</v>
      </c>
      <c r="G149">
        <f t="shared" si="15"/>
        <v>0.5069800000000001</v>
      </c>
      <c r="H149">
        <f t="shared" si="16"/>
        <v>0.5069800000000001</v>
      </c>
      <c r="I149" s="5">
        <f t="shared" si="17"/>
        <v>1789</v>
      </c>
      <c r="J149">
        <f t="shared" si="18"/>
        <v>0.53692064504495463</v>
      </c>
      <c r="K149">
        <f t="shared" si="19"/>
        <v>5.2117933327559989</v>
      </c>
      <c r="P149">
        <f t="shared" si="20"/>
        <v>1</v>
      </c>
    </row>
    <row r="150" spans="1:16" x14ac:dyDescent="0.25">
      <c r="A150" s="1"/>
      <c r="B150" t="s">
        <v>164</v>
      </c>
      <c r="C150" t="s">
        <v>24</v>
      </c>
      <c r="D150" s="3">
        <v>5.875</v>
      </c>
      <c r="E150" s="5">
        <f t="shared" si="14"/>
        <v>1790</v>
      </c>
      <c r="F150">
        <v>-1.45756</v>
      </c>
      <c r="G150">
        <f t="shared" si="15"/>
        <v>3.2947699999999998</v>
      </c>
      <c r="H150">
        <f t="shared" si="16"/>
        <v>3.2947699999999998</v>
      </c>
      <c r="I150" s="5">
        <f t="shared" si="17"/>
        <v>1790</v>
      </c>
      <c r="J150">
        <f t="shared" si="18"/>
        <v>2.2261180030096575</v>
      </c>
      <c r="K150">
        <f t="shared" si="19"/>
        <v>-4.874380942363354</v>
      </c>
      <c r="P150">
        <f t="shared" si="20"/>
        <v>0</v>
      </c>
    </row>
    <row r="151" spans="1:16" x14ac:dyDescent="0.25">
      <c r="A151" s="1"/>
      <c r="B151" t="s">
        <v>165</v>
      </c>
      <c r="C151" t="s">
        <v>24</v>
      </c>
      <c r="D151" s="3">
        <v>5.916666666666667</v>
      </c>
      <c r="E151" s="5">
        <f t="shared" si="14"/>
        <v>1791</v>
      </c>
      <c r="F151">
        <v>1.3060799999999999</v>
      </c>
      <c r="G151">
        <f t="shared" si="15"/>
        <v>-1.8857299999999995</v>
      </c>
      <c r="H151">
        <f t="shared" si="16"/>
        <v>-1.8857299999999995</v>
      </c>
      <c r="I151" s="5">
        <f t="shared" si="17"/>
        <v>1791</v>
      </c>
      <c r="J151">
        <f t="shared" si="18"/>
        <v>-2.2038665522963341</v>
      </c>
      <c r="K151">
        <f t="shared" si="19"/>
        <v>4.5152417187258678</v>
      </c>
      <c r="P151">
        <f t="shared" si="20"/>
        <v>0</v>
      </c>
    </row>
    <row r="152" spans="1:16" x14ac:dyDescent="0.25">
      <c r="A152" s="1"/>
      <c r="B152" t="s">
        <v>166</v>
      </c>
      <c r="C152" t="s">
        <v>24</v>
      </c>
      <c r="D152" s="3">
        <v>5.958333333333333</v>
      </c>
      <c r="E152" s="5">
        <f t="shared" si="14"/>
        <v>1792</v>
      </c>
      <c r="F152">
        <v>2.1839900000000001</v>
      </c>
      <c r="G152">
        <f t="shared" si="15"/>
        <v>-1.3871000000000002</v>
      </c>
      <c r="H152">
        <f t="shared" si="16"/>
        <v>-1.3871000000000002</v>
      </c>
      <c r="I152" s="5">
        <f t="shared" si="17"/>
        <v>1792</v>
      </c>
      <c r="J152">
        <f t="shared" si="18"/>
        <v>-0.74487472136859134</v>
      </c>
      <c r="K152">
        <f t="shared" si="19"/>
        <v>-6.1254741163537583</v>
      </c>
      <c r="P152">
        <f t="shared" si="20"/>
        <v>1</v>
      </c>
    </row>
    <row r="153" spans="1:16" x14ac:dyDescent="0.25">
      <c r="A153" s="1"/>
      <c r="B153" t="s">
        <v>167</v>
      </c>
      <c r="C153" t="s">
        <v>24</v>
      </c>
      <c r="D153" s="3">
        <v>6</v>
      </c>
      <c r="E153" s="5">
        <f t="shared" si="14"/>
        <v>1793</v>
      </c>
      <c r="F153">
        <v>1.6748000000000001</v>
      </c>
      <c r="G153">
        <f t="shared" si="15"/>
        <v>-0.90332000000000012</v>
      </c>
      <c r="H153">
        <f t="shared" si="16"/>
        <v>-0.90332000000000012</v>
      </c>
      <c r="I153" s="5">
        <f t="shared" si="17"/>
        <v>1793</v>
      </c>
      <c r="J153">
        <f t="shared" si="18"/>
        <v>0.50785030756878125</v>
      </c>
      <c r="K153">
        <f t="shared" si="19"/>
        <v>0.89313242335501575</v>
      </c>
      <c r="P153">
        <f t="shared" si="20"/>
        <v>1</v>
      </c>
    </row>
    <row r="154" spans="1:16" x14ac:dyDescent="0.25">
      <c r="A154" s="1"/>
      <c r="B154" t="s">
        <v>168</v>
      </c>
      <c r="C154" t="s">
        <v>24</v>
      </c>
      <c r="D154" s="3">
        <v>6.041666666666667</v>
      </c>
      <c r="E154" s="5">
        <f t="shared" si="14"/>
        <v>1794</v>
      </c>
      <c r="F154">
        <v>0.26229000000000002</v>
      </c>
      <c r="G154">
        <f t="shared" si="15"/>
        <v>1.7649700000000001</v>
      </c>
      <c r="H154">
        <f t="shared" si="16"/>
        <v>1.7649700000000001</v>
      </c>
      <c r="I154" s="5">
        <f t="shared" si="17"/>
        <v>1794</v>
      </c>
      <c r="J154">
        <f t="shared" si="18"/>
        <v>1.7492528466297148</v>
      </c>
      <c r="K154">
        <f t="shared" si="19"/>
        <v>3.0207920026368065</v>
      </c>
      <c r="P154">
        <f t="shared" si="20"/>
        <v>1</v>
      </c>
    </row>
    <row r="155" spans="1:16" x14ac:dyDescent="0.25">
      <c r="A155" s="1"/>
      <c r="B155" t="s">
        <v>169</v>
      </c>
      <c r="C155" t="s">
        <v>24</v>
      </c>
      <c r="D155" s="3">
        <v>6.083333333333333</v>
      </c>
      <c r="E155" s="5">
        <f t="shared" si="14"/>
        <v>1795</v>
      </c>
      <c r="F155">
        <v>0.61475000000000002</v>
      </c>
      <c r="G155">
        <f t="shared" si="15"/>
        <v>-0.77715000000000001</v>
      </c>
      <c r="H155">
        <f t="shared" si="16"/>
        <v>-0.77715000000000001</v>
      </c>
      <c r="I155" s="5">
        <f t="shared" si="17"/>
        <v>1795</v>
      </c>
      <c r="J155">
        <f t="shared" si="18"/>
        <v>-6.0914263450478082E-2</v>
      </c>
      <c r="K155">
        <f t="shared" si="19"/>
        <v>-4.7588596965436567</v>
      </c>
      <c r="P155">
        <f t="shared" si="20"/>
        <v>1</v>
      </c>
    </row>
    <row r="156" spans="1:16" x14ac:dyDescent="0.25">
      <c r="A156" s="1"/>
      <c r="B156" t="s">
        <v>170</v>
      </c>
      <c r="C156" t="s">
        <v>24</v>
      </c>
      <c r="D156" s="3">
        <v>6.125</v>
      </c>
      <c r="E156" s="5">
        <f t="shared" si="14"/>
        <v>1796</v>
      </c>
      <c r="F156">
        <v>0.19006000000000001</v>
      </c>
      <c r="G156">
        <f t="shared" si="15"/>
        <v>-0.57364000000000004</v>
      </c>
      <c r="H156">
        <f t="shared" si="16"/>
        <v>-0.57364000000000004</v>
      </c>
      <c r="I156" s="5">
        <f t="shared" si="17"/>
        <v>1796</v>
      </c>
      <c r="J156">
        <f t="shared" si="18"/>
        <v>-0.51761121330521376</v>
      </c>
      <c r="K156">
        <f t="shared" si="19"/>
        <v>4.3339542190848972</v>
      </c>
      <c r="P156">
        <f t="shared" si="20"/>
        <v>0</v>
      </c>
    </row>
    <row r="157" spans="1:16" x14ac:dyDescent="0.25">
      <c r="A157" s="1"/>
      <c r="B157" t="s">
        <v>171</v>
      </c>
      <c r="C157" t="s">
        <v>24</v>
      </c>
      <c r="D157" s="3">
        <v>6.166666666666667</v>
      </c>
      <c r="E157" s="5">
        <f t="shared" si="14"/>
        <v>1797</v>
      </c>
      <c r="F157">
        <v>-0.80827000000000004</v>
      </c>
      <c r="G157">
        <f t="shared" si="15"/>
        <v>0.9987100000000001</v>
      </c>
      <c r="H157">
        <f t="shared" si="16"/>
        <v>0.9987100000000001</v>
      </c>
      <c r="I157" s="5">
        <f t="shared" si="17"/>
        <v>1797</v>
      </c>
      <c r="J157">
        <f t="shared" si="18"/>
        <v>-0.15599500022153556</v>
      </c>
      <c r="K157">
        <f t="shared" si="19"/>
        <v>-3.5357728531771957</v>
      </c>
      <c r="P157">
        <f t="shared" si="20"/>
        <v>1</v>
      </c>
    </row>
    <row r="158" spans="1:16" x14ac:dyDescent="0.25">
      <c r="A158" s="1"/>
      <c r="B158" t="s">
        <v>172</v>
      </c>
      <c r="C158" t="s">
        <v>24</v>
      </c>
      <c r="D158" s="3">
        <v>6.208333333333333</v>
      </c>
      <c r="E158" s="5">
        <f t="shared" si="14"/>
        <v>1798</v>
      </c>
      <c r="F158">
        <v>-0.80789</v>
      </c>
      <c r="G158">
        <f t="shared" si="15"/>
        <v>1.6793199999999999</v>
      </c>
      <c r="H158">
        <f t="shared" si="16"/>
        <v>1.6793199999999999</v>
      </c>
      <c r="I158" s="5">
        <f t="shared" si="17"/>
        <v>1798</v>
      </c>
      <c r="J158">
        <f t="shared" si="18"/>
        <v>1.2549657133218859</v>
      </c>
      <c r="K158">
        <f t="shared" si="19"/>
        <v>6.0166232521625425</v>
      </c>
      <c r="P158">
        <f t="shared" si="20"/>
        <v>1</v>
      </c>
    </row>
    <row r="159" spans="1:16" x14ac:dyDescent="0.25">
      <c r="A159" s="1"/>
      <c r="B159" t="s">
        <v>173</v>
      </c>
      <c r="C159" t="s">
        <v>24</v>
      </c>
      <c r="D159" s="3">
        <v>6.25</v>
      </c>
      <c r="E159" s="5">
        <f t="shared" si="14"/>
        <v>1799</v>
      </c>
      <c r="F159">
        <v>0.87180999999999997</v>
      </c>
      <c r="G159">
        <f t="shared" si="15"/>
        <v>-1.5446</v>
      </c>
      <c r="H159">
        <f t="shared" si="16"/>
        <v>-1.5446</v>
      </c>
      <c r="I159" s="5">
        <f t="shared" si="17"/>
        <v>1799</v>
      </c>
      <c r="J159">
        <f t="shared" si="18"/>
        <v>-1.0825408575738353</v>
      </c>
      <c r="K159">
        <f t="shared" si="19"/>
        <v>-3.6429906340774645</v>
      </c>
      <c r="P159">
        <f t="shared" si="20"/>
        <v>1</v>
      </c>
    </row>
    <row r="160" spans="1:16" x14ac:dyDescent="0.25">
      <c r="A160" s="1"/>
      <c r="B160" t="s">
        <v>174</v>
      </c>
      <c r="C160" t="s">
        <v>24</v>
      </c>
      <c r="D160" s="3">
        <v>6.291666666666667</v>
      </c>
      <c r="E160" s="5">
        <f t="shared" si="14"/>
        <v>1800</v>
      </c>
      <c r="F160">
        <v>1.00691</v>
      </c>
      <c r="G160">
        <f t="shared" si="15"/>
        <v>-2.2700099999999996</v>
      </c>
      <c r="H160">
        <f t="shared" si="16"/>
        <v>-2.2700099999999996</v>
      </c>
      <c r="I160" s="5">
        <f t="shared" si="17"/>
        <v>1800</v>
      </c>
      <c r="J160">
        <f t="shared" si="18"/>
        <v>-1.0605893029176534</v>
      </c>
      <c r="K160">
        <f t="shared" si="19"/>
        <v>-0.68080819241091639</v>
      </c>
      <c r="P160">
        <f t="shared" si="20"/>
        <v>1</v>
      </c>
    </row>
    <row r="161" spans="1:16" x14ac:dyDescent="0.25">
      <c r="A161" s="1"/>
      <c r="B161" t="s">
        <v>175</v>
      </c>
      <c r="C161" t="s">
        <v>24</v>
      </c>
      <c r="D161" s="3">
        <v>6.333333333333333</v>
      </c>
      <c r="E161" s="5">
        <f t="shared" si="14"/>
        <v>1801</v>
      </c>
      <c r="F161">
        <v>-1.1279999999999999</v>
      </c>
      <c r="G161">
        <f t="shared" si="15"/>
        <v>2.4182199999999994</v>
      </c>
      <c r="H161">
        <f t="shared" si="16"/>
        <v>2.4182199999999994</v>
      </c>
      <c r="I161" s="5">
        <f t="shared" si="17"/>
        <v>1801</v>
      </c>
      <c r="J161">
        <f t="shared" si="18"/>
        <v>2.552537537662567</v>
      </c>
      <c r="K161">
        <f t="shared" si="19"/>
        <v>3.9255666892152394</v>
      </c>
      <c r="P161">
        <f t="shared" si="20"/>
        <v>1</v>
      </c>
    </row>
    <row r="162" spans="1:16" x14ac:dyDescent="0.25">
      <c r="A162" s="1"/>
      <c r="B162" t="s">
        <v>176</v>
      </c>
      <c r="C162" t="s">
        <v>24</v>
      </c>
      <c r="D162" s="3">
        <v>6.375</v>
      </c>
      <c r="E162" s="5">
        <f t="shared" si="14"/>
        <v>1802</v>
      </c>
      <c r="F162">
        <v>-0.84469000000000005</v>
      </c>
      <c r="G162">
        <f t="shared" si="15"/>
        <v>0.33026000000000022</v>
      </c>
      <c r="H162">
        <f t="shared" si="16"/>
        <v>0.33026000000000022</v>
      </c>
      <c r="I162" s="5">
        <f t="shared" si="17"/>
        <v>1802</v>
      </c>
      <c r="J162">
        <f t="shared" si="18"/>
        <v>-0.38222240280112468</v>
      </c>
      <c r="K162">
        <f t="shared" si="19"/>
        <v>-3.7632286412256204</v>
      </c>
      <c r="P162">
        <f t="shared" si="20"/>
        <v>1</v>
      </c>
    </row>
    <row r="163" spans="1:16" x14ac:dyDescent="0.25">
      <c r="A163" s="1"/>
      <c r="B163" t="s">
        <v>177</v>
      </c>
      <c r="C163" t="s">
        <v>24</v>
      </c>
      <c r="D163" s="3">
        <v>6.416666666666667</v>
      </c>
      <c r="E163" s="5">
        <f t="shared" si="14"/>
        <v>1803</v>
      </c>
      <c r="F163">
        <v>-0.23111999999999999</v>
      </c>
      <c r="G163">
        <f t="shared" si="15"/>
        <v>0.74812999999999985</v>
      </c>
      <c r="H163">
        <f t="shared" si="16"/>
        <v>0.74812999999999985</v>
      </c>
      <c r="I163" s="5">
        <f t="shared" si="17"/>
        <v>1803</v>
      </c>
      <c r="J163">
        <f t="shared" si="18"/>
        <v>0.83585790730934162</v>
      </c>
      <c r="K163">
        <f t="shared" si="19"/>
        <v>2.5574394212705909</v>
      </c>
      <c r="P163">
        <f t="shared" si="20"/>
        <v>1</v>
      </c>
    </row>
    <row r="164" spans="1:16" x14ac:dyDescent="0.25">
      <c r="A164" s="1"/>
      <c r="B164" t="s">
        <v>178</v>
      </c>
      <c r="C164" t="s">
        <v>24</v>
      </c>
      <c r="D164" s="3">
        <v>6.458333333333333</v>
      </c>
      <c r="E164" s="5">
        <f t="shared" si="14"/>
        <v>1804</v>
      </c>
      <c r="F164">
        <v>1.1305799999999999</v>
      </c>
      <c r="G164">
        <f t="shared" si="15"/>
        <v>-3.59389</v>
      </c>
      <c r="H164">
        <f t="shared" si="16"/>
        <v>-3.59389</v>
      </c>
      <c r="I164" s="5">
        <f t="shared" si="17"/>
        <v>1804</v>
      </c>
      <c r="J164">
        <f t="shared" si="18"/>
        <v>-2.7684022321540445</v>
      </c>
      <c r="K164">
        <f t="shared" si="19"/>
        <v>-4.793784314584383</v>
      </c>
      <c r="P164">
        <f t="shared" si="20"/>
        <v>1</v>
      </c>
    </row>
    <row r="165" spans="1:16" x14ac:dyDescent="0.25">
      <c r="A165" s="1"/>
      <c r="B165" t="s">
        <v>179</v>
      </c>
      <c r="C165" t="s">
        <v>24</v>
      </c>
      <c r="D165" s="3">
        <v>6.5</v>
      </c>
      <c r="E165" s="5">
        <f t="shared" si="14"/>
        <v>1805</v>
      </c>
      <c r="F165">
        <v>-1.10161</v>
      </c>
      <c r="G165">
        <f t="shared" si="15"/>
        <v>2.3978600000000001</v>
      </c>
      <c r="H165">
        <f t="shared" si="16"/>
        <v>2.3978600000000001</v>
      </c>
      <c r="I165" s="5">
        <f t="shared" si="17"/>
        <v>1805</v>
      </c>
      <c r="J165">
        <f t="shared" si="18"/>
        <v>2.1781865028392584</v>
      </c>
      <c r="K165">
        <f t="shared" si="19"/>
        <v>5.02272339579942</v>
      </c>
      <c r="P165">
        <f t="shared" si="20"/>
        <v>1</v>
      </c>
    </row>
    <row r="166" spans="1:16" x14ac:dyDescent="0.25">
      <c r="A166" s="1"/>
      <c r="B166" t="s">
        <v>180</v>
      </c>
      <c r="C166" t="s">
        <v>24</v>
      </c>
      <c r="D166" s="3">
        <v>6.541666666666667</v>
      </c>
      <c r="E166" s="5">
        <f t="shared" si="14"/>
        <v>1806</v>
      </c>
      <c r="F166">
        <v>-0.93593999999999999</v>
      </c>
      <c r="G166">
        <f t="shared" si="15"/>
        <v>1.1355599999999999</v>
      </c>
      <c r="H166">
        <f t="shared" si="16"/>
        <v>1.1355599999999999</v>
      </c>
      <c r="I166" s="5">
        <f t="shared" si="17"/>
        <v>1806</v>
      </c>
      <c r="J166">
        <f t="shared" si="18"/>
        <v>1.1596208640142158</v>
      </c>
      <c r="K166">
        <f t="shared" si="19"/>
        <v>-2.2192218122860314</v>
      </c>
      <c r="P166">
        <f t="shared" si="20"/>
        <v>0</v>
      </c>
    </row>
    <row r="167" spans="1:16" x14ac:dyDescent="0.25">
      <c r="A167" s="1"/>
      <c r="B167" t="s">
        <v>181</v>
      </c>
      <c r="C167" t="s">
        <v>24</v>
      </c>
      <c r="D167" s="3">
        <v>6.583333333333333</v>
      </c>
      <c r="E167" s="5">
        <f t="shared" si="14"/>
        <v>1807</v>
      </c>
      <c r="F167">
        <v>0.36529</v>
      </c>
      <c r="G167">
        <f t="shared" si="15"/>
        <v>-2.5386899999999999</v>
      </c>
      <c r="H167">
        <f t="shared" si="16"/>
        <v>-2.5386899999999999</v>
      </c>
      <c r="I167" s="5">
        <f t="shared" si="17"/>
        <v>1807</v>
      </c>
      <c r="J167">
        <f t="shared" si="18"/>
        <v>-2.0911806543038458</v>
      </c>
      <c r="K167">
        <f t="shared" si="19"/>
        <v>-2.5270162608402984</v>
      </c>
      <c r="P167">
        <f t="shared" si="20"/>
        <v>1</v>
      </c>
    </row>
    <row r="168" spans="1:16" x14ac:dyDescent="0.25">
      <c r="A168" s="1"/>
      <c r="B168" t="s">
        <v>182</v>
      </c>
      <c r="C168" t="s">
        <v>24</v>
      </c>
      <c r="D168" s="3">
        <v>6.625</v>
      </c>
      <c r="E168" s="5">
        <f t="shared" si="14"/>
        <v>1808</v>
      </c>
      <c r="F168">
        <v>-0.87217</v>
      </c>
      <c r="G168">
        <f t="shared" si="15"/>
        <v>1.8944000000000001</v>
      </c>
      <c r="H168">
        <f t="shared" si="16"/>
        <v>1.8944000000000001</v>
      </c>
      <c r="I168" s="5">
        <f t="shared" si="17"/>
        <v>1808</v>
      </c>
      <c r="J168">
        <f t="shared" si="18"/>
        <v>1.719344841983407</v>
      </c>
      <c r="K168">
        <f t="shared" si="19"/>
        <v>3.0643471113610654</v>
      </c>
      <c r="P168">
        <f t="shared" si="20"/>
        <v>1</v>
      </c>
    </row>
    <row r="169" spans="1:16" x14ac:dyDescent="0.25">
      <c r="A169" s="1"/>
      <c r="B169" t="s">
        <v>183</v>
      </c>
      <c r="C169" t="s">
        <v>24</v>
      </c>
      <c r="D169" s="3">
        <v>6.666666666666667</v>
      </c>
      <c r="E169" s="5">
        <f t="shared" si="14"/>
        <v>1809</v>
      </c>
      <c r="F169">
        <v>-0.21523</v>
      </c>
      <c r="G169">
        <f t="shared" si="15"/>
        <v>-0.44238</v>
      </c>
      <c r="H169">
        <f t="shared" si="16"/>
        <v>-0.44238</v>
      </c>
      <c r="I169" s="5">
        <f t="shared" si="17"/>
        <v>1809</v>
      </c>
      <c r="J169">
        <f t="shared" si="18"/>
        <v>-0.75980134534866306</v>
      </c>
      <c r="K169">
        <f t="shared" si="19"/>
        <v>-1.72444567412948</v>
      </c>
      <c r="P169">
        <f t="shared" si="20"/>
        <v>1</v>
      </c>
    </row>
    <row r="170" spans="1:16" x14ac:dyDescent="0.25">
      <c r="A170" s="1"/>
      <c r="B170" t="s">
        <v>184</v>
      </c>
      <c r="C170" t="s">
        <v>24</v>
      </c>
      <c r="D170" s="3">
        <v>6.708333333333333</v>
      </c>
      <c r="E170" s="5">
        <f t="shared" si="14"/>
        <v>1810</v>
      </c>
      <c r="F170">
        <v>-6.7000000000000002E-4</v>
      </c>
      <c r="G170">
        <f t="shared" si="15"/>
        <v>-0.71382000000000001</v>
      </c>
      <c r="H170">
        <f t="shared" si="16"/>
        <v>-0.71382000000000001</v>
      </c>
      <c r="I170" s="5">
        <f t="shared" si="17"/>
        <v>1810</v>
      </c>
      <c r="J170">
        <f t="shared" si="18"/>
        <v>-0.71401703941200567</v>
      </c>
      <c r="K170">
        <f t="shared" si="19"/>
        <v>3.1406648442257188</v>
      </c>
      <c r="P170">
        <f t="shared" si="20"/>
        <v>0</v>
      </c>
    </row>
    <row r="171" spans="1:16" x14ac:dyDescent="0.25">
      <c r="A171" s="1"/>
      <c r="B171" t="s">
        <v>185</v>
      </c>
      <c r="C171" t="s">
        <v>24</v>
      </c>
      <c r="D171" s="3">
        <v>6.75</v>
      </c>
      <c r="E171" s="5">
        <f t="shared" si="14"/>
        <v>1811</v>
      </c>
      <c r="F171">
        <v>-0.49992999999999999</v>
      </c>
      <c r="G171">
        <f t="shared" si="15"/>
        <v>0.46398</v>
      </c>
      <c r="H171">
        <f t="shared" si="16"/>
        <v>0.46398</v>
      </c>
      <c r="I171" s="5">
        <f t="shared" si="17"/>
        <v>1811</v>
      </c>
      <c r="J171">
        <f t="shared" si="18"/>
        <v>-0.13695844088198483</v>
      </c>
      <c r="K171">
        <f t="shared" si="19"/>
        <v>-4.6489826208711609</v>
      </c>
      <c r="P171">
        <f t="shared" si="20"/>
        <v>1</v>
      </c>
    </row>
    <row r="172" spans="1:16" x14ac:dyDescent="0.25">
      <c r="A172" s="1"/>
      <c r="B172" t="s">
        <v>186</v>
      </c>
      <c r="C172" t="s">
        <v>24</v>
      </c>
      <c r="D172" s="3">
        <v>6.791666666666667</v>
      </c>
      <c r="E172" s="5">
        <f t="shared" si="14"/>
        <v>1812</v>
      </c>
      <c r="F172">
        <v>-0.53520999999999996</v>
      </c>
      <c r="G172">
        <f t="shared" si="15"/>
        <v>-0.15298</v>
      </c>
      <c r="H172">
        <f t="shared" si="16"/>
        <v>-0.15298</v>
      </c>
      <c r="I172" s="5">
        <f t="shared" si="17"/>
        <v>1812</v>
      </c>
      <c r="J172">
        <f t="shared" si="18"/>
        <v>-0.62336042510890144</v>
      </c>
      <c r="K172">
        <f t="shared" si="19"/>
        <v>4.833086153335663</v>
      </c>
      <c r="P172">
        <f t="shared" si="20"/>
        <v>0</v>
      </c>
    </row>
    <row r="173" spans="1:16" x14ac:dyDescent="0.25">
      <c r="A173" s="1"/>
      <c r="B173" t="s">
        <v>187</v>
      </c>
      <c r="C173" t="s">
        <v>24</v>
      </c>
      <c r="D173" s="3">
        <v>6.833333333333333</v>
      </c>
      <c r="E173" s="5">
        <f t="shared" si="14"/>
        <v>1813</v>
      </c>
      <c r="F173">
        <v>-0.72346999999999995</v>
      </c>
      <c r="G173">
        <f t="shared" si="15"/>
        <v>1.4404699999999999</v>
      </c>
      <c r="H173">
        <f t="shared" si="16"/>
        <v>1.4404699999999999</v>
      </c>
      <c r="I173" s="5">
        <f t="shared" si="17"/>
        <v>1813</v>
      </c>
      <c r="J173">
        <f t="shared" si="18"/>
        <v>1.5038727087190198</v>
      </c>
      <c r="K173">
        <f t="shared" si="19"/>
        <v>0.48170783886214374</v>
      </c>
      <c r="P173">
        <f t="shared" si="20"/>
        <v>1</v>
      </c>
    </row>
    <row r="174" spans="1:16" x14ac:dyDescent="0.25">
      <c r="A174" s="1"/>
      <c r="B174" t="s">
        <v>188</v>
      </c>
      <c r="C174" t="s">
        <v>24</v>
      </c>
      <c r="D174" s="3">
        <v>6.875</v>
      </c>
      <c r="E174" s="5">
        <f t="shared" si="14"/>
        <v>1814</v>
      </c>
      <c r="F174">
        <v>0.52873999999999999</v>
      </c>
      <c r="G174">
        <f t="shared" si="15"/>
        <v>-0.60739999999999972</v>
      </c>
      <c r="H174">
        <f t="shared" si="16"/>
        <v>-0.60739999999999972</v>
      </c>
      <c r="I174" s="5">
        <f t="shared" si="17"/>
        <v>1814</v>
      </c>
      <c r="J174">
        <f t="shared" si="18"/>
        <v>-0.11908880619102785</v>
      </c>
      <c r="K174">
        <f t="shared" si="19"/>
        <v>-2.1034871430914306</v>
      </c>
      <c r="P174">
        <f t="shared" si="20"/>
        <v>1</v>
      </c>
    </row>
    <row r="175" spans="1:16" x14ac:dyDescent="0.25">
      <c r="A175" s="1"/>
      <c r="B175" t="s">
        <v>189</v>
      </c>
      <c r="C175" t="s">
        <v>24</v>
      </c>
      <c r="D175" s="3">
        <v>6.916666666666667</v>
      </c>
      <c r="E175" s="5">
        <f t="shared" si="14"/>
        <v>1815</v>
      </c>
      <c r="F175">
        <v>1.1735500000000001</v>
      </c>
      <c r="G175">
        <f t="shared" si="15"/>
        <v>-0.10818000000000016</v>
      </c>
      <c r="H175">
        <f t="shared" si="16"/>
        <v>-0.10818000000000016</v>
      </c>
      <c r="I175" s="5">
        <f t="shared" si="17"/>
        <v>1815</v>
      </c>
      <c r="J175">
        <f t="shared" si="18"/>
        <v>-0.54872288783197809</v>
      </c>
      <c r="K175">
        <f t="shared" si="19"/>
        <v>1.0224949327457418</v>
      </c>
      <c r="P175">
        <f t="shared" si="20"/>
        <v>0</v>
      </c>
    </row>
    <row r="176" spans="1:16" x14ac:dyDescent="0.25">
      <c r="A176" s="1"/>
      <c r="B176" t="s">
        <v>190</v>
      </c>
      <c r="C176" t="s">
        <v>24</v>
      </c>
      <c r="D176" s="3">
        <v>6.958333333333333</v>
      </c>
      <c r="E176" s="5">
        <f t="shared" si="14"/>
        <v>1816</v>
      </c>
      <c r="F176">
        <v>1.71018</v>
      </c>
      <c r="G176">
        <f t="shared" si="15"/>
        <v>-1.95078</v>
      </c>
      <c r="H176">
        <f t="shared" si="16"/>
        <v>-1.95078</v>
      </c>
      <c r="I176" s="5">
        <f t="shared" si="17"/>
        <v>1816</v>
      </c>
      <c r="J176">
        <f t="shared" si="18"/>
        <v>-0.59896241035208331</v>
      </c>
      <c r="K176">
        <f t="shared" si="19"/>
        <v>-1.5664707828074471</v>
      </c>
      <c r="P176">
        <f t="shared" si="20"/>
        <v>1</v>
      </c>
    </row>
    <row r="177" spans="1:16" x14ac:dyDescent="0.25">
      <c r="A177" s="1"/>
      <c r="B177" t="s">
        <v>191</v>
      </c>
      <c r="C177" t="s">
        <v>24</v>
      </c>
      <c r="D177" s="3">
        <v>7</v>
      </c>
      <c r="E177" s="5">
        <f t="shared" si="14"/>
        <v>1817</v>
      </c>
      <c r="F177">
        <v>0.29603000000000002</v>
      </c>
      <c r="G177">
        <f t="shared" si="15"/>
        <v>-8.0999999999999961E-3</v>
      </c>
      <c r="H177">
        <f t="shared" si="16"/>
        <v>-8.0999999999999961E-3</v>
      </c>
      <c r="I177" s="5">
        <f t="shared" si="17"/>
        <v>1817</v>
      </c>
      <c r="J177">
        <f t="shared" si="18"/>
        <v>-9.6518331615079861E-2</v>
      </c>
      <c r="K177">
        <f t="shared" si="19"/>
        <v>2.9520631349293751</v>
      </c>
      <c r="P177">
        <f t="shared" si="20"/>
        <v>0</v>
      </c>
    </row>
    <row r="178" spans="1:16" x14ac:dyDescent="0.25">
      <c r="A178" s="1"/>
      <c r="B178" t="s">
        <v>192</v>
      </c>
      <c r="C178" t="s">
        <v>24</v>
      </c>
      <c r="D178" s="3">
        <v>7.041666666666667</v>
      </c>
      <c r="E178" s="5">
        <f t="shared" si="14"/>
        <v>1818</v>
      </c>
      <c r="F178">
        <v>-1.12622</v>
      </c>
      <c r="G178">
        <f t="shared" si="15"/>
        <v>1.1086400000000001</v>
      </c>
      <c r="H178">
        <f t="shared" si="16"/>
        <v>1.1086400000000001</v>
      </c>
      <c r="I178" s="5">
        <f t="shared" si="17"/>
        <v>1818</v>
      </c>
      <c r="J178">
        <f t="shared" si="18"/>
        <v>0.51791278685477704</v>
      </c>
      <c r="K178">
        <f t="shared" si="19"/>
        <v>-6.1430834460569903</v>
      </c>
      <c r="P178">
        <f t="shared" si="20"/>
        <v>0</v>
      </c>
    </row>
    <row r="179" spans="1:16" x14ac:dyDescent="0.25">
      <c r="A179" s="1"/>
      <c r="B179" t="s">
        <v>193</v>
      </c>
      <c r="C179" t="s">
        <v>24</v>
      </c>
      <c r="D179" s="3">
        <v>7.083333333333333</v>
      </c>
      <c r="E179" s="5">
        <f t="shared" si="14"/>
        <v>1819</v>
      </c>
      <c r="F179">
        <v>-1.4398299999999999</v>
      </c>
      <c r="G179">
        <f t="shared" si="15"/>
        <v>-0.21862000000000004</v>
      </c>
      <c r="H179">
        <f t="shared" si="16"/>
        <v>-0.21862000000000004</v>
      </c>
      <c r="I179" s="5">
        <f t="shared" si="17"/>
        <v>1819</v>
      </c>
      <c r="J179">
        <f t="shared" si="18"/>
        <v>-1.6819565662043059</v>
      </c>
      <c r="K179">
        <f t="shared" si="19"/>
        <v>1.98601503905744</v>
      </c>
      <c r="P179">
        <f t="shared" si="20"/>
        <v>0</v>
      </c>
    </row>
    <row r="180" spans="1:16" x14ac:dyDescent="0.25">
      <c r="A180" s="1"/>
      <c r="B180" t="s">
        <v>194</v>
      </c>
      <c r="C180" t="s">
        <v>24</v>
      </c>
      <c r="D180" s="3">
        <v>7.125</v>
      </c>
      <c r="E180" s="5">
        <f t="shared" si="14"/>
        <v>1820</v>
      </c>
      <c r="F180">
        <v>-1.9720599999999999</v>
      </c>
      <c r="G180">
        <f t="shared" si="15"/>
        <v>2.8971200000000001</v>
      </c>
      <c r="H180">
        <f t="shared" si="16"/>
        <v>2.8971200000000001</v>
      </c>
      <c r="I180" s="5">
        <f t="shared" si="17"/>
        <v>1820</v>
      </c>
      <c r="J180">
        <f t="shared" si="18"/>
        <v>2.5956233959560184</v>
      </c>
      <c r="K180">
        <f t="shared" si="19"/>
        <v>0.74912345628724197</v>
      </c>
      <c r="P180">
        <f t="shared" si="20"/>
        <v>1</v>
      </c>
    </row>
    <row r="181" spans="1:16" x14ac:dyDescent="0.25">
      <c r="A181" s="1"/>
      <c r="B181" t="s">
        <v>195</v>
      </c>
      <c r="C181" t="s">
        <v>24</v>
      </c>
      <c r="D181" s="3">
        <v>7.166666666666667</v>
      </c>
      <c r="E181" s="5">
        <f t="shared" si="14"/>
        <v>1821</v>
      </c>
      <c r="F181">
        <v>0.39283000000000001</v>
      </c>
      <c r="G181">
        <f t="shared" si="15"/>
        <v>-3.3246099999999998</v>
      </c>
      <c r="H181">
        <f t="shared" si="16"/>
        <v>-3.3246099999999998</v>
      </c>
      <c r="I181" s="5">
        <f t="shared" si="17"/>
        <v>1821</v>
      </c>
      <c r="J181">
        <f t="shared" si="18"/>
        <v>-2.7585328247926335</v>
      </c>
      <c r="K181">
        <f t="shared" si="19"/>
        <v>-0.35138938657307134</v>
      </c>
      <c r="P181">
        <f t="shared" si="20"/>
        <v>1</v>
      </c>
    </row>
    <row r="182" spans="1:16" x14ac:dyDescent="0.25">
      <c r="A182" s="1"/>
      <c r="B182" t="s">
        <v>196</v>
      </c>
      <c r="C182" t="s">
        <v>24</v>
      </c>
      <c r="D182" s="3">
        <v>7.208333333333333</v>
      </c>
      <c r="E182" s="5">
        <f t="shared" si="14"/>
        <v>1822</v>
      </c>
      <c r="F182">
        <v>-0.56689000000000001</v>
      </c>
      <c r="G182">
        <f t="shared" si="15"/>
        <v>0.88999000000000006</v>
      </c>
      <c r="H182">
        <f t="shared" si="16"/>
        <v>0.88999000000000006</v>
      </c>
      <c r="I182" s="5">
        <f t="shared" si="17"/>
        <v>1822</v>
      </c>
      <c r="J182">
        <f t="shared" si="18"/>
        <v>0.7009148369248952</v>
      </c>
      <c r="K182">
        <f t="shared" si="19"/>
        <v>0.29126004672220712</v>
      </c>
      <c r="P182">
        <f t="shared" si="20"/>
        <v>1</v>
      </c>
    </row>
    <row r="183" spans="1:16" x14ac:dyDescent="0.25">
      <c r="A183" s="1"/>
      <c r="B183" t="s">
        <v>197</v>
      </c>
      <c r="C183" t="s">
        <v>24</v>
      </c>
      <c r="D183" s="3">
        <v>7.25</v>
      </c>
      <c r="E183" s="5">
        <f t="shared" si="14"/>
        <v>1823</v>
      </c>
      <c r="F183">
        <v>-0.63661999999999996</v>
      </c>
      <c r="G183">
        <f t="shared" si="15"/>
        <v>0.91339999999999988</v>
      </c>
      <c r="H183">
        <f t="shared" si="16"/>
        <v>0.91339999999999988</v>
      </c>
      <c r="I183" s="5">
        <f t="shared" si="17"/>
        <v>1823</v>
      </c>
      <c r="J183">
        <f t="shared" si="18"/>
        <v>-1.278225259960325E-3</v>
      </c>
      <c r="K183">
        <f t="shared" si="19"/>
        <v>-0.75157466715179089</v>
      </c>
      <c r="P183">
        <f t="shared" si="20"/>
        <v>1</v>
      </c>
    </row>
    <row r="184" spans="1:16" x14ac:dyDescent="0.25">
      <c r="A184" s="1"/>
      <c r="B184" t="s">
        <v>198</v>
      </c>
      <c r="C184" t="s">
        <v>24</v>
      </c>
      <c r="D184" s="3">
        <v>7.291666666666667</v>
      </c>
      <c r="E184" s="5">
        <f t="shared" si="14"/>
        <v>1824</v>
      </c>
      <c r="F184">
        <v>0.20705000000000001</v>
      </c>
      <c r="G184">
        <f t="shared" si="15"/>
        <v>-0.43204999999999988</v>
      </c>
      <c r="H184">
        <f t="shared" si="16"/>
        <v>-0.43204999999999988</v>
      </c>
      <c r="I184" s="5">
        <f t="shared" si="17"/>
        <v>1824</v>
      </c>
      <c r="J184">
        <f t="shared" si="18"/>
        <v>-0.3719768270060036</v>
      </c>
      <c r="K184">
        <f t="shared" si="19"/>
        <v>5.6177123508817628</v>
      </c>
      <c r="P184">
        <f t="shared" si="20"/>
        <v>0</v>
      </c>
    </row>
    <row r="185" spans="1:16" x14ac:dyDescent="0.25">
      <c r="A185" s="1"/>
      <c r="B185" t="s">
        <v>199</v>
      </c>
      <c r="C185" t="s">
        <v>24</v>
      </c>
      <c r="D185" s="3">
        <v>7.333333333333333</v>
      </c>
      <c r="E185" s="5">
        <f t="shared" si="14"/>
        <v>1825</v>
      </c>
      <c r="F185">
        <v>0.61867000000000005</v>
      </c>
      <c r="G185">
        <f t="shared" si="15"/>
        <v>-1.02498</v>
      </c>
      <c r="H185">
        <f t="shared" si="16"/>
        <v>-1.02498</v>
      </c>
      <c r="I185" s="5">
        <f t="shared" si="17"/>
        <v>1825</v>
      </c>
      <c r="J185">
        <f t="shared" si="18"/>
        <v>-0.80421409106262365</v>
      </c>
      <c r="K185">
        <f t="shared" si="19"/>
        <v>-4.2132068481628222</v>
      </c>
      <c r="P185">
        <f t="shared" si="20"/>
        <v>1</v>
      </c>
    </row>
    <row r="186" spans="1:16" x14ac:dyDescent="0.25">
      <c r="A186" s="1"/>
      <c r="B186" t="s">
        <v>200</v>
      </c>
      <c r="C186" t="s">
        <v>24</v>
      </c>
      <c r="D186" s="3">
        <v>7.375</v>
      </c>
      <c r="E186" s="5">
        <f t="shared" si="14"/>
        <v>1826</v>
      </c>
      <c r="F186">
        <v>5.3099999999999996E-3</v>
      </c>
      <c r="G186">
        <f t="shared" si="15"/>
        <v>1.6189200000000001</v>
      </c>
      <c r="H186">
        <f t="shared" si="16"/>
        <v>1.6189200000000001</v>
      </c>
      <c r="I186" s="5">
        <f t="shared" si="17"/>
        <v>1826</v>
      </c>
      <c r="J186">
        <f t="shared" si="18"/>
        <v>1.6236806862472408</v>
      </c>
      <c r="K186">
        <f t="shared" si="19"/>
        <v>1.0496745892834516</v>
      </c>
      <c r="P186">
        <f t="shared" si="20"/>
        <v>1</v>
      </c>
    </row>
    <row r="187" spans="1:16" x14ac:dyDescent="0.25">
      <c r="A187" s="1"/>
      <c r="B187" t="s">
        <v>201</v>
      </c>
      <c r="C187" t="s">
        <v>24</v>
      </c>
      <c r="D187" s="3">
        <v>7.416666666666667</v>
      </c>
      <c r="E187" s="5">
        <f t="shared" si="14"/>
        <v>1827</v>
      </c>
      <c r="F187">
        <v>1.0108699999999999</v>
      </c>
      <c r="G187">
        <f t="shared" si="15"/>
        <v>-0.80272999999999994</v>
      </c>
      <c r="H187">
        <f t="shared" si="16"/>
        <v>-0.80272999999999994</v>
      </c>
      <c r="I187" s="5">
        <f t="shared" si="17"/>
        <v>1827</v>
      </c>
      <c r="J187">
        <f t="shared" si="18"/>
        <v>-1.1208936920008197</v>
      </c>
      <c r="K187">
        <f t="shared" si="19"/>
        <v>-0.42041503347518772</v>
      </c>
      <c r="P187">
        <f t="shared" si="20"/>
        <v>1</v>
      </c>
    </row>
    <row r="188" spans="1:16" x14ac:dyDescent="0.25">
      <c r="A188" s="1"/>
      <c r="B188" t="s">
        <v>202</v>
      </c>
      <c r="C188" t="s">
        <v>24</v>
      </c>
      <c r="D188" s="3">
        <v>7.458333333333333</v>
      </c>
      <c r="E188" s="5">
        <f t="shared" si="14"/>
        <v>1828</v>
      </c>
      <c r="F188">
        <v>1.2137</v>
      </c>
      <c r="G188">
        <f t="shared" si="15"/>
        <v>-0.55542000000000002</v>
      </c>
      <c r="H188">
        <f t="shared" si="16"/>
        <v>-0.55542000000000002</v>
      </c>
      <c r="I188" s="5">
        <f t="shared" si="17"/>
        <v>1828</v>
      </c>
      <c r="J188">
        <f t="shared" si="18"/>
        <v>0.30808092110739882</v>
      </c>
      <c r="K188">
        <f t="shared" si="19"/>
        <v>0.68022939688958983</v>
      </c>
      <c r="P188">
        <f t="shared" si="20"/>
        <v>1</v>
      </c>
    </row>
    <row r="189" spans="1:16" x14ac:dyDescent="0.25">
      <c r="A189" s="1"/>
      <c r="B189" t="s">
        <v>203</v>
      </c>
      <c r="C189" t="s">
        <v>24</v>
      </c>
      <c r="D189" s="3">
        <v>7.5</v>
      </c>
      <c r="E189" s="5">
        <f t="shared" si="14"/>
        <v>1829</v>
      </c>
      <c r="F189">
        <v>0.86111000000000004</v>
      </c>
      <c r="G189">
        <f t="shared" si="15"/>
        <v>-0.45816000000000012</v>
      </c>
      <c r="H189">
        <f t="shared" si="16"/>
        <v>-0.45816000000000012</v>
      </c>
      <c r="I189" s="5">
        <f t="shared" si="17"/>
        <v>1829</v>
      </c>
      <c r="J189">
        <f t="shared" si="18"/>
        <v>-0.72119227935727515</v>
      </c>
      <c r="K189">
        <f t="shared" si="19"/>
        <v>-1.2752853539245772</v>
      </c>
      <c r="P189">
        <f t="shared" si="20"/>
        <v>1</v>
      </c>
    </row>
    <row r="190" spans="1:16" x14ac:dyDescent="0.25">
      <c r="A190" s="1"/>
      <c r="B190" t="s">
        <v>204</v>
      </c>
      <c r="C190" t="s">
        <v>24</v>
      </c>
      <c r="D190" s="3">
        <v>7.541666666666667</v>
      </c>
      <c r="E190" s="5">
        <f t="shared" si="14"/>
        <v>1830</v>
      </c>
      <c r="F190">
        <v>5.0360000000000002E-2</v>
      </c>
      <c r="G190">
        <f t="shared" si="15"/>
        <v>0.28301000000000009</v>
      </c>
      <c r="H190">
        <f t="shared" si="16"/>
        <v>0.28301000000000009</v>
      </c>
      <c r="I190" s="5">
        <f t="shared" si="17"/>
        <v>1830</v>
      </c>
      <c r="J190">
        <f t="shared" si="18"/>
        <v>0.32999566212029863</v>
      </c>
      <c r="K190">
        <f t="shared" si="19"/>
        <v>-3.5848141364097796</v>
      </c>
      <c r="P190">
        <f t="shared" si="20"/>
        <v>0</v>
      </c>
    </row>
    <row r="191" spans="1:16" x14ac:dyDescent="0.25">
      <c r="A191" s="1"/>
      <c r="B191" t="s">
        <v>205</v>
      </c>
      <c r="C191" t="s">
        <v>24</v>
      </c>
      <c r="D191" s="3">
        <v>7.583333333333333</v>
      </c>
      <c r="E191" s="5">
        <f t="shared" si="14"/>
        <v>1831</v>
      </c>
      <c r="F191">
        <v>-0.47738000000000003</v>
      </c>
      <c r="G191">
        <f t="shared" si="15"/>
        <v>1.6845300000000001</v>
      </c>
      <c r="H191">
        <f t="shared" si="16"/>
        <v>1.6845300000000001</v>
      </c>
      <c r="I191" s="5">
        <f t="shared" si="17"/>
        <v>1831</v>
      </c>
      <c r="J191">
        <f t="shared" si="18"/>
        <v>1.5063759548966305</v>
      </c>
      <c r="K191">
        <f t="shared" si="19"/>
        <v>5.2828026917555215</v>
      </c>
      <c r="P191">
        <f t="shared" si="20"/>
        <v>1</v>
      </c>
    </row>
    <row r="192" spans="1:16" x14ac:dyDescent="0.25">
      <c r="A192" s="1"/>
      <c r="B192" t="s">
        <v>206</v>
      </c>
      <c r="C192" t="s">
        <v>24</v>
      </c>
      <c r="D192" s="3">
        <v>7.625</v>
      </c>
      <c r="E192" s="5">
        <f t="shared" si="14"/>
        <v>1832</v>
      </c>
      <c r="F192">
        <v>0.67940999999999996</v>
      </c>
      <c r="G192">
        <f t="shared" si="15"/>
        <v>0.30939000000000005</v>
      </c>
      <c r="H192">
        <f t="shared" si="16"/>
        <v>0.30939000000000005</v>
      </c>
      <c r="I192" s="5">
        <f t="shared" si="17"/>
        <v>1832</v>
      </c>
      <c r="J192">
        <f t="shared" si="18"/>
        <v>0.5229957486759611</v>
      </c>
      <c r="K192">
        <f t="shared" si="19"/>
        <v>-3.1291050869207178</v>
      </c>
      <c r="P192">
        <f t="shared" si="20"/>
        <v>0</v>
      </c>
    </row>
    <row r="193" spans="1:16" x14ac:dyDescent="0.25">
      <c r="A193" s="1"/>
      <c r="B193" t="s">
        <v>207</v>
      </c>
      <c r="C193" t="s">
        <v>24</v>
      </c>
      <c r="D193" s="3">
        <v>7.666666666666667</v>
      </c>
      <c r="E193" s="5">
        <f t="shared" si="14"/>
        <v>1833</v>
      </c>
      <c r="F193">
        <v>2.1455899999999999</v>
      </c>
      <c r="G193">
        <f t="shared" si="15"/>
        <v>-2.7098499999999999</v>
      </c>
      <c r="H193">
        <f t="shared" si="16"/>
        <v>-2.7098499999999999</v>
      </c>
      <c r="I193" s="5">
        <f t="shared" si="17"/>
        <v>1833</v>
      </c>
      <c r="J193">
        <f t="shared" si="18"/>
        <v>0.16535922544479076</v>
      </c>
      <c r="K193">
        <f t="shared" si="19"/>
        <v>1.4109472858877665</v>
      </c>
      <c r="P193">
        <f t="shared" si="20"/>
        <v>1</v>
      </c>
    </row>
    <row r="194" spans="1:16" x14ac:dyDescent="0.25">
      <c r="A194" s="1"/>
      <c r="B194" t="s">
        <v>208</v>
      </c>
      <c r="C194" t="s">
        <v>24</v>
      </c>
      <c r="D194" s="3">
        <v>7.708333333333333</v>
      </c>
      <c r="E194" s="5">
        <f t="shared" si="14"/>
        <v>1834</v>
      </c>
      <c r="F194">
        <v>0.90192000000000005</v>
      </c>
      <c r="G194">
        <f t="shared" si="15"/>
        <v>0.3685299999999998</v>
      </c>
      <c r="H194">
        <f t="shared" si="16"/>
        <v>0.3685299999999998</v>
      </c>
      <c r="I194" s="5">
        <f t="shared" si="17"/>
        <v>1834</v>
      </c>
      <c r="J194">
        <f t="shared" si="18"/>
        <v>0.74789468274132731</v>
      </c>
      <c r="K194">
        <f t="shared" si="19"/>
        <v>-1.4495624515121925</v>
      </c>
      <c r="P194">
        <f t="shared" si="20"/>
        <v>0</v>
      </c>
    </row>
    <row r="195" spans="1:16" x14ac:dyDescent="0.25">
      <c r="A195" s="1"/>
      <c r="B195" t="s">
        <v>209</v>
      </c>
      <c r="C195" t="s">
        <v>24</v>
      </c>
      <c r="D195" s="3">
        <v>7.75</v>
      </c>
      <c r="E195" s="5">
        <f t="shared" si="14"/>
        <v>1835</v>
      </c>
      <c r="F195">
        <v>2.6780000000000002E-2</v>
      </c>
      <c r="G195">
        <f t="shared" si="15"/>
        <v>0.85698000000000008</v>
      </c>
      <c r="H195">
        <f t="shared" si="16"/>
        <v>0.85698000000000008</v>
      </c>
      <c r="I195" s="5">
        <f t="shared" si="17"/>
        <v>1835</v>
      </c>
      <c r="J195">
        <f t="shared" si="18"/>
        <v>0.89209997730921786</v>
      </c>
      <c r="K195">
        <f t="shared" si="19"/>
        <v>2.8214443353170156</v>
      </c>
      <c r="P195">
        <f t="shared" si="20"/>
        <v>1</v>
      </c>
    </row>
    <row r="196" spans="1:16" x14ac:dyDescent="0.25">
      <c r="A196" s="1"/>
      <c r="B196" t="s">
        <v>210</v>
      </c>
      <c r="C196" t="s">
        <v>24</v>
      </c>
      <c r="D196" s="3">
        <v>7.791666666666667</v>
      </c>
      <c r="E196" s="5">
        <f t="shared" si="14"/>
        <v>1836</v>
      </c>
      <c r="F196">
        <v>8.6199999999999992E-3</v>
      </c>
      <c r="G196">
        <f t="shared" si="15"/>
        <v>1.0293399999999999</v>
      </c>
      <c r="H196">
        <f t="shared" si="16"/>
        <v>1.0293399999999999</v>
      </c>
      <c r="I196" s="5">
        <f t="shared" si="17"/>
        <v>1836</v>
      </c>
      <c r="J196">
        <f t="shared" si="18"/>
        <v>1.0309021553620856</v>
      </c>
      <c r="K196">
        <f t="shared" si="19"/>
        <v>0.94829354156758572</v>
      </c>
      <c r="P196">
        <f t="shared" si="20"/>
        <v>1</v>
      </c>
    </row>
    <row r="197" spans="1:16" x14ac:dyDescent="0.25">
      <c r="A197" s="1"/>
      <c r="B197" t="s">
        <v>211</v>
      </c>
      <c r="C197" t="s">
        <v>24</v>
      </c>
      <c r="D197" s="3">
        <v>7.833333333333333</v>
      </c>
      <c r="E197" s="5">
        <f t="shared" si="14"/>
        <v>1837</v>
      </c>
      <c r="F197">
        <v>1.0198</v>
      </c>
      <c r="G197">
        <f t="shared" si="15"/>
        <v>-1.1686000000000001</v>
      </c>
      <c r="H197">
        <f t="shared" si="16"/>
        <v>-1.1686000000000001</v>
      </c>
      <c r="I197" s="5">
        <f t="shared" si="17"/>
        <v>1837</v>
      </c>
      <c r="J197">
        <f t="shared" si="18"/>
        <v>-0.11032413891986478</v>
      </c>
      <c r="K197">
        <f t="shared" si="19"/>
        <v>-4.5731900415456392</v>
      </c>
      <c r="P197">
        <f t="shared" si="20"/>
        <v>1</v>
      </c>
    </row>
    <row r="198" spans="1:16" x14ac:dyDescent="0.25">
      <c r="A198" s="1"/>
      <c r="B198" t="s">
        <v>212</v>
      </c>
      <c r="C198" t="s">
        <v>24</v>
      </c>
      <c r="D198" s="3">
        <v>7.875</v>
      </c>
      <c r="E198" s="5">
        <f t="shared" si="14"/>
        <v>1838</v>
      </c>
      <c r="F198">
        <v>0.86238000000000004</v>
      </c>
      <c r="G198">
        <f t="shared" si="15"/>
        <v>1.4644500000000003</v>
      </c>
      <c r="H198">
        <f t="shared" si="16"/>
        <v>1.4644500000000003</v>
      </c>
      <c r="I198" s="5">
        <f t="shared" si="17"/>
        <v>1838</v>
      </c>
      <c r="J198">
        <f t="shared" si="18"/>
        <v>1.9429494139826315</v>
      </c>
      <c r="K198">
        <f t="shared" si="19"/>
        <v>4.9891511949001446</v>
      </c>
      <c r="P198">
        <f t="shared" si="20"/>
        <v>1</v>
      </c>
    </row>
    <row r="199" spans="1:16" x14ac:dyDescent="0.25">
      <c r="A199" s="1"/>
      <c r="B199" t="s">
        <v>213</v>
      </c>
      <c r="C199" t="s">
        <v>24</v>
      </c>
      <c r="D199" s="3">
        <v>7.916666666666667</v>
      </c>
      <c r="E199" s="5">
        <f t="shared" si="14"/>
        <v>1839</v>
      </c>
      <c r="F199">
        <v>2.1694100000000001</v>
      </c>
      <c r="G199">
        <f t="shared" si="15"/>
        <v>-3.0995699999999999</v>
      </c>
      <c r="H199">
        <f t="shared" si="16"/>
        <v>-3.0995699999999999</v>
      </c>
      <c r="I199" s="5">
        <f t="shared" si="17"/>
        <v>1839</v>
      </c>
      <c r="J199">
        <f t="shared" si="18"/>
        <v>-3.4134802909513247</v>
      </c>
      <c r="K199">
        <f t="shared" si="19"/>
        <v>-2.6669151726478368</v>
      </c>
      <c r="P199">
        <f t="shared" si="20"/>
        <v>1</v>
      </c>
    </row>
    <row r="200" spans="1:16" x14ac:dyDescent="0.25">
      <c r="A200" s="1"/>
      <c r="B200" t="s">
        <v>214</v>
      </c>
      <c r="C200" t="s">
        <v>24</v>
      </c>
      <c r="D200" s="3">
        <v>7.958333333333333</v>
      </c>
      <c r="E200" s="5">
        <f t="shared" si="14"/>
        <v>1840</v>
      </c>
      <c r="F200">
        <v>0.37686999999999998</v>
      </c>
      <c r="G200">
        <f t="shared" si="15"/>
        <v>1.48078</v>
      </c>
      <c r="H200">
        <f t="shared" si="16"/>
        <v>1.48078</v>
      </c>
      <c r="I200" s="5">
        <f t="shared" si="17"/>
        <v>1840</v>
      </c>
      <c r="J200">
        <f t="shared" si="18"/>
        <v>1.7149041055326162</v>
      </c>
      <c r="K200">
        <f t="shared" si="19"/>
        <v>2.1489129066526047</v>
      </c>
      <c r="P200">
        <f t="shared" si="20"/>
        <v>1</v>
      </c>
    </row>
    <row r="201" spans="1:16" x14ac:dyDescent="0.25">
      <c r="A201" s="1"/>
      <c r="B201" t="s">
        <v>215</v>
      </c>
      <c r="C201" t="s">
        <v>24</v>
      </c>
      <c r="D201" s="3">
        <v>8</v>
      </c>
      <c r="E201" s="5">
        <f t="shared" si="14"/>
        <v>1841</v>
      </c>
      <c r="F201">
        <v>6.5110000000000001E-2</v>
      </c>
      <c r="G201">
        <f t="shared" si="15"/>
        <v>-0.61817000000000011</v>
      </c>
      <c r="H201">
        <f t="shared" si="16"/>
        <v>-0.61817000000000011</v>
      </c>
      <c r="I201" s="5">
        <f t="shared" si="17"/>
        <v>1841</v>
      </c>
      <c r="J201">
        <f t="shared" si="18"/>
        <v>-0.6270389228972173</v>
      </c>
      <c r="K201">
        <f t="shared" si="19"/>
        <v>-3.8783193869832431</v>
      </c>
      <c r="P201">
        <f t="shared" si="20"/>
        <v>1</v>
      </c>
    </row>
    <row r="202" spans="1:16" x14ac:dyDescent="0.25">
      <c r="A202" s="1"/>
      <c r="B202" t="s">
        <v>216</v>
      </c>
      <c r="C202" t="s">
        <v>24</v>
      </c>
      <c r="D202" s="3">
        <v>8.0416666666666661</v>
      </c>
      <c r="E202" s="5">
        <f t="shared" si="14"/>
        <v>1842</v>
      </c>
      <c r="F202">
        <v>-0.86482000000000003</v>
      </c>
      <c r="G202">
        <f t="shared" si="15"/>
        <v>1.83446</v>
      </c>
      <c r="H202">
        <f t="shared" si="16"/>
        <v>1.83446</v>
      </c>
      <c r="I202" s="5">
        <f t="shared" si="17"/>
        <v>1842</v>
      </c>
      <c r="J202">
        <f t="shared" si="18"/>
        <v>1.168932595008896</v>
      </c>
      <c r="K202">
        <f t="shared" si="19"/>
        <v>1.4340927147300828</v>
      </c>
      <c r="P202">
        <f t="shared" si="20"/>
        <v>1</v>
      </c>
    </row>
    <row r="203" spans="1:16" x14ac:dyDescent="0.25">
      <c r="A203" s="1"/>
      <c r="B203" t="s">
        <v>217</v>
      </c>
      <c r="C203" t="s">
        <v>24</v>
      </c>
      <c r="D203" s="3">
        <v>8.0833333333333339</v>
      </c>
      <c r="E203" s="5">
        <f t="shared" si="14"/>
        <v>1843</v>
      </c>
      <c r="F203">
        <v>3.9710000000000002E-2</v>
      </c>
      <c r="G203">
        <f t="shared" si="15"/>
        <v>-0.38485000000000003</v>
      </c>
      <c r="H203">
        <f t="shared" si="16"/>
        <v>-0.38485000000000003</v>
      </c>
      <c r="I203" s="5">
        <f t="shared" si="17"/>
        <v>1843</v>
      </c>
      <c r="J203">
        <f t="shared" si="18"/>
        <v>-0.38988477649071845</v>
      </c>
      <c r="K203">
        <f t="shared" si="19"/>
        <v>2.2624440595830171</v>
      </c>
      <c r="P203">
        <f t="shared" si="20"/>
        <v>0</v>
      </c>
    </row>
    <row r="204" spans="1:16" x14ac:dyDescent="0.25">
      <c r="A204" s="1"/>
      <c r="B204" t="s">
        <v>218</v>
      </c>
      <c r="C204" t="s">
        <v>24</v>
      </c>
      <c r="D204" s="3">
        <v>8.125</v>
      </c>
      <c r="E204" s="5">
        <f t="shared" ref="E204:E267" si="21">+E203+1</f>
        <v>1844</v>
      </c>
      <c r="F204">
        <v>0.55939000000000005</v>
      </c>
      <c r="G204">
        <f t="shared" ref="G204:G267" si="22">+(F205-F204)-(F204-F203)</f>
        <v>-0.66176000000000013</v>
      </c>
      <c r="H204">
        <f t="shared" ref="H204:H267" si="23">+G204</f>
        <v>-0.66176000000000013</v>
      </c>
      <c r="I204" s="5">
        <f t="shared" si="17"/>
        <v>1844</v>
      </c>
      <c r="J204">
        <f t="shared" si="18"/>
        <v>-0.20602465538015377</v>
      </c>
      <c r="K204">
        <f t="shared" si="19"/>
        <v>-5.8637923471014277</v>
      </c>
      <c r="P204">
        <f t="shared" si="20"/>
        <v>1</v>
      </c>
    </row>
    <row r="205" spans="1:16" x14ac:dyDescent="0.25">
      <c r="A205" s="1"/>
      <c r="B205" t="s">
        <v>219</v>
      </c>
      <c r="C205" t="s">
        <v>24</v>
      </c>
      <c r="D205" s="3">
        <v>8.1666666666666661</v>
      </c>
      <c r="E205" s="5">
        <f t="shared" si="21"/>
        <v>1845</v>
      </c>
      <c r="F205">
        <v>0.41731000000000001</v>
      </c>
      <c r="G205">
        <f t="shared" si="22"/>
        <v>0.73028999999999988</v>
      </c>
      <c r="H205">
        <f t="shared" si="23"/>
        <v>0.73028999999999988</v>
      </c>
      <c r="I205" s="5">
        <f t="shared" ref="I205:I268" si="24">+E205</f>
        <v>1845</v>
      </c>
      <c r="J205">
        <f t="shared" ref="J205:J268" si="25">+$J$6*F205+F205*$J$7*COS(2*PI()*$I205/$K$6+$K$5*COS($J$5*$I205+$K$8)+$J$9)+H205+F205*$J$3*COS(2*PI()*$I205/$J$8+$K$3)</f>
        <v>1.1734277053157303</v>
      </c>
      <c r="K205">
        <f t="shared" ref="K205:K268" si="26">+$K$8*COS(2*PI()*$I205/$K$6+$K$5*COS($J$5*$I205+$K$8)+$K$7) +$K$4*COS(2*PI()*$I205/$J$8+$J$4)</f>
        <v>4.0763672508321909</v>
      </c>
      <c r="P205">
        <f t="shared" ref="P205:P268" si="27">+IF(J205*K205&gt;0,1, 0)</f>
        <v>1</v>
      </c>
    </row>
    <row r="206" spans="1:16" x14ac:dyDescent="0.25">
      <c r="A206" s="1"/>
      <c r="B206" t="s">
        <v>220</v>
      </c>
      <c r="C206" t="s">
        <v>24</v>
      </c>
      <c r="D206" s="3">
        <v>8.2083333333333339</v>
      </c>
      <c r="E206" s="5">
        <f t="shared" si="21"/>
        <v>1846</v>
      </c>
      <c r="F206">
        <v>1.00552</v>
      </c>
      <c r="G206">
        <f t="shared" si="22"/>
        <v>-2.6277099999999995</v>
      </c>
      <c r="H206">
        <f t="shared" si="23"/>
        <v>-2.6277099999999995</v>
      </c>
      <c r="I206" s="5">
        <f t="shared" si="24"/>
        <v>1846</v>
      </c>
      <c r="J206">
        <f t="shared" si="25"/>
        <v>-2.0974108106294276</v>
      </c>
      <c r="K206">
        <f t="shared" si="26"/>
        <v>-2.8942108825975614</v>
      </c>
      <c r="P206">
        <f t="shared" si="27"/>
        <v>1</v>
      </c>
    </row>
    <row r="207" spans="1:16" x14ac:dyDescent="0.25">
      <c r="A207" s="1"/>
      <c r="B207" t="s">
        <v>221</v>
      </c>
      <c r="C207" t="s">
        <v>24</v>
      </c>
      <c r="D207" s="3">
        <v>8.25</v>
      </c>
      <c r="E207" s="5">
        <f t="shared" si="21"/>
        <v>1847</v>
      </c>
      <c r="F207">
        <v>-1.0339799999999999</v>
      </c>
      <c r="G207">
        <f t="shared" si="22"/>
        <v>3.3584299999999998</v>
      </c>
      <c r="H207">
        <f t="shared" si="23"/>
        <v>3.3584299999999998</v>
      </c>
      <c r="I207" s="5">
        <f t="shared" si="24"/>
        <v>1847</v>
      </c>
      <c r="J207">
        <f t="shared" si="25"/>
        <v>2.1714123986894145</v>
      </c>
      <c r="K207">
        <f t="shared" si="26"/>
        <v>4.572993085650003</v>
      </c>
      <c r="P207">
        <f t="shared" si="27"/>
        <v>1</v>
      </c>
    </row>
    <row r="208" spans="1:16" x14ac:dyDescent="0.25">
      <c r="A208" s="1"/>
      <c r="B208" t="s">
        <v>222</v>
      </c>
      <c r="C208" t="s">
        <v>24</v>
      </c>
      <c r="D208" s="3">
        <v>8.2916666666666661</v>
      </c>
      <c r="E208" s="5">
        <f t="shared" si="21"/>
        <v>1848</v>
      </c>
      <c r="F208">
        <v>0.28494999999999998</v>
      </c>
      <c r="G208">
        <f t="shared" si="22"/>
        <v>-1.40743</v>
      </c>
      <c r="H208">
        <f t="shared" si="23"/>
        <v>-1.40743</v>
      </c>
      <c r="I208" s="5">
        <f t="shared" si="24"/>
        <v>1848</v>
      </c>
      <c r="J208">
        <f t="shared" si="25"/>
        <v>-1.2651053234341185</v>
      </c>
      <c r="K208">
        <f t="shared" si="26"/>
        <v>-3.141731246430465</v>
      </c>
      <c r="P208">
        <f t="shared" si="27"/>
        <v>1</v>
      </c>
    </row>
    <row r="209" spans="1:16" x14ac:dyDescent="0.25">
      <c r="A209" s="1"/>
      <c r="B209" t="s">
        <v>223</v>
      </c>
      <c r="C209" t="s">
        <v>24</v>
      </c>
      <c r="D209" s="3">
        <v>8.3333333333333339</v>
      </c>
      <c r="E209" s="5">
        <f t="shared" si="21"/>
        <v>1849</v>
      </c>
      <c r="F209">
        <v>0.19645000000000001</v>
      </c>
      <c r="G209">
        <f t="shared" si="22"/>
        <v>-9.4840000000000035E-2</v>
      </c>
      <c r="H209">
        <f t="shared" si="23"/>
        <v>-9.4840000000000035E-2</v>
      </c>
      <c r="I209" s="5">
        <f t="shared" si="24"/>
        <v>1849</v>
      </c>
      <c r="J209">
        <f t="shared" si="25"/>
        <v>0.1428216095395094</v>
      </c>
      <c r="K209">
        <f t="shared" si="26"/>
        <v>0.74172052081135176</v>
      </c>
      <c r="P209">
        <f t="shared" si="27"/>
        <v>1</v>
      </c>
    </row>
    <row r="210" spans="1:16" x14ac:dyDescent="0.25">
      <c r="A210" s="1"/>
      <c r="B210" t="s">
        <v>224</v>
      </c>
      <c r="C210" t="s">
        <v>24</v>
      </c>
      <c r="D210" s="3">
        <v>8.375</v>
      </c>
      <c r="E210" s="5">
        <f t="shared" si="21"/>
        <v>1850</v>
      </c>
      <c r="F210">
        <v>1.311E-2</v>
      </c>
      <c r="G210">
        <f t="shared" si="22"/>
        <v>-0.64488999999999996</v>
      </c>
      <c r="H210">
        <f t="shared" si="23"/>
        <v>-0.64488999999999996</v>
      </c>
      <c r="I210" s="5">
        <f t="shared" si="24"/>
        <v>1850</v>
      </c>
      <c r="J210">
        <f t="shared" si="25"/>
        <v>-0.64458617107344396</v>
      </c>
      <c r="K210">
        <f t="shared" si="26"/>
        <v>5.1181347234498471</v>
      </c>
      <c r="P210">
        <f t="shared" si="27"/>
        <v>0</v>
      </c>
    </row>
    <row r="211" spans="1:16" x14ac:dyDescent="0.25">
      <c r="A211" s="1"/>
      <c r="B211" t="s">
        <v>225</v>
      </c>
      <c r="C211" t="s">
        <v>24</v>
      </c>
      <c r="D211" s="3">
        <v>8.4166666666666661</v>
      </c>
      <c r="E211" s="5">
        <f t="shared" si="21"/>
        <v>1851</v>
      </c>
      <c r="F211">
        <v>-0.81511999999999996</v>
      </c>
      <c r="G211">
        <f t="shared" si="22"/>
        <v>3.0331700000000001</v>
      </c>
      <c r="H211">
        <f t="shared" si="23"/>
        <v>3.0331700000000001</v>
      </c>
      <c r="I211" s="5">
        <f t="shared" si="24"/>
        <v>1851</v>
      </c>
      <c r="J211">
        <f t="shared" si="25"/>
        <v>2.8115110587563064</v>
      </c>
      <c r="K211">
        <f t="shared" si="26"/>
        <v>-5.2780186453578635</v>
      </c>
      <c r="P211">
        <f t="shared" si="27"/>
        <v>0</v>
      </c>
    </row>
    <row r="212" spans="1:16" x14ac:dyDescent="0.25">
      <c r="A212" s="1"/>
      <c r="B212" t="s">
        <v>226</v>
      </c>
      <c r="C212" t="s">
        <v>24</v>
      </c>
      <c r="D212" s="3">
        <v>8.4583333333333339</v>
      </c>
      <c r="E212" s="5">
        <f t="shared" si="21"/>
        <v>1852</v>
      </c>
      <c r="F212">
        <v>1.3898200000000001</v>
      </c>
      <c r="G212">
        <f t="shared" si="22"/>
        <v>-2.8027600000000001</v>
      </c>
      <c r="H212">
        <f t="shared" si="23"/>
        <v>-2.8027600000000001</v>
      </c>
      <c r="I212" s="5">
        <f t="shared" si="24"/>
        <v>1852</v>
      </c>
      <c r="J212">
        <f t="shared" si="25"/>
        <v>-2.1450250239959878</v>
      </c>
      <c r="K212">
        <f t="shared" si="26"/>
        <v>3.7411689426326888</v>
      </c>
      <c r="P212">
        <f t="shared" si="27"/>
        <v>0</v>
      </c>
    </row>
    <row r="213" spans="1:16" x14ac:dyDescent="0.25">
      <c r="A213" s="1"/>
      <c r="B213" t="s">
        <v>227</v>
      </c>
      <c r="C213" t="s">
        <v>24</v>
      </c>
      <c r="D213" s="3">
        <v>8.5</v>
      </c>
      <c r="E213" s="5">
        <f t="shared" si="21"/>
        <v>1853</v>
      </c>
      <c r="F213">
        <v>0.79200000000000004</v>
      </c>
      <c r="G213">
        <f t="shared" si="22"/>
        <v>-0.41556999999999999</v>
      </c>
      <c r="H213">
        <f t="shared" si="23"/>
        <v>-0.41556999999999999</v>
      </c>
      <c r="I213" s="5">
        <f t="shared" si="24"/>
        <v>1853</v>
      </c>
      <c r="J213">
        <f t="shared" si="25"/>
        <v>-0.4083286577465996</v>
      </c>
      <c r="K213">
        <f t="shared" si="26"/>
        <v>-5.0525832340211041</v>
      </c>
      <c r="P213">
        <f t="shared" si="27"/>
        <v>1</v>
      </c>
    </row>
    <row r="214" spans="1:16" x14ac:dyDescent="0.25">
      <c r="A214" s="1"/>
      <c r="B214" t="s">
        <v>228</v>
      </c>
      <c r="C214" t="s">
        <v>24</v>
      </c>
      <c r="D214" s="3">
        <v>8.5416666666666661</v>
      </c>
      <c r="E214" s="5">
        <f t="shared" si="21"/>
        <v>1854</v>
      </c>
      <c r="F214">
        <v>-0.22139</v>
      </c>
      <c r="G214">
        <f t="shared" si="22"/>
        <v>0.86353000000000002</v>
      </c>
      <c r="H214">
        <f t="shared" si="23"/>
        <v>0.86353000000000002</v>
      </c>
      <c r="I214" s="5">
        <f t="shared" si="24"/>
        <v>1854</v>
      </c>
      <c r="J214">
        <f t="shared" si="25"/>
        <v>0.77122420829558569</v>
      </c>
      <c r="K214">
        <f t="shared" si="26"/>
        <v>4.170309207111357</v>
      </c>
      <c r="P214">
        <f t="shared" si="27"/>
        <v>1</v>
      </c>
    </row>
    <row r="215" spans="1:16" x14ac:dyDescent="0.25">
      <c r="A215" s="1"/>
      <c r="B215" t="s">
        <v>229</v>
      </c>
      <c r="C215" t="s">
        <v>24</v>
      </c>
      <c r="D215" s="3">
        <v>8.5833333333333339</v>
      </c>
      <c r="E215" s="5">
        <f t="shared" si="21"/>
        <v>1855</v>
      </c>
      <c r="F215">
        <v>-0.37125000000000002</v>
      </c>
      <c r="G215">
        <f t="shared" si="22"/>
        <v>2.0419100000000001</v>
      </c>
      <c r="H215">
        <f t="shared" si="23"/>
        <v>2.0419100000000001</v>
      </c>
      <c r="I215" s="5">
        <f t="shared" si="24"/>
        <v>1855</v>
      </c>
      <c r="J215">
        <f t="shared" si="25"/>
        <v>2.0338429214821412</v>
      </c>
      <c r="K215">
        <f t="shared" si="26"/>
        <v>-3.4149484495067157</v>
      </c>
      <c r="P215">
        <f t="shared" si="27"/>
        <v>0</v>
      </c>
    </row>
    <row r="216" spans="1:16" x14ac:dyDescent="0.25">
      <c r="A216" s="1"/>
      <c r="B216" t="s">
        <v>230</v>
      </c>
      <c r="C216" t="s">
        <v>24</v>
      </c>
      <c r="D216" s="3">
        <v>8.625</v>
      </c>
      <c r="E216" s="5">
        <f t="shared" si="21"/>
        <v>1856</v>
      </c>
      <c r="F216">
        <v>1.5207999999999999</v>
      </c>
      <c r="G216">
        <f t="shared" si="22"/>
        <v>-3.7130200000000002</v>
      </c>
      <c r="H216">
        <f t="shared" si="23"/>
        <v>-3.7130200000000002</v>
      </c>
      <c r="I216" s="5">
        <f t="shared" si="24"/>
        <v>1856</v>
      </c>
      <c r="J216">
        <f t="shared" si="25"/>
        <v>-1.922570211299947</v>
      </c>
      <c r="K216">
        <f t="shared" si="26"/>
        <v>-2.7738217754642864</v>
      </c>
      <c r="P216">
        <f t="shared" si="27"/>
        <v>1</v>
      </c>
    </row>
    <row r="217" spans="1:16" x14ac:dyDescent="0.25">
      <c r="A217" s="1"/>
      <c r="B217" t="s">
        <v>231</v>
      </c>
      <c r="C217" t="s">
        <v>24</v>
      </c>
      <c r="D217" s="3">
        <v>8.6666666666666661</v>
      </c>
      <c r="E217" s="5">
        <f t="shared" si="21"/>
        <v>1857</v>
      </c>
      <c r="F217">
        <v>-0.30016999999999999</v>
      </c>
      <c r="G217">
        <f t="shared" si="22"/>
        <v>2.5389900000000001</v>
      </c>
      <c r="H217">
        <f t="shared" si="23"/>
        <v>2.5389900000000001</v>
      </c>
      <c r="I217" s="5">
        <f t="shared" si="24"/>
        <v>1857</v>
      </c>
      <c r="J217">
        <f t="shared" si="25"/>
        <v>2.3822377315559735</v>
      </c>
      <c r="K217">
        <f t="shared" si="26"/>
        <v>5.6750522663290246</v>
      </c>
      <c r="P217">
        <f t="shared" si="27"/>
        <v>1</v>
      </c>
    </row>
    <row r="218" spans="1:16" x14ac:dyDescent="0.25">
      <c r="A218" s="1"/>
      <c r="B218" t="s">
        <v>232</v>
      </c>
      <c r="C218" t="s">
        <v>24</v>
      </c>
      <c r="D218" s="3">
        <v>8.7083333333333339</v>
      </c>
      <c r="E218" s="5">
        <f t="shared" si="21"/>
        <v>1858</v>
      </c>
      <c r="F218">
        <v>0.41785</v>
      </c>
      <c r="G218">
        <f t="shared" si="22"/>
        <v>-1.84158</v>
      </c>
      <c r="H218">
        <f t="shared" si="23"/>
        <v>-1.84158</v>
      </c>
      <c r="I218" s="5">
        <f t="shared" si="24"/>
        <v>1858</v>
      </c>
      <c r="J218">
        <f t="shared" si="25"/>
        <v>-1.5300178648547251</v>
      </c>
      <c r="K218">
        <f t="shared" si="26"/>
        <v>-4.6268068433265936</v>
      </c>
      <c r="P218">
        <f t="shared" si="27"/>
        <v>1</v>
      </c>
    </row>
    <row r="219" spans="1:16" x14ac:dyDescent="0.25">
      <c r="A219" s="1"/>
      <c r="B219" t="s">
        <v>233</v>
      </c>
      <c r="C219" t="s">
        <v>24</v>
      </c>
      <c r="D219" s="3">
        <v>8.75</v>
      </c>
      <c r="E219" s="5">
        <f t="shared" si="21"/>
        <v>1859</v>
      </c>
      <c r="F219">
        <v>-0.70570999999999995</v>
      </c>
      <c r="G219">
        <f t="shared" si="22"/>
        <v>0.71167999999999976</v>
      </c>
      <c r="H219">
        <f t="shared" si="23"/>
        <v>0.71167999999999976</v>
      </c>
      <c r="I219" s="5">
        <f t="shared" si="24"/>
        <v>1859</v>
      </c>
      <c r="J219">
        <f t="shared" si="25"/>
        <v>5.3578617912802828E-5</v>
      </c>
      <c r="K219">
        <f t="shared" si="26"/>
        <v>5.4323410979899256</v>
      </c>
      <c r="P219">
        <f t="shared" si="27"/>
        <v>1</v>
      </c>
    </row>
    <row r="220" spans="1:16" x14ac:dyDescent="0.25">
      <c r="A220" s="1"/>
      <c r="B220" t="s">
        <v>234</v>
      </c>
      <c r="C220" t="s">
        <v>24</v>
      </c>
      <c r="D220" s="3">
        <v>8.7916666666666661</v>
      </c>
      <c r="E220" s="5">
        <f t="shared" si="21"/>
        <v>1860</v>
      </c>
      <c r="F220">
        <v>-1.1175900000000001</v>
      </c>
      <c r="G220">
        <f t="shared" si="22"/>
        <v>0.52851000000000015</v>
      </c>
      <c r="H220">
        <f t="shared" si="23"/>
        <v>0.52851000000000015</v>
      </c>
      <c r="I220" s="5">
        <f t="shared" si="24"/>
        <v>1860</v>
      </c>
      <c r="J220">
        <f t="shared" si="25"/>
        <v>-0.38042537080689343</v>
      </c>
      <c r="K220">
        <f t="shared" si="26"/>
        <v>-4.7117590127856577</v>
      </c>
      <c r="P220">
        <f t="shared" si="27"/>
        <v>1</v>
      </c>
    </row>
    <row r="221" spans="1:16" x14ac:dyDescent="0.25">
      <c r="A221" s="1"/>
      <c r="B221" t="s">
        <v>235</v>
      </c>
      <c r="C221" t="s">
        <v>24</v>
      </c>
      <c r="D221" s="3">
        <v>8.8333333333333339</v>
      </c>
      <c r="E221" s="5">
        <f t="shared" si="21"/>
        <v>1861</v>
      </c>
      <c r="F221">
        <v>-1.0009600000000001</v>
      </c>
      <c r="G221">
        <f t="shared" si="22"/>
        <v>-0.15195000000000003</v>
      </c>
      <c r="H221">
        <f t="shared" si="23"/>
        <v>-0.15195000000000003</v>
      </c>
      <c r="I221" s="5">
        <f t="shared" si="24"/>
        <v>1861</v>
      </c>
      <c r="J221">
        <f t="shared" si="25"/>
        <v>-1.0230658065721032</v>
      </c>
      <c r="K221">
        <f t="shared" si="26"/>
        <v>5.1842071978782513</v>
      </c>
      <c r="P221">
        <f t="shared" si="27"/>
        <v>0</v>
      </c>
    </row>
    <row r="222" spans="1:16" x14ac:dyDescent="0.25">
      <c r="A222" s="1"/>
      <c r="B222" t="s">
        <v>236</v>
      </c>
      <c r="C222" t="s">
        <v>24</v>
      </c>
      <c r="D222" s="3">
        <v>8.875</v>
      </c>
      <c r="E222" s="5">
        <f t="shared" si="21"/>
        <v>1862</v>
      </c>
      <c r="F222">
        <v>-1.0362800000000001</v>
      </c>
      <c r="G222">
        <f t="shared" si="22"/>
        <v>-0.14271999999999996</v>
      </c>
      <c r="H222">
        <f t="shared" si="23"/>
        <v>-0.14271999999999996</v>
      </c>
      <c r="I222" s="5">
        <f t="shared" si="24"/>
        <v>1862</v>
      </c>
      <c r="J222">
        <f t="shared" si="25"/>
        <v>-0.13463002652178441</v>
      </c>
      <c r="K222">
        <f t="shared" si="26"/>
        <v>-0.3483252175477573</v>
      </c>
      <c r="P222">
        <f t="shared" si="27"/>
        <v>1</v>
      </c>
    </row>
    <row r="223" spans="1:16" x14ac:dyDescent="0.25">
      <c r="A223" s="1"/>
      <c r="B223" t="s">
        <v>237</v>
      </c>
      <c r="C223" t="s">
        <v>24</v>
      </c>
      <c r="D223" s="3">
        <v>8.9166666666666661</v>
      </c>
      <c r="E223" s="5">
        <f t="shared" si="21"/>
        <v>1863</v>
      </c>
      <c r="F223">
        <v>-1.2143200000000001</v>
      </c>
      <c r="G223">
        <f t="shared" si="22"/>
        <v>-0.2688299999999999</v>
      </c>
      <c r="H223">
        <f t="shared" si="23"/>
        <v>-0.2688299999999999</v>
      </c>
      <c r="I223" s="5">
        <f t="shared" si="24"/>
        <v>1863</v>
      </c>
      <c r="J223">
        <f t="shared" si="25"/>
        <v>-1.2849452173672542</v>
      </c>
      <c r="K223">
        <f t="shared" si="26"/>
        <v>-4.6915533480429366</v>
      </c>
      <c r="P223">
        <f t="shared" si="27"/>
        <v>1</v>
      </c>
    </row>
    <row r="224" spans="1:16" x14ac:dyDescent="0.25">
      <c r="A224" s="1"/>
      <c r="B224" t="s">
        <v>238</v>
      </c>
      <c r="C224" t="s">
        <v>24</v>
      </c>
      <c r="D224" s="3">
        <v>8.9583333333333339</v>
      </c>
      <c r="E224" s="5">
        <f t="shared" si="21"/>
        <v>1864</v>
      </c>
      <c r="F224">
        <v>-1.6611899999999999</v>
      </c>
      <c r="G224">
        <f t="shared" si="22"/>
        <v>2.6381399999999999</v>
      </c>
      <c r="H224">
        <f t="shared" si="23"/>
        <v>2.6381399999999999</v>
      </c>
      <c r="I224" s="5">
        <f t="shared" si="24"/>
        <v>1864</v>
      </c>
      <c r="J224">
        <f t="shared" si="25"/>
        <v>2.3655607474926326</v>
      </c>
      <c r="K224">
        <f t="shared" si="26"/>
        <v>5.3062395274546761</v>
      </c>
      <c r="P224">
        <f t="shared" si="27"/>
        <v>1</v>
      </c>
    </row>
    <row r="225" spans="1:16" x14ac:dyDescent="0.25">
      <c r="A225" s="1"/>
      <c r="B225" t="s">
        <v>239</v>
      </c>
      <c r="C225" t="s">
        <v>24</v>
      </c>
      <c r="D225" s="3">
        <v>9</v>
      </c>
      <c r="E225" s="5">
        <f t="shared" si="21"/>
        <v>1865</v>
      </c>
      <c r="F225">
        <v>0.53008</v>
      </c>
      <c r="G225">
        <f t="shared" si="22"/>
        <v>-2.5571199999999998</v>
      </c>
      <c r="H225">
        <f t="shared" si="23"/>
        <v>-2.5571199999999998</v>
      </c>
      <c r="I225" s="5">
        <f t="shared" si="24"/>
        <v>1865</v>
      </c>
      <c r="J225">
        <f t="shared" si="25"/>
        <v>-2.4683826767635999</v>
      </c>
      <c r="K225">
        <f t="shared" si="26"/>
        <v>-5.7706480723536329</v>
      </c>
      <c r="P225">
        <f t="shared" si="27"/>
        <v>1</v>
      </c>
    </row>
    <row r="226" spans="1:16" x14ac:dyDescent="0.25">
      <c r="A226" s="1"/>
      <c r="B226" t="s">
        <v>240</v>
      </c>
      <c r="C226" t="s">
        <v>24</v>
      </c>
      <c r="D226" s="3">
        <v>9.0416666666666661</v>
      </c>
      <c r="E226" s="5">
        <f t="shared" si="21"/>
        <v>1866</v>
      </c>
      <c r="F226">
        <v>0.16422999999999999</v>
      </c>
      <c r="G226">
        <f t="shared" si="22"/>
        <v>0.22108000000000003</v>
      </c>
      <c r="H226">
        <f t="shared" si="23"/>
        <v>0.22108000000000003</v>
      </c>
      <c r="I226" s="5">
        <f t="shared" si="24"/>
        <v>1866</v>
      </c>
      <c r="J226">
        <f t="shared" si="25"/>
        <v>0.24808565263953219</v>
      </c>
      <c r="K226">
        <f t="shared" si="26"/>
        <v>4.9690969673659442</v>
      </c>
      <c r="P226">
        <f t="shared" si="27"/>
        <v>1</v>
      </c>
    </row>
    <row r="227" spans="1:16" x14ac:dyDescent="0.25">
      <c r="A227" s="1"/>
      <c r="B227" t="s">
        <v>241</v>
      </c>
      <c r="C227" t="s">
        <v>24</v>
      </c>
      <c r="D227" s="3">
        <v>9.0833333333333339</v>
      </c>
      <c r="E227" s="5">
        <f t="shared" si="21"/>
        <v>1867</v>
      </c>
      <c r="F227">
        <v>1.9460000000000002E-2</v>
      </c>
      <c r="G227">
        <f t="shared" si="22"/>
        <v>0.33774999999999999</v>
      </c>
      <c r="H227">
        <f t="shared" si="23"/>
        <v>0.33774999999999999</v>
      </c>
      <c r="I227" s="5">
        <f t="shared" si="24"/>
        <v>1867</v>
      </c>
      <c r="J227">
        <f t="shared" si="25"/>
        <v>0.345536370480993</v>
      </c>
      <c r="K227">
        <f t="shared" si="26"/>
        <v>-6.0295907276461067</v>
      </c>
      <c r="P227">
        <f t="shared" si="27"/>
        <v>0</v>
      </c>
    </row>
    <row r="228" spans="1:16" x14ac:dyDescent="0.25">
      <c r="A228" s="1"/>
      <c r="B228" t="s">
        <v>242</v>
      </c>
      <c r="C228" t="s">
        <v>24</v>
      </c>
      <c r="D228" s="3">
        <v>9.125</v>
      </c>
      <c r="E228" s="5">
        <f t="shared" si="21"/>
        <v>1868</v>
      </c>
      <c r="F228">
        <v>0.21243999999999999</v>
      </c>
      <c r="G228">
        <f t="shared" si="22"/>
        <v>1.2817400000000001</v>
      </c>
      <c r="H228">
        <f t="shared" si="23"/>
        <v>1.2817400000000001</v>
      </c>
      <c r="I228" s="5">
        <f t="shared" si="24"/>
        <v>1868</v>
      </c>
      <c r="J228">
        <f t="shared" si="25"/>
        <v>1.4641898885260889</v>
      </c>
      <c r="K228">
        <f t="shared" si="26"/>
        <v>3.1151512085237294</v>
      </c>
      <c r="P228">
        <f t="shared" si="27"/>
        <v>1</v>
      </c>
    </row>
    <row r="229" spans="1:16" x14ac:dyDescent="0.25">
      <c r="A229" s="1"/>
      <c r="B229" t="s">
        <v>243</v>
      </c>
      <c r="C229" t="s">
        <v>24</v>
      </c>
      <c r="D229" s="3">
        <v>9.1666666666666661</v>
      </c>
      <c r="E229" s="5">
        <f t="shared" si="21"/>
        <v>1869</v>
      </c>
      <c r="F229">
        <v>1.68716</v>
      </c>
      <c r="G229">
        <f t="shared" si="22"/>
        <v>-3.8360799999999999</v>
      </c>
      <c r="H229">
        <f t="shared" si="23"/>
        <v>-3.8360799999999999</v>
      </c>
      <c r="I229" s="5">
        <f t="shared" si="24"/>
        <v>1869</v>
      </c>
      <c r="J229">
        <f t="shared" si="25"/>
        <v>-3.6596386723633976</v>
      </c>
      <c r="K229">
        <f t="shared" si="26"/>
        <v>2.2303851354915252</v>
      </c>
      <c r="P229">
        <f t="shared" si="27"/>
        <v>0</v>
      </c>
    </row>
    <row r="230" spans="1:16" x14ac:dyDescent="0.25">
      <c r="A230" s="1"/>
      <c r="B230" t="s">
        <v>244</v>
      </c>
      <c r="C230" t="s">
        <v>24</v>
      </c>
      <c r="D230" s="3">
        <v>9.2083333333333339</v>
      </c>
      <c r="E230" s="5">
        <f t="shared" si="21"/>
        <v>1870</v>
      </c>
      <c r="F230">
        <v>-0.67420000000000002</v>
      </c>
      <c r="G230">
        <f t="shared" si="22"/>
        <v>1.8069799999999998</v>
      </c>
      <c r="H230">
        <f t="shared" si="23"/>
        <v>1.8069799999999998</v>
      </c>
      <c r="I230" s="5">
        <f t="shared" si="24"/>
        <v>1870</v>
      </c>
      <c r="J230">
        <f t="shared" si="25"/>
        <v>1.0425204793346479</v>
      </c>
      <c r="K230">
        <f t="shared" si="26"/>
        <v>-5.3452192528770963</v>
      </c>
      <c r="P230">
        <f t="shared" si="27"/>
        <v>0</v>
      </c>
    </row>
    <row r="231" spans="1:16" x14ac:dyDescent="0.25">
      <c r="A231" s="1"/>
      <c r="B231" t="s">
        <v>245</v>
      </c>
      <c r="C231" t="s">
        <v>24</v>
      </c>
      <c r="D231" s="3">
        <v>9.25</v>
      </c>
      <c r="E231" s="5">
        <f t="shared" si="21"/>
        <v>1871</v>
      </c>
      <c r="F231">
        <v>-1.22858</v>
      </c>
      <c r="G231">
        <f t="shared" si="22"/>
        <v>0.84607999999999994</v>
      </c>
      <c r="H231">
        <f t="shared" si="23"/>
        <v>0.84607999999999994</v>
      </c>
      <c r="I231" s="5">
        <f t="shared" si="24"/>
        <v>1871</v>
      </c>
      <c r="J231">
        <f t="shared" si="25"/>
        <v>-0.14304037394469371</v>
      </c>
      <c r="K231">
        <f t="shared" si="26"/>
        <v>6.0390281201228975</v>
      </c>
      <c r="P231">
        <f t="shared" si="27"/>
        <v>0</v>
      </c>
    </row>
    <row r="232" spans="1:16" x14ac:dyDescent="0.25">
      <c r="A232" s="1"/>
      <c r="B232" t="s">
        <v>246</v>
      </c>
      <c r="C232" t="s">
        <v>24</v>
      </c>
      <c r="D232" s="3">
        <v>9.2916666666666661</v>
      </c>
      <c r="E232" s="5">
        <f t="shared" si="21"/>
        <v>1872</v>
      </c>
      <c r="F232">
        <v>-0.93688000000000005</v>
      </c>
      <c r="G232">
        <f t="shared" si="22"/>
        <v>-0.18365999999999993</v>
      </c>
      <c r="H232">
        <f t="shared" si="23"/>
        <v>-0.18365999999999993</v>
      </c>
      <c r="I232" s="5">
        <f t="shared" si="24"/>
        <v>1872</v>
      </c>
      <c r="J232">
        <f t="shared" si="25"/>
        <v>-1.1340645521935875</v>
      </c>
      <c r="K232">
        <f t="shared" si="26"/>
        <v>-5.0770859892171565</v>
      </c>
      <c r="P232">
        <f t="shared" si="27"/>
        <v>1</v>
      </c>
    </row>
    <row r="233" spans="1:16" x14ac:dyDescent="0.25">
      <c r="A233" s="1"/>
      <c r="B233" t="s">
        <v>247</v>
      </c>
      <c r="C233" t="s">
        <v>24</v>
      </c>
      <c r="D233" s="3">
        <v>9.3333333333333339</v>
      </c>
      <c r="E233" s="5">
        <f t="shared" si="21"/>
        <v>1873</v>
      </c>
      <c r="F233">
        <v>-0.82884000000000002</v>
      </c>
      <c r="G233">
        <f t="shared" si="22"/>
        <v>0.55813000000000001</v>
      </c>
      <c r="H233">
        <f t="shared" si="23"/>
        <v>0.55813000000000001</v>
      </c>
      <c r="I233" s="5">
        <f t="shared" si="24"/>
        <v>1873</v>
      </c>
      <c r="J233">
        <f t="shared" si="25"/>
        <v>0.10062086630642678</v>
      </c>
      <c r="K233">
        <f t="shared" si="26"/>
        <v>6.2346081819147088</v>
      </c>
      <c r="P233">
        <f t="shared" si="27"/>
        <v>1</v>
      </c>
    </row>
    <row r="234" spans="1:16" x14ac:dyDescent="0.25">
      <c r="A234" s="1"/>
      <c r="B234" t="s">
        <v>248</v>
      </c>
      <c r="C234" t="s">
        <v>24</v>
      </c>
      <c r="D234" s="3">
        <v>9.375</v>
      </c>
      <c r="E234" s="5">
        <f t="shared" si="21"/>
        <v>1874</v>
      </c>
      <c r="F234">
        <v>-0.16267000000000001</v>
      </c>
      <c r="G234">
        <f t="shared" si="22"/>
        <v>-0.27478000000000002</v>
      </c>
      <c r="H234">
        <f t="shared" si="23"/>
        <v>-0.27478000000000002</v>
      </c>
      <c r="I234" s="5">
        <f t="shared" si="24"/>
        <v>1874</v>
      </c>
      <c r="J234">
        <f t="shared" si="25"/>
        <v>-0.36092394949397028</v>
      </c>
      <c r="K234">
        <f t="shared" si="26"/>
        <v>-4.7742994921951576</v>
      </c>
      <c r="P234">
        <f t="shared" si="27"/>
        <v>1</v>
      </c>
    </row>
    <row r="235" spans="1:16" x14ac:dyDescent="0.25">
      <c r="A235" s="1"/>
      <c r="B235" t="s">
        <v>249</v>
      </c>
      <c r="C235" t="s">
        <v>24</v>
      </c>
      <c r="D235" s="3">
        <v>9.4166666666666661</v>
      </c>
      <c r="E235" s="5">
        <f t="shared" si="21"/>
        <v>1875</v>
      </c>
      <c r="F235">
        <v>0.22872000000000001</v>
      </c>
      <c r="G235">
        <f t="shared" si="22"/>
        <v>-1.0702400000000001</v>
      </c>
      <c r="H235">
        <f t="shared" si="23"/>
        <v>-1.0702400000000001</v>
      </c>
      <c r="I235" s="5">
        <f t="shared" si="24"/>
        <v>1875</v>
      </c>
      <c r="J235">
        <f t="shared" si="25"/>
        <v>-0.85464792384370358</v>
      </c>
      <c r="K235">
        <f t="shared" si="26"/>
        <v>1.0405285848784518</v>
      </c>
      <c r="P235">
        <f t="shared" si="27"/>
        <v>0</v>
      </c>
    </row>
    <row r="236" spans="1:16" x14ac:dyDescent="0.25">
      <c r="A236" s="1"/>
      <c r="B236" t="s">
        <v>250</v>
      </c>
      <c r="C236" t="s">
        <v>24</v>
      </c>
      <c r="D236" s="3">
        <v>9.4583333333333339</v>
      </c>
      <c r="E236" s="5">
        <f t="shared" si="21"/>
        <v>1876</v>
      </c>
      <c r="F236">
        <v>-0.45012999999999997</v>
      </c>
      <c r="G236">
        <f t="shared" si="22"/>
        <v>2.2897299999999996</v>
      </c>
      <c r="H236">
        <f t="shared" si="23"/>
        <v>2.2897299999999996</v>
      </c>
      <c r="I236" s="5">
        <f t="shared" si="24"/>
        <v>1876</v>
      </c>
      <c r="J236">
        <f t="shared" si="25"/>
        <v>2.3933642403926094</v>
      </c>
      <c r="K236">
        <f t="shared" si="26"/>
        <v>4.2733309814401768</v>
      </c>
      <c r="P236">
        <f t="shared" si="27"/>
        <v>1</v>
      </c>
    </row>
    <row r="237" spans="1:16" x14ac:dyDescent="0.25">
      <c r="A237" s="1"/>
      <c r="B237" t="s">
        <v>251</v>
      </c>
      <c r="C237" t="s">
        <v>24</v>
      </c>
      <c r="D237" s="3">
        <v>9.5</v>
      </c>
      <c r="E237" s="5">
        <f t="shared" si="21"/>
        <v>1877</v>
      </c>
      <c r="F237">
        <v>1.1607499999999999</v>
      </c>
      <c r="G237">
        <f t="shared" si="22"/>
        <v>-1.5945399999999998</v>
      </c>
      <c r="H237">
        <f t="shared" si="23"/>
        <v>-1.5945399999999998</v>
      </c>
      <c r="I237" s="5">
        <f t="shared" si="24"/>
        <v>1877</v>
      </c>
      <c r="J237">
        <f t="shared" si="25"/>
        <v>-1.0917108651954739</v>
      </c>
      <c r="K237">
        <f t="shared" si="26"/>
        <v>-6.0835372399485887</v>
      </c>
      <c r="P237">
        <f t="shared" si="27"/>
        <v>1</v>
      </c>
    </row>
    <row r="238" spans="1:16" x14ac:dyDescent="0.25">
      <c r="A238" s="1"/>
      <c r="B238" t="s">
        <v>252</v>
      </c>
      <c r="C238" t="s">
        <v>24</v>
      </c>
      <c r="D238" s="3">
        <v>9.5416666666666661</v>
      </c>
      <c r="E238" s="5">
        <f t="shared" si="21"/>
        <v>1878</v>
      </c>
      <c r="F238">
        <v>1.17709</v>
      </c>
      <c r="G238">
        <f t="shared" si="22"/>
        <v>-2.12297</v>
      </c>
      <c r="H238">
        <f t="shared" si="23"/>
        <v>-2.12297</v>
      </c>
      <c r="I238" s="5">
        <f t="shared" si="24"/>
        <v>1878</v>
      </c>
      <c r="J238">
        <f t="shared" si="25"/>
        <v>-2.1342646433450794</v>
      </c>
      <c r="K238">
        <f t="shared" si="26"/>
        <v>5.0907809809521574</v>
      </c>
      <c r="P238">
        <f t="shared" si="27"/>
        <v>0</v>
      </c>
    </row>
    <row r="239" spans="1:16" x14ac:dyDescent="0.25">
      <c r="A239" s="1"/>
      <c r="B239" t="s">
        <v>253</v>
      </c>
      <c r="C239" t="s">
        <v>24</v>
      </c>
      <c r="D239" s="3">
        <v>9.5833333333333339</v>
      </c>
      <c r="E239" s="5">
        <f t="shared" si="21"/>
        <v>1879</v>
      </c>
      <c r="F239">
        <v>-0.92954000000000003</v>
      </c>
      <c r="G239">
        <f t="shared" si="22"/>
        <v>1.21221</v>
      </c>
      <c r="H239">
        <f t="shared" si="23"/>
        <v>1.21221</v>
      </c>
      <c r="I239" s="5">
        <f t="shared" si="24"/>
        <v>1879</v>
      </c>
      <c r="J239">
        <f t="shared" si="25"/>
        <v>0.62983957029484849</v>
      </c>
      <c r="K239">
        <f t="shared" si="26"/>
        <v>-6.1094062579459472</v>
      </c>
      <c r="P239">
        <f t="shared" si="27"/>
        <v>0</v>
      </c>
    </row>
    <row r="240" spans="1:16" x14ac:dyDescent="0.25">
      <c r="A240" s="1"/>
      <c r="B240" t="s">
        <v>254</v>
      </c>
      <c r="C240" t="s">
        <v>24</v>
      </c>
      <c r="D240" s="3">
        <v>9.625</v>
      </c>
      <c r="E240" s="5">
        <f t="shared" si="21"/>
        <v>1880</v>
      </c>
      <c r="F240">
        <v>-1.82396</v>
      </c>
      <c r="G240">
        <f t="shared" si="22"/>
        <v>3.1040900000000002</v>
      </c>
      <c r="H240">
        <f t="shared" si="23"/>
        <v>3.1040900000000002</v>
      </c>
      <c r="I240" s="5">
        <f t="shared" si="24"/>
        <v>1880</v>
      </c>
      <c r="J240">
        <f t="shared" si="25"/>
        <v>2.5855521090118678</v>
      </c>
      <c r="K240">
        <f t="shared" si="26"/>
        <v>5.2435983090653773</v>
      </c>
      <c r="P240">
        <f t="shared" si="27"/>
        <v>1</v>
      </c>
    </row>
    <row r="241" spans="1:16" x14ac:dyDescent="0.25">
      <c r="A241" s="1"/>
      <c r="B241" t="s">
        <v>255</v>
      </c>
      <c r="C241" t="s">
        <v>24</v>
      </c>
      <c r="D241" s="3">
        <v>9.6666666666666661</v>
      </c>
      <c r="E241" s="5">
        <f t="shared" si="21"/>
        <v>1881</v>
      </c>
      <c r="F241">
        <v>0.38571</v>
      </c>
      <c r="G241">
        <f t="shared" si="22"/>
        <v>-2.3247300000000002</v>
      </c>
      <c r="H241">
        <f t="shared" si="23"/>
        <v>-2.3247300000000002</v>
      </c>
      <c r="I241" s="5">
        <f t="shared" si="24"/>
        <v>1881</v>
      </c>
      <c r="J241">
        <f t="shared" si="25"/>
        <v>-2.187763867632071</v>
      </c>
      <c r="K241">
        <f t="shared" si="26"/>
        <v>-3.9717880686104472</v>
      </c>
      <c r="P241">
        <f t="shared" si="27"/>
        <v>1</v>
      </c>
    </row>
    <row r="242" spans="1:16" x14ac:dyDescent="0.25">
      <c r="A242" s="1"/>
      <c r="B242" t="s">
        <v>256</v>
      </c>
      <c r="C242" t="s">
        <v>24</v>
      </c>
      <c r="D242" s="3">
        <v>9.7083333333333339</v>
      </c>
      <c r="E242" s="5">
        <f t="shared" si="21"/>
        <v>1882</v>
      </c>
      <c r="F242">
        <v>0.27065</v>
      </c>
      <c r="G242">
        <f t="shared" si="22"/>
        <v>-0.93714000000000008</v>
      </c>
      <c r="H242">
        <f t="shared" si="23"/>
        <v>-0.93714000000000008</v>
      </c>
      <c r="I242" s="5">
        <f t="shared" si="24"/>
        <v>1882</v>
      </c>
      <c r="J242">
        <f t="shared" si="25"/>
        <v>-0.55945606443194895</v>
      </c>
      <c r="K242">
        <f t="shared" si="26"/>
        <v>-1.9337778349539338</v>
      </c>
      <c r="P242">
        <f t="shared" si="27"/>
        <v>1</v>
      </c>
    </row>
    <row r="243" spans="1:16" x14ac:dyDescent="0.25">
      <c r="A243" s="1"/>
      <c r="B243" t="s">
        <v>257</v>
      </c>
      <c r="C243" t="s">
        <v>24</v>
      </c>
      <c r="D243" s="3">
        <v>9.75</v>
      </c>
      <c r="E243" s="5">
        <f t="shared" si="21"/>
        <v>1883</v>
      </c>
      <c r="F243">
        <v>-0.78154999999999997</v>
      </c>
      <c r="G243">
        <f t="shared" si="22"/>
        <v>2.1461699999999997</v>
      </c>
      <c r="H243">
        <f t="shared" si="23"/>
        <v>2.1461699999999997</v>
      </c>
      <c r="I243" s="5">
        <f t="shared" si="24"/>
        <v>1883</v>
      </c>
      <c r="J243">
        <f t="shared" si="25"/>
        <v>1.7675155450543638</v>
      </c>
      <c r="K243">
        <f t="shared" si="26"/>
        <v>5.6120977632947104</v>
      </c>
      <c r="P243">
        <f t="shared" si="27"/>
        <v>1</v>
      </c>
    </row>
    <row r="244" spans="1:16" x14ac:dyDescent="0.25">
      <c r="A244" s="1"/>
      <c r="B244" t="s">
        <v>258</v>
      </c>
      <c r="C244" t="s">
        <v>24</v>
      </c>
      <c r="D244" s="3">
        <v>9.7916666666666661</v>
      </c>
      <c r="E244" s="5">
        <f t="shared" si="21"/>
        <v>1884</v>
      </c>
      <c r="F244">
        <v>0.31241999999999998</v>
      </c>
      <c r="G244">
        <f t="shared" si="22"/>
        <v>0.26290000000000013</v>
      </c>
      <c r="H244">
        <f t="shared" si="23"/>
        <v>0.26290000000000013</v>
      </c>
      <c r="I244" s="5">
        <f t="shared" si="24"/>
        <v>1884</v>
      </c>
      <c r="J244">
        <f t="shared" si="25"/>
        <v>0.63388164899114929</v>
      </c>
      <c r="K244">
        <f t="shared" si="26"/>
        <v>-4.9889170860203089</v>
      </c>
      <c r="P244">
        <f t="shared" si="27"/>
        <v>0</v>
      </c>
    </row>
    <row r="245" spans="1:16" x14ac:dyDescent="0.25">
      <c r="A245" s="1"/>
      <c r="B245" t="s">
        <v>259</v>
      </c>
      <c r="C245" t="s">
        <v>24</v>
      </c>
      <c r="D245" s="3">
        <v>9.8333333333333339</v>
      </c>
      <c r="E245" s="5">
        <f t="shared" si="21"/>
        <v>1885</v>
      </c>
      <c r="F245">
        <v>1.6692899999999999</v>
      </c>
      <c r="G245">
        <f t="shared" si="22"/>
        <v>-3.0097399999999999</v>
      </c>
      <c r="H245">
        <f t="shared" si="23"/>
        <v>-3.0097399999999999</v>
      </c>
      <c r="I245" s="5">
        <f t="shared" si="24"/>
        <v>1885</v>
      </c>
      <c r="J245">
        <f t="shared" si="25"/>
        <v>-2.3322789977455827</v>
      </c>
      <c r="K245">
        <f t="shared" si="26"/>
        <v>5.8533539355549769</v>
      </c>
      <c r="P245">
        <f t="shared" si="27"/>
        <v>0</v>
      </c>
    </row>
    <row r="246" spans="1:16" x14ac:dyDescent="0.25">
      <c r="A246" s="1"/>
      <c r="B246" t="s">
        <v>260</v>
      </c>
      <c r="C246" t="s">
        <v>24</v>
      </c>
      <c r="D246" s="3">
        <v>9.875</v>
      </c>
      <c r="E246" s="5">
        <f t="shared" si="21"/>
        <v>1886</v>
      </c>
      <c r="F246">
        <v>1.6420000000000001E-2</v>
      </c>
      <c r="G246">
        <f t="shared" si="22"/>
        <v>-0.11202000000000023</v>
      </c>
      <c r="H246">
        <f t="shared" si="23"/>
        <v>-0.11202000000000023</v>
      </c>
      <c r="I246" s="5">
        <f t="shared" si="24"/>
        <v>1886</v>
      </c>
      <c r="J246">
        <f t="shared" si="25"/>
        <v>-9.5416325256863582E-2</v>
      </c>
      <c r="K246">
        <f t="shared" si="26"/>
        <v>-4.8944260305110507</v>
      </c>
      <c r="P246">
        <f t="shared" si="27"/>
        <v>1</v>
      </c>
    </row>
    <row r="247" spans="1:16" x14ac:dyDescent="0.25">
      <c r="A247" s="1"/>
      <c r="B247" t="s">
        <v>261</v>
      </c>
      <c r="C247" t="s">
        <v>24</v>
      </c>
      <c r="D247" s="3">
        <v>9.9166666666666661</v>
      </c>
      <c r="E247" s="5">
        <f t="shared" si="21"/>
        <v>1887</v>
      </c>
      <c r="F247">
        <v>-1.74847</v>
      </c>
      <c r="G247">
        <f t="shared" si="22"/>
        <v>4.7467000000000006</v>
      </c>
      <c r="H247">
        <f t="shared" si="23"/>
        <v>4.7467000000000006</v>
      </c>
      <c r="I247" s="5">
        <f t="shared" si="24"/>
        <v>1887</v>
      </c>
      <c r="J247">
        <f t="shared" si="25"/>
        <v>3.9560854059520505</v>
      </c>
      <c r="K247">
        <f t="shared" si="26"/>
        <v>5.6405976472549728</v>
      </c>
      <c r="P247">
        <f t="shared" si="27"/>
        <v>1</v>
      </c>
    </row>
    <row r="248" spans="1:16" x14ac:dyDescent="0.25">
      <c r="A248" s="1"/>
      <c r="B248" t="s">
        <v>262</v>
      </c>
      <c r="C248" t="s">
        <v>24</v>
      </c>
      <c r="D248" s="3">
        <v>9.9583333333333339</v>
      </c>
      <c r="E248" s="5">
        <f t="shared" si="21"/>
        <v>1888</v>
      </c>
      <c r="F248">
        <v>1.2333400000000001</v>
      </c>
      <c r="G248">
        <f t="shared" si="22"/>
        <v>-2.8604800000000004</v>
      </c>
      <c r="H248">
        <f t="shared" si="23"/>
        <v>-2.8604800000000004</v>
      </c>
      <c r="I248" s="5">
        <f t="shared" si="24"/>
        <v>1888</v>
      </c>
      <c r="J248">
        <f t="shared" si="25"/>
        <v>-3.1167735387377071</v>
      </c>
      <c r="K248">
        <f t="shared" si="26"/>
        <v>-1.1814396843752777</v>
      </c>
      <c r="P248">
        <f t="shared" si="27"/>
        <v>1</v>
      </c>
    </row>
    <row r="249" spans="1:16" x14ac:dyDescent="0.25">
      <c r="A249" s="1"/>
      <c r="B249" t="s">
        <v>263</v>
      </c>
      <c r="C249" t="s">
        <v>24</v>
      </c>
      <c r="D249" s="3">
        <v>10</v>
      </c>
      <c r="E249" s="5">
        <f t="shared" si="21"/>
        <v>1889</v>
      </c>
      <c r="F249">
        <v>1.35467</v>
      </c>
      <c r="G249">
        <f t="shared" si="22"/>
        <v>-2.9236499999999999</v>
      </c>
      <c r="H249">
        <f t="shared" si="23"/>
        <v>-2.9236499999999999</v>
      </c>
      <c r="I249" s="5">
        <f t="shared" si="24"/>
        <v>1889</v>
      </c>
      <c r="J249">
        <f t="shared" si="25"/>
        <v>-1.8999768527437637</v>
      </c>
      <c r="K249">
        <f t="shared" si="26"/>
        <v>-4.280095281805945</v>
      </c>
      <c r="P249">
        <f t="shared" si="27"/>
        <v>1</v>
      </c>
    </row>
    <row r="250" spans="1:16" x14ac:dyDescent="0.25">
      <c r="A250" s="1"/>
      <c r="B250" t="s">
        <v>264</v>
      </c>
      <c r="C250" t="s">
        <v>24</v>
      </c>
      <c r="D250" s="3">
        <v>10.041666666666666</v>
      </c>
      <c r="E250" s="5">
        <f t="shared" si="21"/>
        <v>1890</v>
      </c>
      <c r="F250">
        <v>-1.4476500000000001</v>
      </c>
      <c r="G250">
        <f t="shared" si="22"/>
        <v>4.2313499999999999</v>
      </c>
      <c r="H250">
        <f t="shared" si="23"/>
        <v>4.2313499999999999</v>
      </c>
      <c r="I250" s="5">
        <f t="shared" si="24"/>
        <v>1890</v>
      </c>
      <c r="J250">
        <f t="shared" si="25"/>
        <v>4.5203038046312285</v>
      </c>
      <c r="K250">
        <f t="shared" si="26"/>
        <v>4.6673362051200149</v>
      </c>
      <c r="P250">
        <f t="shared" si="27"/>
        <v>1</v>
      </c>
    </row>
    <row r="251" spans="1:16" x14ac:dyDescent="0.25">
      <c r="A251" s="1"/>
      <c r="B251" t="s">
        <v>265</v>
      </c>
      <c r="C251" t="s">
        <v>24</v>
      </c>
      <c r="D251" s="3">
        <v>10.083333333333334</v>
      </c>
      <c r="E251" s="5">
        <f t="shared" si="21"/>
        <v>1891</v>
      </c>
      <c r="F251">
        <v>-1.8620000000000001E-2</v>
      </c>
      <c r="G251">
        <f t="shared" si="22"/>
        <v>-1.7558</v>
      </c>
      <c r="H251">
        <f t="shared" si="23"/>
        <v>-1.7558</v>
      </c>
      <c r="I251" s="5">
        <f t="shared" si="24"/>
        <v>1891</v>
      </c>
      <c r="J251">
        <f t="shared" si="25"/>
        <v>-1.7692105217284191</v>
      </c>
      <c r="K251">
        <f t="shared" si="26"/>
        <v>-5.5383315316012229</v>
      </c>
      <c r="P251">
        <f t="shared" si="27"/>
        <v>1</v>
      </c>
    </row>
    <row r="252" spans="1:16" x14ac:dyDescent="0.25">
      <c r="A252" s="1"/>
      <c r="B252" t="s">
        <v>266</v>
      </c>
      <c r="C252" t="s">
        <v>24</v>
      </c>
      <c r="D252" s="3">
        <v>10.125</v>
      </c>
      <c r="E252" s="5">
        <f t="shared" si="21"/>
        <v>1892</v>
      </c>
      <c r="F252">
        <v>-0.34538999999999997</v>
      </c>
      <c r="G252">
        <f t="shared" si="22"/>
        <v>-1.5630200000000001</v>
      </c>
      <c r="H252">
        <f t="shared" si="23"/>
        <v>-1.5630200000000001</v>
      </c>
      <c r="I252" s="5">
        <f t="shared" si="24"/>
        <v>1892</v>
      </c>
      <c r="J252">
        <f t="shared" si="25"/>
        <v>-1.5419946513581388</v>
      </c>
      <c r="K252">
        <f t="shared" si="26"/>
        <v>4.180213641113343</v>
      </c>
      <c r="P252">
        <f t="shared" si="27"/>
        <v>0</v>
      </c>
    </row>
    <row r="253" spans="1:16" x14ac:dyDescent="0.25">
      <c r="A253" s="1"/>
      <c r="B253" t="s">
        <v>267</v>
      </c>
      <c r="C253" t="s">
        <v>24</v>
      </c>
      <c r="D253" s="3">
        <v>10.166666666666666</v>
      </c>
      <c r="E253" s="5">
        <f t="shared" si="21"/>
        <v>1893</v>
      </c>
      <c r="F253">
        <v>-2.2351800000000002</v>
      </c>
      <c r="G253">
        <f t="shared" si="22"/>
        <v>2.3824900000000002</v>
      </c>
      <c r="H253">
        <f t="shared" si="23"/>
        <v>2.3824900000000002</v>
      </c>
      <c r="I253" s="5">
        <f t="shared" si="24"/>
        <v>1893</v>
      </c>
      <c r="J253">
        <f t="shared" si="25"/>
        <v>0.40545695514492286</v>
      </c>
      <c r="K253">
        <f t="shared" si="26"/>
        <v>-5.8450533373655924</v>
      </c>
      <c r="P253">
        <f t="shared" si="27"/>
        <v>0</v>
      </c>
    </row>
    <row r="254" spans="1:16" x14ac:dyDescent="0.25">
      <c r="A254" s="1"/>
      <c r="B254" t="s">
        <v>268</v>
      </c>
      <c r="C254" t="s">
        <v>24</v>
      </c>
      <c r="D254" s="3">
        <v>10.208333333333334</v>
      </c>
      <c r="E254" s="5">
        <f t="shared" si="21"/>
        <v>1894</v>
      </c>
      <c r="F254">
        <v>-1.74248</v>
      </c>
      <c r="G254">
        <f t="shared" si="22"/>
        <v>0.96674999999999978</v>
      </c>
      <c r="H254">
        <f t="shared" si="23"/>
        <v>0.96674999999999978</v>
      </c>
      <c r="I254" s="5">
        <f t="shared" si="24"/>
        <v>1894</v>
      </c>
      <c r="J254">
        <f t="shared" si="25"/>
        <v>-0.82058374492394703</v>
      </c>
      <c r="K254">
        <f t="shared" si="26"/>
        <v>4.0085161609324835</v>
      </c>
      <c r="P254">
        <f t="shared" si="27"/>
        <v>0</v>
      </c>
    </row>
    <row r="255" spans="1:16" x14ac:dyDescent="0.25">
      <c r="A255" s="1"/>
      <c r="B255" t="s">
        <v>269</v>
      </c>
      <c r="C255" t="s">
        <v>24</v>
      </c>
      <c r="D255" s="3">
        <v>10.25</v>
      </c>
      <c r="E255" s="5">
        <f t="shared" si="21"/>
        <v>1895</v>
      </c>
      <c r="F255">
        <v>-0.28303</v>
      </c>
      <c r="G255">
        <f t="shared" si="22"/>
        <v>-1.5630499999999998</v>
      </c>
      <c r="H255">
        <f t="shared" si="23"/>
        <v>-1.5630499999999998</v>
      </c>
      <c r="I255" s="5">
        <f t="shared" si="24"/>
        <v>1895</v>
      </c>
      <c r="J255">
        <f t="shared" si="25"/>
        <v>-1.6385035960714309</v>
      </c>
      <c r="K255">
        <f t="shared" si="26"/>
        <v>1.9315205520398524</v>
      </c>
      <c r="P255">
        <f t="shared" si="27"/>
        <v>0</v>
      </c>
    </row>
    <row r="256" spans="1:16" x14ac:dyDescent="0.25">
      <c r="A256" s="1"/>
      <c r="B256" t="s">
        <v>270</v>
      </c>
      <c r="C256" t="s">
        <v>24</v>
      </c>
      <c r="D256" s="3">
        <v>10.291666666666666</v>
      </c>
      <c r="E256" s="5">
        <f t="shared" si="21"/>
        <v>1896</v>
      </c>
      <c r="F256">
        <v>-0.38662999999999997</v>
      </c>
      <c r="G256">
        <f t="shared" si="22"/>
        <v>1.8875199999999999</v>
      </c>
      <c r="H256">
        <f t="shared" si="23"/>
        <v>1.8875199999999999</v>
      </c>
      <c r="I256" s="5">
        <f t="shared" si="24"/>
        <v>1896</v>
      </c>
      <c r="J256">
        <f t="shared" si="25"/>
        <v>1.3490067091661861</v>
      </c>
      <c r="K256">
        <f t="shared" si="26"/>
        <v>-3.9352764388291415</v>
      </c>
      <c r="P256">
        <f t="shared" si="27"/>
        <v>0</v>
      </c>
    </row>
    <row r="257" spans="1:16" x14ac:dyDescent="0.25">
      <c r="A257" s="1"/>
      <c r="B257" t="s">
        <v>271</v>
      </c>
      <c r="C257" t="s">
        <v>24</v>
      </c>
      <c r="D257" s="3">
        <v>10.333333333333334</v>
      </c>
      <c r="E257" s="5">
        <f t="shared" si="21"/>
        <v>1897</v>
      </c>
      <c r="F257">
        <v>1.3972899999999999</v>
      </c>
      <c r="G257">
        <f t="shared" si="22"/>
        <v>-3.03003</v>
      </c>
      <c r="H257">
        <f t="shared" si="23"/>
        <v>-3.03003</v>
      </c>
      <c r="I257" s="5">
        <f t="shared" si="24"/>
        <v>1897</v>
      </c>
      <c r="J257">
        <f t="shared" si="25"/>
        <v>-2.5588675180955756</v>
      </c>
      <c r="K257">
        <f t="shared" si="26"/>
        <v>5.1391432682945535</v>
      </c>
      <c r="P257">
        <f t="shared" si="27"/>
        <v>0</v>
      </c>
    </row>
    <row r="258" spans="1:16" x14ac:dyDescent="0.25">
      <c r="A258" s="1"/>
      <c r="B258" t="s">
        <v>272</v>
      </c>
      <c r="C258" t="s">
        <v>24</v>
      </c>
      <c r="D258" s="3">
        <v>10.375</v>
      </c>
      <c r="E258" s="5">
        <f t="shared" si="21"/>
        <v>1898</v>
      </c>
      <c r="F258">
        <v>0.15118000000000001</v>
      </c>
      <c r="G258">
        <f t="shared" si="22"/>
        <v>-0.33862000000000037</v>
      </c>
      <c r="H258">
        <f t="shared" si="23"/>
        <v>-0.33862000000000037</v>
      </c>
      <c r="I258" s="5">
        <f t="shared" si="24"/>
        <v>1898</v>
      </c>
      <c r="J258">
        <f t="shared" si="25"/>
        <v>-0.15155491070865054</v>
      </c>
      <c r="K258">
        <f t="shared" si="26"/>
        <v>-3.4104548592914989</v>
      </c>
      <c r="P258">
        <f t="shared" si="27"/>
        <v>1</v>
      </c>
    </row>
    <row r="259" spans="1:16" x14ac:dyDescent="0.25">
      <c r="A259" s="1"/>
      <c r="B259" t="s">
        <v>273</v>
      </c>
      <c r="C259" t="s">
        <v>24</v>
      </c>
      <c r="D259" s="3">
        <v>10.416666666666666</v>
      </c>
      <c r="E259" s="5">
        <f t="shared" si="21"/>
        <v>1899</v>
      </c>
      <c r="F259">
        <v>-1.4335500000000001</v>
      </c>
      <c r="G259">
        <f t="shared" si="22"/>
        <v>3.4573100000000005</v>
      </c>
      <c r="H259">
        <f t="shared" si="23"/>
        <v>3.4573100000000005</v>
      </c>
      <c r="I259" s="5">
        <f t="shared" si="24"/>
        <v>1899</v>
      </c>
      <c r="J259">
        <f t="shared" si="25"/>
        <v>3.3904687964229545</v>
      </c>
      <c r="K259">
        <f t="shared" si="26"/>
        <v>5.0072712016020207</v>
      </c>
      <c r="P259">
        <f t="shared" si="27"/>
        <v>1</v>
      </c>
    </row>
    <row r="260" spans="1:16" x14ac:dyDescent="0.25">
      <c r="A260" s="1"/>
      <c r="B260" s="4">
        <v>1</v>
      </c>
      <c r="C260" t="s">
        <v>24</v>
      </c>
      <c r="D260" s="3">
        <v>10.458333333333334</v>
      </c>
      <c r="E260" s="5">
        <f t="shared" si="21"/>
        <v>1900</v>
      </c>
      <c r="F260">
        <v>0.43902999999999998</v>
      </c>
      <c r="G260">
        <f t="shared" si="22"/>
        <v>-1.2742800000000001</v>
      </c>
      <c r="H260">
        <f t="shared" si="23"/>
        <v>-1.2742800000000001</v>
      </c>
      <c r="I260" s="5">
        <f t="shared" si="24"/>
        <v>1900</v>
      </c>
      <c r="J260">
        <f t="shared" si="25"/>
        <v>-1.0914232852546693</v>
      </c>
      <c r="K260">
        <f t="shared" si="26"/>
        <v>-5.5136222785866416</v>
      </c>
      <c r="P260">
        <f t="shared" si="27"/>
        <v>1</v>
      </c>
    </row>
    <row r="261" spans="1:16" x14ac:dyDescent="0.25">
      <c r="A261" s="1"/>
      <c r="B261" s="4">
        <v>367</v>
      </c>
      <c r="C261" t="s">
        <v>24</v>
      </c>
      <c r="D261" s="3">
        <v>10.5</v>
      </c>
      <c r="E261" s="5">
        <f t="shared" si="21"/>
        <v>1901</v>
      </c>
      <c r="F261">
        <v>1.0373300000000001</v>
      </c>
      <c r="G261">
        <f t="shared" si="22"/>
        <v>-2.6122100000000001</v>
      </c>
      <c r="H261">
        <f t="shared" si="23"/>
        <v>-2.6122100000000001</v>
      </c>
      <c r="I261" s="5">
        <f t="shared" si="24"/>
        <v>1901</v>
      </c>
      <c r="J261">
        <f t="shared" si="25"/>
        <v>-1.8443728708680402</v>
      </c>
      <c r="K261">
        <f t="shared" si="26"/>
        <v>1.0937421521636681</v>
      </c>
      <c r="P261">
        <f t="shared" si="27"/>
        <v>0</v>
      </c>
    </row>
    <row r="262" spans="1:16" x14ac:dyDescent="0.25">
      <c r="A262" s="1"/>
      <c r="B262" s="4">
        <v>732</v>
      </c>
      <c r="C262" t="s">
        <v>24</v>
      </c>
      <c r="D262" s="3">
        <v>10.541666666666666</v>
      </c>
      <c r="E262" s="5">
        <f t="shared" si="21"/>
        <v>1902</v>
      </c>
      <c r="F262">
        <v>-0.97658</v>
      </c>
      <c r="G262">
        <f t="shared" si="22"/>
        <v>4.6636100000000003</v>
      </c>
      <c r="H262">
        <f t="shared" si="23"/>
        <v>4.6636100000000003</v>
      </c>
      <c r="I262" s="5">
        <f t="shared" si="24"/>
        <v>1902</v>
      </c>
      <c r="J262">
        <f t="shared" si="25"/>
        <v>5.0399253074935579</v>
      </c>
      <c r="K262">
        <f t="shared" si="26"/>
        <v>2.5620870617689664</v>
      </c>
      <c r="P262">
        <f t="shared" si="27"/>
        <v>1</v>
      </c>
    </row>
    <row r="263" spans="1:16" x14ac:dyDescent="0.25">
      <c r="A263" s="1"/>
      <c r="B263" s="4">
        <v>1097</v>
      </c>
      <c r="C263" t="s">
        <v>24</v>
      </c>
      <c r="D263" s="3">
        <v>10.583333333333334</v>
      </c>
      <c r="E263" s="5">
        <f t="shared" si="21"/>
        <v>1903</v>
      </c>
      <c r="F263">
        <v>1.6731199999999999</v>
      </c>
      <c r="G263">
        <f t="shared" si="22"/>
        <v>-6.1806000000000001</v>
      </c>
      <c r="H263">
        <f t="shared" si="23"/>
        <v>-6.1806000000000001</v>
      </c>
      <c r="I263" s="5">
        <f t="shared" si="24"/>
        <v>1903</v>
      </c>
      <c r="J263">
        <f t="shared" si="25"/>
        <v>-4.8714959832914637</v>
      </c>
      <c r="K263">
        <f t="shared" si="26"/>
        <v>-4.5628596723187709</v>
      </c>
      <c r="P263">
        <f t="shared" si="27"/>
        <v>1</v>
      </c>
    </row>
    <row r="264" spans="1:16" x14ac:dyDescent="0.25">
      <c r="A264" s="1"/>
      <c r="B264" s="4">
        <v>1462</v>
      </c>
      <c r="C264" t="s">
        <v>24</v>
      </c>
      <c r="D264" s="3">
        <v>10.625</v>
      </c>
      <c r="E264" s="5">
        <f t="shared" si="21"/>
        <v>1904</v>
      </c>
      <c r="F264">
        <v>-1.85778</v>
      </c>
      <c r="G264">
        <f t="shared" si="22"/>
        <v>7.8058199999999998</v>
      </c>
      <c r="H264">
        <f t="shared" si="23"/>
        <v>7.8058199999999998</v>
      </c>
      <c r="I264" s="5">
        <f t="shared" si="24"/>
        <v>1904</v>
      </c>
      <c r="J264">
        <f t="shared" si="25"/>
        <v>8.1891011765098529</v>
      </c>
      <c r="K264">
        <f t="shared" si="26"/>
        <v>2.7082750599808447</v>
      </c>
      <c r="P264">
        <f t="shared" si="27"/>
        <v>1</v>
      </c>
    </row>
    <row r="265" spans="1:16" x14ac:dyDescent="0.25">
      <c r="A265" s="1"/>
      <c r="B265" s="4">
        <v>1828</v>
      </c>
      <c r="C265" t="s">
        <v>24</v>
      </c>
      <c r="D265" s="3">
        <v>10.666666666666666</v>
      </c>
      <c r="E265" s="5">
        <f t="shared" si="21"/>
        <v>1905</v>
      </c>
      <c r="F265">
        <v>2.4171399999999998</v>
      </c>
      <c r="G265">
        <f t="shared" si="22"/>
        <v>-4.6000300000000003</v>
      </c>
      <c r="H265">
        <f t="shared" si="23"/>
        <v>-4.6000300000000003</v>
      </c>
      <c r="I265" s="5">
        <f t="shared" si="24"/>
        <v>1905</v>
      </c>
      <c r="J265">
        <f t="shared" si="25"/>
        <v>-1.9247147876300315</v>
      </c>
      <c r="K265">
        <f t="shared" si="26"/>
        <v>-3.735232646828174</v>
      </c>
      <c r="P265">
        <f t="shared" si="27"/>
        <v>1</v>
      </c>
    </row>
    <row r="266" spans="1:16" x14ac:dyDescent="0.25">
      <c r="A266" s="1"/>
      <c r="B266" s="4">
        <v>2193</v>
      </c>
      <c r="C266" t="s">
        <v>24</v>
      </c>
      <c r="D266" s="3">
        <v>10.708333333333334</v>
      </c>
      <c r="E266" s="5">
        <f t="shared" si="21"/>
        <v>1906</v>
      </c>
      <c r="F266">
        <v>2.0920299999999998</v>
      </c>
      <c r="G266">
        <f t="shared" si="22"/>
        <v>-1.3063799999999999</v>
      </c>
      <c r="H266">
        <f t="shared" si="23"/>
        <v>-1.3063799999999999</v>
      </c>
      <c r="I266" s="5">
        <f t="shared" si="24"/>
        <v>1906</v>
      </c>
      <c r="J266">
        <f t="shared" si="25"/>
        <v>-0.56674627363386842</v>
      </c>
      <c r="K266">
        <f t="shared" si="26"/>
        <v>5.3364330825312063</v>
      </c>
      <c r="P266">
        <f t="shared" si="27"/>
        <v>0</v>
      </c>
    </row>
    <row r="267" spans="1:16" x14ac:dyDescent="0.25">
      <c r="A267" s="1"/>
      <c r="B267" s="4">
        <v>2558</v>
      </c>
      <c r="C267" t="s">
        <v>24</v>
      </c>
      <c r="D267" s="3">
        <v>10.75</v>
      </c>
      <c r="E267" s="5">
        <f t="shared" si="21"/>
        <v>1907</v>
      </c>
      <c r="F267">
        <v>0.46054</v>
      </c>
      <c r="G267">
        <f t="shared" si="22"/>
        <v>1.47526</v>
      </c>
      <c r="H267">
        <f t="shared" si="23"/>
        <v>1.47526</v>
      </c>
      <c r="I267" s="5">
        <f t="shared" si="24"/>
        <v>1907</v>
      </c>
      <c r="J267">
        <f t="shared" si="25"/>
        <v>1.7457612604115684</v>
      </c>
      <c r="K267">
        <f t="shared" si="26"/>
        <v>-3.8889319987004405</v>
      </c>
      <c r="P267">
        <f t="shared" si="27"/>
        <v>0</v>
      </c>
    </row>
    <row r="268" spans="1:16" x14ac:dyDescent="0.25">
      <c r="A268" s="1"/>
      <c r="B268" s="4">
        <v>2923</v>
      </c>
      <c r="C268" t="s">
        <v>24</v>
      </c>
      <c r="D268" s="3">
        <v>10.791666666666666</v>
      </c>
      <c r="E268" s="5">
        <f t="shared" ref="E268:E331" si="28">+E267+1</f>
        <v>1908</v>
      </c>
      <c r="F268">
        <v>0.30431000000000002</v>
      </c>
      <c r="G268">
        <f t="shared" ref="G268:G331" si="29">+(F269-F268)-(F268-F267)</f>
        <v>-1.2863600000000002</v>
      </c>
      <c r="H268">
        <f t="shared" ref="H268:H331" si="30">+G268</f>
        <v>-1.2863600000000002</v>
      </c>
      <c r="I268" s="5">
        <f t="shared" si="24"/>
        <v>1908</v>
      </c>
      <c r="J268">
        <f t="shared" si="25"/>
        <v>-0.83518178679870492</v>
      </c>
      <c r="K268">
        <f t="shared" si="26"/>
        <v>-0.42939326236594511</v>
      </c>
      <c r="P268">
        <f t="shared" si="27"/>
        <v>1</v>
      </c>
    </row>
    <row r="269" spans="1:16" x14ac:dyDescent="0.25">
      <c r="A269" s="1"/>
      <c r="B269" s="4">
        <v>3289</v>
      </c>
      <c r="C269" t="s">
        <v>24</v>
      </c>
      <c r="D269" s="3">
        <v>10.833333333333334</v>
      </c>
      <c r="E269" s="5">
        <f t="shared" si="28"/>
        <v>1909</v>
      </c>
      <c r="F269">
        <v>-1.13828</v>
      </c>
      <c r="G269">
        <f t="shared" si="29"/>
        <v>0.48252000000000006</v>
      </c>
      <c r="H269">
        <f t="shared" si="30"/>
        <v>0.48252000000000006</v>
      </c>
      <c r="I269" s="5">
        <f t="shared" ref="I269:I332" si="31">+E269</f>
        <v>1909</v>
      </c>
      <c r="J269">
        <f t="shared" ref="J269:J332" si="32">+$J$6*F269+F269*$J$7*COS(2*PI()*$I269/$K$6+$K$5*COS($J$5*$I269+$K$8)+$J$9)+H269+F269*$J$3*COS(2*PI()*$I269/$J$8+$K$3)</f>
        <v>0.16575311562956341</v>
      </c>
      <c r="K269">
        <f t="shared" ref="K269:K332" si="33">+$K$8*COS(2*PI()*$I269/$K$6+$K$5*COS($J$5*$I269+$K$8)+$K$7) +$K$4*COS(2*PI()*$I269/$J$8+$J$4)</f>
        <v>3.6684873661627142</v>
      </c>
      <c r="P269">
        <f t="shared" ref="P269:P332" si="34">+IF(J269*K269&gt;0,1, 0)</f>
        <v>1</v>
      </c>
    </row>
    <row r="270" spans="1:16" x14ac:dyDescent="0.25">
      <c r="A270" s="1"/>
      <c r="B270" s="4">
        <v>3654</v>
      </c>
      <c r="C270" t="s">
        <v>24</v>
      </c>
      <c r="D270" s="3">
        <v>10.875</v>
      </c>
      <c r="E270" s="5">
        <f t="shared" si="28"/>
        <v>1910</v>
      </c>
      <c r="F270">
        <v>-2.0983499999999999</v>
      </c>
      <c r="G270">
        <f t="shared" si="29"/>
        <v>2.6539299999999999</v>
      </c>
      <c r="H270">
        <f t="shared" si="30"/>
        <v>2.6539299999999999</v>
      </c>
      <c r="I270" s="5">
        <f t="shared" si="31"/>
        <v>1910</v>
      </c>
      <c r="J270">
        <f t="shared" si="32"/>
        <v>-0.14800602316196804</v>
      </c>
      <c r="K270">
        <f t="shared" si="33"/>
        <v>-2.0577958121222362</v>
      </c>
      <c r="P270">
        <f t="shared" si="34"/>
        <v>1</v>
      </c>
    </row>
    <row r="271" spans="1:16" x14ac:dyDescent="0.25">
      <c r="A271" s="1"/>
      <c r="B271" s="4">
        <v>4019</v>
      </c>
      <c r="C271" t="s">
        <v>24</v>
      </c>
      <c r="D271" s="3">
        <v>10.916666666666666</v>
      </c>
      <c r="E271" s="5">
        <f t="shared" si="28"/>
        <v>1911</v>
      </c>
      <c r="F271">
        <v>-0.40449000000000002</v>
      </c>
      <c r="G271">
        <f t="shared" si="29"/>
        <v>0.65920000000000023</v>
      </c>
      <c r="H271">
        <f t="shared" si="30"/>
        <v>0.65920000000000023</v>
      </c>
      <c r="I271" s="5">
        <f t="shared" si="31"/>
        <v>1911</v>
      </c>
      <c r="J271">
        <f t="shared" si="32"/>
        <v>0.66679971542374461</v>
      </c>
      <c r="K271">
        <f t="shared" si="33"/>
        <v>2.478241078518141</v>
      </c>
      <c r="P271">
        <f t="shared" si="34"/>
        <v>1</v>
      </c>
    </row>
    <row r="272" spans="1:16" x14ac:dyDescent="0.25">
      <c r="A272" s="1"/>
      <c r="B272" s="4">
        <v>4384</v>
      </c>
      <c r="C272" t="s">
        <v>24</v>
      </c>
      <c r="D272" s="3">
        <v>10.958333333333334</v>
      </c>
      <c r="E272" s="5">
        <f t="shared" si="28"/>
        <v>1912</v>
      </c>
      <c r="F272">
        <v>1.9485699999999999</v>
      </c>
      <c r="G272">
        <f t="shared" si="29"/>
        <v>-3.4008099999999999</v>
      </c>
      <c r="H272">
        <f t="shared" si="30"/>
        <v>-3.4008099999999999</v>
      </c>
      <c r="I272" s="5">
        <f t="shared" si="31"/>
        <v>1912</v>
      </c>
      <c r="J272">
        <f t="shared" si="32"/>
        <v>-1.5660564705515461</v>
      </c>
      <c r="K272">
        <f t="shared" si="33"/>
        <v>-3.8900127140909713</v>
      </c>
      <c r="P272">
        <f t="shared" si="34"/>
        <v>1</v>
      </c>
    </row>
    <row r="273" spans="1:16" x14ac:dyDescent="0.25">
      <c r="A273" s="1"/>
      <c r="B273" s="4">
        <v>4750</v>
      </c>
      <c r="C273" t="s">
        <v>24</v>
      </c>
      <c r="D273" s="3">
        <v>11</v>
      </c>
      <c r="E273" s="5">
        <f t="shared" si="28"/>
        <v>1913</v>
      </c>
      <c r="F273">
        <v>0.90081999999999995</v>
      </c>
      <c r="G273">
        <f t="shared" si="29"/>
        <v>1.9676</v>
      </c>
      <c r="H273">
        <f t="shared" si="30"/>
        <v>1.9676</v>
      </c>
      <c r="I273" s="5">
        <f t="shared" si="31"/>
        <v>1913</v>
      </c>
      <c r="J273">
        <f t="shared" si="32"/>
        <v>2.1276595852881695</v>
      </c>
      <c r="K273">
        <f t="shared" si="33"/>
        <v>5.4002436090258623</v>
      </c>
      <c r="P273">
        <f t="shared" si="34"/>
        <v>1</v>
      </c>
    </row>
    <row r="274" spans="1:16" x14ac:dyDescent="0.25">
      <c r="A274" s="1"/>
      <c r="B274" s="4">
        <v>5115</v>
      </c>
      <c r="C274" t="s">
        <v>24</v>
      </c>
      <c r="D274" s="3">
        <v>11.041666666666666</v>
      </c>
      <c r="E274" s="5">
        <f t="shared" si="28"/>
        <v>1914</v>
      </c>
      <c r="F274">
        <v>1.82067</v>
      </c>
      <c r="G274">
        <f t="shared" si="29"/>
        <v>-0.67032000000000025</v>
      </c>
      <c r="H274">
        <f t="shared" si="30"/>
        <v>-0.67032000000000025</v>
      </c>
      <c r="I274" s="5">
        <f t="shared" si="31"/>
        <v>1914</v>
      </c>
      <c r="J274">
        <f t="shared" si="32"/>
        <v>-1.1774957156505619</v>
      </c>
      <c r="K274">
        <f t="shared" si="33"/>
        <v>-2.230109820156323</v>
      </c>
      <c r="P274">
        <f t="shared" si="34"/>
        <v>1</v>
      </c>
    </row>
    <row r="275" spans="1:16" x14ac:dyDescent="0.25">
      <c r="A275" s="1"/>
      <c r="B275" s="4">
        <v>5480</v>
      </c>
      <c r="C275" t="s">
        <v>24</v>
      </c>
      <c r="D275" s="3">
        <v>11.083333333333334</v>
      </c>
      <c r="E275" s="5">
        <f t="shared" si="28"/>
        <v>1915</v>
      </c>
      <c r="F275">
        <v>2.0701999999999998</v>
      </c>
      <c r="G275">
        <f t="shared" si="29"/>
        <v>-2.86402</v>
      </c>
      <c r="H275">
        <f t="shared" si="30"/>
        <v>-2.86402</v>
      </c>
      <c r="I275" s="5">
        <f t="shared" si="31"/>
        <v>1915</v>
      </c>
      <c r="J275">
        <f t="shared" si="32"/>
        <v>-1.1719816984305189</v>
      </c>
      <c r="K275">
        <f t="shared" si="33"/>
        <v>-2.3017770675601392</v>
      </c>
      <c r="P275">
        <f t="shared" si="34"/>
        <v>1</v>
      </c>
    </row>
    <row r="276" spans="1:16" x14ac:dyDescent="0.25">
      <c r="A276" s="1"/>
      <c r="B276" s="4">
        <v>5845</v>
      </c>
      <c r="C276" t="s">
        <v>24</v>
      </c>
      <c r="D276" s="3">
        <v>11.125</v>
      </c>
      <c r="E276" s="5">
        <f t="shared" si="28"/>
        <v>1916</v>
      </c>
      <c r="F276">
        <v>-0.54429000000000005</v>
      </c>
      <c r="G276">
        <f t="shared" si="29"/>
        <v>1.9921000000000002</v>
      </c>
      <c r="H276">
        <f t="shared" si="30"/>
        <v>1.9921000000000002</v>
      </c>
      <c r="I276" s="5">
        <f t="shared" si="31"/>
        <v>1916</v>
      </c>
      <c r="J276">
        <f t="shared" si="32"/>
        <v>2.1422823656647396</v>
      </c>
      <c r="K276">
        <f t="shared" si="33"/>
        <v>1.3633005154597901</v>
      </c>
      <c r="P276">
        <f t="shared" si="34"/>
        <v>1</v>
      </c>
    </row>
    <row r="277" spans="1:16" x14ac:dyDescent="0.25">
      <c r="A277" s="1"/>
      <c r="B277" s="4">
        <v>6211</v>
      </c>
      <c r="C277" t="s">
        <v>24</v>
      </c>
      <c r="D277" s="3">
        <v>11.166666666666666</v>
      </c>
      <c r="E277" s="5">
        <f t="shared" si="28"/>
        <v>1917</v>
      </c>
      <c r="F277">
        <v>-1.1666799999999999</v>
      </c>
      <c r="G277">
        <f t="shared" si="29"/>
        <v>9.9349999999999716E-2</v>
      </c>
      <c r="H277">
        <f t="shared" si="30"/>
        <v>9.9349999999999716E-2</v>
      </c>
      <c r="I277" s="5">
        <f t="shared" si="31"/>
        <v>1917</v>
      </c>
      <c r="J277">
        <f t="shared" si="32"/>
        <v>-1.1536816693197396</v>
      </c>
      <c r="K277">
        <f t="shared" si="33"/>
        <v>-1.4334458605970453</v>
      </c>
      <c r="P277">
        <f t="shared" si="34"/>
        <v>1</v>
      </c>
    </row>
    <row r="278" spans="1:16" x14ac:dyDescent="0.25">
      <c r="A278" s="1"/>
      <c r="B278" s="4">
        <v>6576</v>
      </c>
      <c r="C278" t="s">
        <v>24</v>
      </c>
      <c r="D278" s="3">
        <v>11.208333333333334</v>
      </c>
      <c r="E278" s="5">
        <f t="shared" si="28"/>
        <v>1918</v>
      </c>
      <c r="F278">
        <v>-1.6897200000000001</v>
      </c>
      <c r="G278">
        <f t="shared" si="29"/>
        <v>4.5624900000000004</v>
      </c>
      <c r="H278">
        <f t="shared" si="30"/>
        <v>4.5624900000000004</v>
      </c>
      <c r="I278" s="5">
        <f t="shared" si="31"/>
        <v>1918</v>
      </c>
      <c r="J278">
        <f t="shared" si="32"/>
        <v>4.460999618725026</v>
      </c>
      <c r="K278">
        <f t="shared" si="33"/>
        <v>1.9264652818241201</v>
      </c>
      <c r="P278">
        <f t="shared" si="34"/>
        <v>1</v>
      </c>
    </row>
    <row r="279" spans="1:16" x14ac:dyDescent="0.25">
      <c r="A279" s="1"/>
      <c r="B279" s="4">
        <v>6941</v>
      </c>
      <c r="C279" t="s">
        <v>24</v>
      </c>
      <c r="D279" s="3">
        <v>11.25</v>
      </c>
      <c r="E279" s="5">
        <f t="shared" si="28"/>
        <v>1919</v>
      </c>
      <c r="F279">
        <v>2.3497300000000001</v>
      </c>
      <c r="G279">
        <f t="shared" si="29"/>
        <v>-4.90611</v>
      </c>
      <c r="H279">
        <f t="shared" si="30"/>
        <v>-4.90611</v>
      </c>
      <c r="I279" s="5">
        <f t="shared" si="31"/>
        <v>1919</v>
      </c>
      <c r="J279">
        <f t="shared" si="32"/>
        <v>-2.0926503481358925</v>
      </c>
      <c r="K279">
        <f t="shared" si="33"/>
        <v>-5.1072738598654279</v>
      </c>
      <c r="P279">
        <f t="shared" si="34"/>
        <v>1</v>
      </c>
    </row>
    <row r="280" spans="1:16" x14ac:dyDescent="0.25">
      <c r="A280" s="1"/>
      <c r="B280" s="4">
        <v>7306</v>
      </c>
      <c r="C280" t="s">
        <v>24</v>
      </c>
      <c r="D280" s="3">
        <v>11.291666666666666</v>
      </c>
      <c r="E280" s="5">
        <f t="shared" si="28"/>
        <v>1920</v>
      </c>
      <c r="F280">
        <v>1.4830700000000001</v>
      </c>
      <c r="G280">
        <f t="shared" si="29"/>
        <v>-1.3225099999999999</v>
      </c>
      <c r="H280">
        <f t="shared" si="30"/>
        <v>-1.3225099999999999</v>
      </c>
      <c r="I280" s="5">
        <f t="shared" si="31"/>
        <v>1920</v>
      </c>
      <c r="J280">
        <f t="shared" si="32"/>
        <v>0.32498531947886244</v>
      </c>
      <c r="K280">
        <f t="shared" si="33"/>
        <v>4.6940477782054737</v>
      </c>
      <c r="P280">
        <f t="shared" si="34"/>
        <v>1</v>
      </c>
    </row>
    <row r="281" spans="1:16" x14ac:dyDescent="0.25">
      <c r="A281" s="1"/>
      <c r="B281" s="4">
        <v>7672</v>
      </c>
      <c r="C281" t="s">
        <v>24</v>
      </c>
      <c r="D281" s="3">
        <v>11.333333333333334</v>
      </c>
      <c r="E281" s="5">
        <f t="shared" si="28"/>
        <v>1921</v>
      </c>
      <c r="F281">
        <v>-0.70609999999999995</v>
      </c>
      <c r="G281">
        <f t="shared" si="29"/>
        <v>1.6403299999999998</v>
      </c>
      <c r="H281">
        <f t="shared" si="30"/>
        <v>1.6403299999999998</v>
      </c>
      <c r="I281" s="5">
        <f t="shared" si="31"/>
        <v>1921</v>
      </c>
      <c r="J281">
        <f t="shared" si="32"/>
        <v>1.4158284028064312</v>
      </c>
      <c r="K281">
        <f t="shared" si="33"/>
        <v>0.38761259694507399</v>
      </c>
      <c r="P281">
        <f t="shared" si="34"/>
        <v>1</v>
      </c>
    </row>
    <row r="282" spans="1:16" x14ac:dyDescent="0.25">
      <c r="A282" s="1"/>
      <c r="B282" s="4">
        <v>8037</v>
      </c>
      <c r="C282" t="s">
        <v>24</v>
      </c>
      <c r="D282" s="3">
        <v>11.375</v>
      </c>
      <c r="E282" s="5">
        <f t="shared" si="28"/>
        <v>1922</v>
      </c>
      <c r="F282">
        <v>-1.2549399999999999</v>
      </c>
      <c r="G282">
        <f t="shared" si="29"/>
        <v>1.2729200000000001</v>
      </c>
      <c r="H282">
        <f t="shared" si="30"/>
        <v>1.2729200000000001</v>
      </c>
      <c r="I282" s="5">
        <f t="shared" si="31"/>
        <v>1922</v>
      </c>
      <c r="J282">
        <f t="shared" si="32"/>
        <v>-0.45896288525459372</v>
      </c>
      <c r="K282">
        <f t="shared" si="33"/>
        <v>-0.49451614859374327</v>
      </c>
      <c r="P282">
        <f t="shared" si="34"/>
        <v>1</v>
      </c>
    </row>
    <row r="283" spans="1:16" x14ac:dyDescent="0.25">
      <c r="A283" s="1"/>
      <c r="B283" s="4">
        <v>8402</v>
      </c>
      <c r="C283" t="s">
        <v>24</v>
      </c>
      <c r="D283" s="3">
        <v>11.416666666666666</v>
      </c>
      <c r="E283" s="5">
        <f t="shared" si="28"/>
        <v>1923</v>
      </c>
      <c r="F283">
        <v>-0.53086</v>
      </c>
      <c r="G283">
        <f t="shared" si="29"/>
        <v>0.36950000000000005</v>
      </c>
      <c r="H283">
        <f t="shared" si="30"/>
        <v>0.36950000000000005</v>
      </c>
      <c r="I283" s="5">
        <f t="shared" si="31"/>
        <v>1923</v>
      </c>
      <c r="J283">
        <f t="shared" si="32"/>
        <v>0.33661559520974432</v>
      </c>
      <c r="K283">
        <f t="shared" si="33"/>
        <v>0.60699011071366615</v>
      </c>
      <c r="P283">
        <f t="shared" si="34"/>
        <v>1</v>
      </c>
    </row>
    <row r="284" spans="1:16" x14ac:dyDescent="0.25">
      <c r="A284" s="1"/>
      <c r="B284" s="4">
        <v>8767</v>
      </c>
      <c r="C284" t="s">
        <v>24</v>
      </c>
      <c r="D284" s="3">
        <v>11.458333333333334</v>
      </c>
      <c r="E284" s="5">
        <f t="shared" si="28"/>
        <v>1924</v>
      </c>
      <c r="F284">
        <v>0.56272</v>
      </c>
      <c r="G284">
        <f t="shared" si="29"/>
        <v>-3.4095500000000003</v>
      </c>
      <c r="H284">
        <f t="shared" si="30"/>
        <v>-3.4095500000000003</v>
      </c>
      <c r="I284" s="5">
        <f t="shared" si="31"/>
        <v>1924</v>
      </c>
      <c r="J284">
        <f t="shared" si="32"/>
        <v>-2.8283308502339768</v>
      </c>
      <c r="K284">
        <f t="shared" si="33"/>
        <v>-5.7261539895635316E-2</v>
      </c>
      <c r="P284">
        <f t="shared" si="34"/>
        <v>1</v>
      </c>
    </row>
    <row r="285" spans="1:16" x14ac:dyDescent="0.25">
      <c r="A285" s="1"/>
      <c r="B285" s="4">
        <v>9133</v>
      </c>
      <c r="C285" t="s">
        <v>24</v>
      </c>
      <c r="D285" s="3">
        <v>11.5</v>
      </c>
      <c r="E285" s="5">
        <f t="shared" si="28"/>
        <v>1925</v>
      </c>
      <c r="F285">
        <v>-1.75325</v>
      </c>
      <c r="G285">
        <f t="shared" si="29"/>
        <v>5.95662</v>
      </c>
      <c r="H285">
        <f t="shared" si="30"/>
        <v>5.95662</v>
      </c>
      <c r="I285" s="5">
        <f t="shared" si="31"/>
        <v>1925</v>
      </c>
      <c r="J285">
        <f t="shared" si="32"/>
        <v>6.4185749545180064</v>
      </c>
      <c r="K285">
        <f t="shared" si="33"/>
        <v>3.3419669456358227</v>
      </c>
      <c r="P285">
        <f t="shared" si="34"/>
        <v>1</v>
      </c>
    </row>
    <row r="286" spans="1:16" x14ac:dyDescent="0.25">
      <c r="A286" s="1"/>
      <c r="B286" s="4">
        <v>9498</v>
      </c>
      <c r="C286" t="s">
        <v>24</v>
      </c>
      <c r="D286" s="3">
        <v>11.541666666666666</v>
      </c>
      <c r="E286" s="5">
        <f t="shared" si="28"/>
        <v>1926</v>
      </c>
      <c r="F286">
        <v>1.8874</v>
      </c>
      <c r="G286">
        <f t="shared" si="29"/>
        <v>-5.6693199999999999</v>
      </c>
      <c r="H286">
        <f t="shared" si="30"/>
        <v>-5.6693199999999999</v>
      </c>
      <c r="I286" s="5">
        <f t="shared" si="31"/>
        <v>1926</v>
      </c>
      <c r="J286">
        <f t="shared" si="32"/>
        <v>-5.0651145427142703</v>
      </c>
      <c r="K286">
        <f t="shared" si="33"/>
        <v>-5.9834196054350537</v>
      </c>
      <c r="P286">
        <f t="shared" si="34"/>
        <v>1</v>
      </c>
    </row>
    <row r="287" spans="1:16" x14ac:dyDescent="0.25">
      <c r="A287" s="1"/>
      <c r="B287" s="4">
        <v>9863</v>
      </c>
      <c r="C287" t="s">
        <v>24</v>
      </c>
      <c r="D287" s="3">
        <v>11.583333333333334</v>
      </c>
      <c r="E287" s="5">
        <f t="shared" si="28"/>
        <v>1927</v>
      </c>
      <c r="F287">
        <v>-0.14127000000000001</v>
      </c>
      <c r="G287">
        <f t="shared" si="29"/>
        <v>2.4368499999999997</v>
      </c>
      <c r="H287">
        <f t="shared" si="30"/>
        <v>2.4368499999999997</v>
      </c>
      <c r="I287" s="5">
        <f t="shared" si="31"/>
        <v>1927</v>
      </c>
      <c r="J287">
        <f t="shared" si="32"/>
        <v>2.3476717327684948</v>
      </c>
      <c r="K287">
        <f t="shared" si="33"/>
        <v>1.9065135565327413</v>
      </c>
      <c r="P287">
        <f t="shared" si="34"/>
        <v>1</v>
      </c>
    </row>
    <row r="288" spans="1:16" x14ac:dyDescent="0.25">
      <c r="A288" s="1"/>
      <c r="B288" s="4">
        <v>10228</v>
      </c>
      <c r="C288" t="s">
        <v>24</v>
      </c>
      <c r="D288" s="3">
        <v>11.625</v>
      </c>
      <c r="E288" s="5">
        <f t="shared" si="28"/>
        <v>1928</v>
      </c>
      <c r="F288">
        <v>0.26690999999999998</v>
      </c>
      <c r="G288">
        <f t="shared" si="29"/>
        <v>-1.9864899999999999</v>
      </c>
      <c r="H288">
        <f t="shared" si="30"/>
        <v>-1.9864899999999999</v>
      </c>
      <c r="I288" s="5">
        <f t="shared" si="31"/>
        <v>1928</v>
      </c>
      <c r="J288">
        <f t="shared" si="32"/>
        <v>-2.0617392115469966</v>
      </c>
      <c r="K288">
        <f t="shared" si="33"/>
        <v>-0.67246695007547974</v>
      </c>
      <c r="P288">
        <f t="shared" si="34"/>
        <v>1</v>
      </c>
    </row>
    <row r="289" spans="1:16" x14ac:dyDescent="0.25">
      <c r="A289" s="1"/>
      <c r="B289" s="4">
        <v>10594</v>
      </c>
      <c r="C289" t="s">
        <v>24</v>
      </c>
      <c r="D289" s="3">
        <v>11.666666666666666</v>
      </c>
      <c r="E289" s="5">
        <f t="shared" si="28"/>
        <v>1929</v>
      </c>
      <c r="F289">
        <v>-1.3113999999999999</v>
      </c>
      <c r="G289">
        <f t="shared" si="29"/>
        <v>3.6171199999999999</v>
      </c>
      <c r="H289">
        <f t="shared" si="30"/>
        <v>3.6171199999999999</v>
      </c>
      <c r="I289" s="5">
        <f t="shared" si="31"/>
        <v>1929</v>
      </c>
      <c r="J289">
        <f t="shared" si="32"/>
        <v>2.341990032066346</v>
      </c>
      <c r="K289">
        <f t="shared" si="33"/>
        <v>9.6556071062255056E-2</v>
      </c>
      <c r="P289">
        <f t="shared" si="34"/>
        <v>1</v>
      </c>
    </row>
    <row r="290" spans="1:16" x14ac:dyDescent="0.25">
      <c r="A290" s="1"/>
      <c r="B290" s="4">
        <v>10959</v>
      </c>
      <c r="C290" t="s">
        <v>24</v>
      </c>
      <c r="D290" s="3">
        <v>11.708333333333334</v>
      </c>
      <c r="E290" s="5">
        <f t="shared" si="28"/>
        <v>1930</v>
      </c>
      <c r="F290">
        <v>0.72741</v>
      </c>
      <c r="G290">
        <f t="shared" si="29"/>
        <v>-0.54781999999999975</v>
      </c>
      <c r="H290">
        <f t="shared" si="30"/>
        <v>-0.54781999999999975</v>
      </c>
      <c r="I290" s="5">
        <f t="shared" si="31"/>
        <v>1930</v>
      </c>
      <c r="J290">
        <f t="shared" si="32"/>
        <v>-0.4831108480787506</v>
      </c>
      <c r="K290">
        <f t="shared" si="33"/>
        <v>-1.4334699485941096</v>
      </c>
      <c r="P290">
        <f t="shared" si="34"/>
        <v>1</v>
      </c>
    </row>
    <row r="291" spans="1:16" x14ac:dyDescent="0.25">
      <c r="A291" s="1"/>
      <c r="B291" s="4">
        <v>11324</v>
      </c>
      <c r="C291" t="s">
        <v>24</v>
      </c>
      <c r="D291" s="3">
        <v>11.75</v>
      </c>
      <c r="E291" s="5">
        <f t="shared" si="28"/>
        <v>1931</v>
      </c>
      <c r="F291">
        <v>2.2183999999999999</v>
      </c>
      <c r="G291">
        <f t="shared" si="29"/>
        <v>-3.2621199999999999</v>
      </c>
      <c r="H291">
        <f t="shared" si="30"/>
        <v>-3.2621199999999999</v>
      </c>
      <c r="I291" s="5">
        <f t="shared" si="31"/>
        <v>1931</v>
      </c>
      <c r="J291">
        <f t="shared" si="32"/>
        <v>-0.2548154501770416</v>
      </c>
      <c r="K291">
        <f t="shared" si="33"/>
        <v>-0.95965735888093984</v>
      </c>
      <c r="P291">
        <f t="shared" si="34"/>
        <v>1</v>
      </c>
    </row>
    <row r="292" spans="1:16" x14ac:dyDescent="0.25">
      <c r="A292" s="1"/>
      <c r="B292" s="4">
        <v>11689</v>
      </c>
      <c r="C292" t="s">
        <v>24</v>
      </c>
      <c r="D292" s="3">
        <v>11.791666666666666</v>
      </c>
      <c r="E292" s="5">
        <f t="shared" si="28"/>
        <v>1932</v>
      </c>
      <c r="F292">
        <v>0.44727</v>
      </c>
      <c r="G292">
        <f t="shared" si="29"/>
        <v>1.1273599999999999</v>
      </c>
      <c r="H292">
        <f t="shared" si="30"/>
        <v>1.1273599999999999</v>
      </c>
      <c r="I292" s="5">
        <f t="shared" si="31"/>
        <v>1932</v>
      </c>
      <c r="J292">
        <f t="shared" si="32"/>
        <v>1.3304165376841064</v>
      </c>
      <c r="K292">
        <f t="shared" si="33"/>
        <v>5.4641025589243934</v>
      </c>
      <c r="P292">
        <f t="shared" si="34"/>
        <v>1</v>
      </c>
    </row>
    <row r="293" spans="1:16" x14ac:dyDescent="0.25">
      <c r="A293" s="1"/>
      <c r="B293" s="4">
        <v>12055</v>
      </c>
      <c r="C293" t="s">
        <v>24</v>
      </c>
      <c r="D293" s="3">
        <v>11.833333333333334</v>
      </c>
      <c r="E293" s="5">
        <f t="shared" si="28"/>
        <v>1933</v>
      </c>
      <c r="F293">
        <v>-0.19650000000000001</v>
      </c>
      <c r="G293">
        <f t="shared" si="29"/>
        <v>-0.84888999999999992</v>
      </c>
      <c r="H293">
        <f t="shared" si="30"/>
        <v>-0.84888999999999992</v>
      </c>
      <c r="I293" s="5">
        <f t="shared" si="31"/>
        <v>1933</v>
      </c>
      <c r="J293">
        <f t="shared" si="32"/>
        <v>-0.98770093923559754</v>
      </c>
      <c r="K293">
        <f t="shared" si="33"/>
        <v>-4.029646304884408</v>
      </c>
      <c r="P293">
        <f t="shared" si="34"/>
        <v>1</v>
      </c>
    </row>
    <row r="294" spans="1:16" x14ac:dyDescent="0.25">
      <c r="A294" s="1"/>
      <c r="B294" s="4">
        <v>12420</v>
      </c>
      <c r="C294" t="s">
        <v>24</v>
      </c>
      <c r="D294" s="3">
        <v>11.875</v>
      </c>
      <c r="E294" s="5">
        <f t="shared" si="28"/>
        <v>1934</v>
      </c>
      <c r="F294">
        <v>-1.68916</v>
      </c>
      <c r="G294">
        <f t="shared" si="29"/>
        <v>2.8805499999999999</v>
      </c>
      <c r="H294">
        <f t="shared" si="30"/>
        <v>2.8805499999999999</v>
      </c>
      <c r="I294" s="5">
        <f t="shared" si="31"/>
        <v>1934</v>
      </c>
      <c r="J294">
        <f t="shared" si="32"/>
        <v>0.66098400280239189</v>
      </c>
      <c r="K294">
        <f t="shared" si="33"/>
        <v>2.1919655022778386</v>
      </c>
      <c r="P294">
        <f t="shared" si="34"/>
        <v>1</v>
      </c>
    </row>
    <row r="295" spans="1:16" x14ac:dyDescent="0.25">
      <c r="A295" s="1"/>
      <c r="B295" s="4">
        <v>12785</v>
      </c>
      <c r="C295" t="s">
        <v>24</v>
      </c>
      <c r="D295" s="3">
        <v>11.916666666666666</v>
      </c>
      <c r="E295" s="5">
        <f t="shared" si="28"/>
        <v>1935</v>
      </c>
      <c r="F295">
        <v>-0.30126999999999998</v>
      </c>
      <c r="G295">
        <f t="shared" si="29"/>
        <v>-1.0414099999999999</v>
      </c>
      <c r="H295">
        <f t="shared" si="30"/>
        <v>-1.0414099999999999</v>
      </c>
      <c r="I295" s="5">
        <f t="shared" si="31"/>
        <v>1935</v>
      </c>
      <c r="J295">
        <f t="shared" si="32"/>
        <v>-1.0955292473391727</v>
      </c>
      <c r="K295">
        <f t="shared" si="33"/>
        <v>-0.80828855419000933</v>
      </c>
      <c r="P295">
        <f t="shared" si="34"/>
        <v>1</v>
      </c>
    </row>
    <row r="296" spans="1:16" x14ac:dyDescent="0.25">
      <c r="A296" s="1"/>
      <c r="B296" s="4">
        <v>13150</v>
      </c>
      <c r="C296" t="s">
        <v>24</v>
      </c>
      <c r="D296" s="3">
        <v>11.958333333333334</v>
      </c>
      <c r="E296" s="5">
        <f t="shared" si="28"/>
        <v>1936</v>
      </c>
      <c r="F296">
        <v>4.521E-2</v>
      </c>
      <c r="G296">
        <f t="shared" si="29"/>
        <v>4.8209999999999975E-2</v>
      </c>
      <c r="H296">
        <f t="shared" si="30"/>
        <v>4.8209999999999975E-2</v>
      </c>
      <c r="I296" s="5">
        <f t="shared" si="31"/>
        <v>1936</v>
      </c>
      <c r="J296">
        <f t="shared" si="32"/>
        <v>9.1558503519646811E-2</v>
      </c>
      <c r="K296">
        <f t="shared" si="33"/>
        <v>2.5231636655906797</v>
      </c>
      <c r="P296">
        <f t="shared" si="34"/>
        <v>1</v>
      </c>
    </row>
    <row r="297" spans="1:16" x14ac:dyDescent="0.25">
      <c r="A297" s="1"/>
      <c r="B297" s="4">
        <v>13516</v>
      </c>
      <c r="C297" t="s">
        <v>24</v>
      </c>
      <c r="D297" s="3">
        <v>12</v>
      </c>
      <c r="E297" s="5">
        <f t="shared" si="28"/>
        <v>1937</v>
      </c>
      <c r="F297">
        <v>0.43990000000000001</v>
      </c>
      <c r="G297">
        <f t="shared" si="29"/>
        <v>-0.63463999999999998</v>
      </c>
      <c r="H297">
        <f t="shared" si="30"/>
        <v>-0.63463999999999998</v>
      </c>
      <c r="I297" s="5">
        <f t="shared" si="31"/>
        <v>1937</v>
      </c>
      <c r="J297">
        <f t="shared" si="32"/>
        <v>-0.70647924765604075</v>
      </c>
      <c r="K297">
        <f t="shared" si="33"/>
        <v>-1.25124384987112</v>
      </c>
      <c r="P297">
        <f t="shared" si="34"/>
        <v>1</v>
      </c>
    </row>
    <row r="298" spans="1:16" x14ac:dyDescent="0.25">
      <c r="A298" s="1"/>
      <c r="B298" s="4">
        <v>13881</v>
      </c>
      <c r="C298" t="s">
        <v>24</v>
      </c>
      <c r="D298" s="3">
        <v>12.041666666666666</v>
      </c>
      <c r="E298" s="5">
        <f t="shared" si="28"/>
        <v>1938</v>
      </c>
      <c r="F298">
        <v>0.19994999999999999</v>
      </c>
      <c r="G298">
        <f t="shared" si="29"/>
        <v>-0.62230999999999992</v>
      </c>
      <c r="H298">
        <f t="shared" si="30"/>
        <v>-0.62230999999999992</v>
      </c>
      <c r="I298" s="5">
        <f t="shared" si="31"/>
        <v>1938</v>
      </c>
      <c r="J298">
        <f t="shared" si="32"/>
        <v>-0.45978364433425523</v>
      </c>
      <c r="K298">
        <f t="shared" si="33"/>
        <v>-3.3306406672151914</v>
      </c>
      <c r="P298">
        <f t="shared" si="34"/>
        <v>1</v>
      </c>
    </row>
    <row r="299" spans="1:16" x14ac:dyDescent="0.25">
      <c r="A299" s="1"/>
      <c r="B299" s="4">
        <v>14246</v>
      </c>
      <c r="C299" t="s">
        <v>24</v>
      </c>
      <c r="D299" s="3">
        <v>12.083333333333334</v>
      </c>
      <c r="E299" s="5">
        <f t="shared" si="28"/>
        <v>1939</v>
      </c>
      <c r="F299">
        <v>-0.66230999999999995</v>
      </c>
      <c r="G299">
        <f t="shared" si="29"/>
        <v>2.4085000000000001</v>
      </c>
      <c r="H299">
        <f t="shared" si="30"/>
        <v>2.4085000000000001</v>
      </c>
      <c r="I299" s="5">
        <f t="shared" si="31"/>
        <v>1939</v>
      </c>
      <c r="J299">
        <f t="shared" si="32"/>
        <v>2.3681315412216359</v>
      </c>
      <c r="K299">
        <f t="shared" si="33"/>
        <v>5.142232720920151</v>
      </c>
      <c r="P299">
        <f t="shared" si="34"/>
        <v>1</v>
      </c>
    </row>
    <row r="300" spans="1:16" x14ac:dyDescent="0.25">
      <c r="A300" s="1"/>
      <c r="B300" s="4">
        <v>14611</v>
      </c>
      <c r="C300" t="s">
        <v>24</v>
      </c>
      <c r="D300" s="3">
        <v>12.125</v>
      </c>
      <c r="E300" s="5">
        <f t="shared" si="28"/>
        <v>1940</v>
      </c>
      <c r="F300">
        <v>0.88392999999999999</v>
      </c>
      <c r="G300">
        <f t="shared" si="29"/>
        <v>0.60088000000000008</v>
      </c>
      <c r="H300">
        <f t="shared" si="30"/>
        <v>0.60088000000000008</v>
      </c>
      <c r="I300" s="5">
        <f t="shared" si="31"/>
        <v>1940</v>
      </c>
      <c r="J300">
        <f t="shared" si="32"/>
        <v>0.51625476718874741</v>
      </c>
      <c r="K300">
        <f t="shared" si="33"/>
        <v>-3.9434022372973923</v>
      </c>
      <c r="P300">
        <f t="shared" si="34"/>
        <v>0</v>
      </c>
    </row>
    <row r="301" spans="1:16" x14ac:dyDescent="0.25">
      <c r="A301" s="1"/>
      <c r="B301" s="4">
        <v>14977</v>
      </c>
      <c r="C301" t="s">
        <v>24</v>
      </c>
      <c r="D301" s="3">
        <v>12.166666666666666</v>
      </c>
      <c r="E301" s="5">
        <f t="shared" si="28"/>
        <v>1941</v>
      </c>
      <c r="F301">
        <v>3.03105</v>
      </c>
      <c r="G301">
        <f t="shared" si="29"/>
        <v>-2.4285700000000001</v>
      </c>
      <c r="H301">
        <f t="shared" si="30"/>
        <v>-2.4285700000000001</v>
      </c>
      <c r="I301" s="5">
        <f t="shared" si="31"/>
        <v>1941</v>
      </c>
      <c r="J301">
        <f t="shared" si="32"/>
        <v>7.7158173178056955E-2</v>
      </c>
      <c r="K301">
        <f t="shared" si="33"/>
        <v>1.6478881734249784</v>
      </c>
      <c r="P301">
        <f t="shared" si="34"/>
        <v>1</v>
      </c>
    </row>
    <row r="302" spans="1:16" x14ac:dyDescent="0.25">
      <c r="A302" s="1"/>
      <c r="B302" s="4">
        <v>15342</v>
      </c>
      <c r="C302" t="s">
        <v>24</v>
      </c>
      <c r="D302" s="3">
        <v>12.208333333333334</v>
      </c>
      <c r="E302" s="5">
        <f t="shared" si="28"/>
        <v>1942</v>
      </c>
      <c r="F302">
        <v>2.7496</v>
      </c>
      <c r="G302">
        <f t="shared" si="29"/>
        <v>-2.8032699999999999</v>
      </c>
      <c r="H302">
        <f t="shared" si="30"/>
        <v>-2.8032699999999999</v>
      </c>
      <c r="I302" s="5">
        <f t="shared" si="31"/>
        <v>1942</v>
      </c>
      <c r="J302">
        <f t="shared" si="32"/>
        <v>-2.3463363574169698</v>
      </c>
      <c r="K302">
        <f t="shared" si="33"/>
        <v>-3.3164270964292233</v>
      </c>
      <c r="P302">
        <f t="shared" si="34"/>
        <v>1</v>
      </c>
    </row>
    <row r="303" spans="1:16" x14ac:dyDescent="0.25">
      <c r="A303" s="1"/>
      <c r="B303" s="4">
        <v>15707</v>
      </c>
      <c r="C303" t="s">
        <v>24</v>
      </c>
      <c r="D303" s="3">
        <v>12.25</v>
      </c>
      <c r="E303" s="5">
        <f t="shared" si="28"/>
        <v>1943</v>
      </c>
      <c r="F303">
        <v>-0.33511999999999997</v>
      </c>
      <c r="G303">
        <f t="shared" si="29"/>
        <v>4.7054</v>
      </c>
      <c r="H303">
        <f t="shared" si="30"/>
        <v>4.7054</v>
      </c>
      <c r="I303" s="5">
        <f t="shared" si="31"/>
        <v>1943</v>
      </c>
      <c r="J303">
        <f t="shared" si="32"/>
        <v>4.336074760613605</v>
      </c>
      <c r="K303">
        <f t="shared" si="33"/>
        <v>2.9013489974085278</v>
      </c>
      <c r="P303">
        <f t="shared" si="34"/>
        <v>1</v>
      </c>
    </row>
    <row r="304" spans="1:16" x14ac:dyDescent="0.25">
      <c r="A304" s="1"/>
      <c r="B304" s="4">
        <v>16072</v>
      </c>
      <c r="C304" t="s">
        <v>24</v>
      </c>
      <c r="D304" s="3">
        <v>12.291666666666666</v>
      </c>
      <c r="E304" s="5">
        <f t="shared" si="28"/>
        <v>1944</v>
      </c>
      <c r="F304">
        <v>1.28556</v>
      </c>
      <c r="G304">
        <f t="shared" si="29"/>
        <v>-2.65632</v>
      </c>
      <c r="H304">
        <f t="shared" si="30"/>
        <v>-2.65632</v>
      </c>
      <c r="I304" s="5">
        <f t="shared" si="31"/>
        <v>1944</v>
      </c>
      <c r="J304">
        <f t="shared" si="32"/>
        <v>-2.3100762391069152</v>
      </c>
      <c r="K304">
        <f t="shared" si="33"/>
        <v>0.47194085642935119</v>
      </c>
      <c r="P304">
        <f t="shared" si="34"/>
        <v>0</v>
      </c>
    </row>
    <row r="305" spans="1:16" x14ac:dyDescent="0.25">
      <c r="A305" s="1"/>
      <c r="B305" s="4">
        <v>16438</v>
      </c>
      <c r="C305" t="s">
        <v>24</v>
      </c>
      <c r="D305" s="3">
        <v>12.333333333333334</v>
      </c>
      <c r="E305" s="5">
        <f t="shared" si="28"/>
        <v>1945</v>
      </c>
      <c r="F305">
        <v>0.24992</v>
      </c>
      <c r="G305">
        <f t="shared" si="29"/>
        <v>-0.86904999999999988</v>
      </c>
      <c r="H305">
        <f t="shared" si="30"/>
        <v>-0.86904999999999988</v>
      </c>
      <c r="I305" s="5">
        <f t="shared" si="31"/>
        <v>1945</v>
      </c>
      <c r="J305">
        <f t="shared" si="32"/>
        <v>-0.53859268483493128</v>
      </c>
      <c r="K305">
        <f t="shared" si="33"/>
        <v>-4.570717198765549</v>
      </c>
      <c r="P305">
        <f t="shared" si="34"/>
        <v>1</v>
      </c>
    </row>
    <row r="306" spans="1:16" x14ac:dyDescent="0.25">
      <c r="A306" s="1"/>
      <c r="B306" s="4">
        <v>16803</v>
      </c>
      <c r="C306" t="s">
        <v>24</v>
      </c>
      <c r="D306" s="3">
        <v>12.375</v>
      </c>
      <c r="E306" s="5">
        <f t="shared" si="28"/>
        <v>1946</v>
      </c>
      <c r="F306">
        <v>-1.6547700000000001</v>
      </c>
      <c r="G306">
        <f t="shared" si="29"/>
        <v>4.01302</v>
      </c>
      <c r="H306">
        <f t="shared" si="30"/>
        <v>4.01302</v>
      </c>
      <c r="I306" s="5">
        <f t="shared" si="31"/>
        <v>1946</v>
      </c>
      <c r="J306">
        <f t="shared" si="32"/>
        <v>2.411917803563929</v>
      </c>
      <c r="K306">
        <f t="shared" si="33"/>
        <v>5.5207929137099523</v>
      </c>
      <c r="P306">
        <f t="shared" si="34"/>
        <v>1</v>
      </c>
    </row>
    <row r="307" spans="1:16" x14ac:dyDescent="0.25">
      <c r="A307" s="1"/>
      <c r="B307" s="4">
        <v>17168</v>
      </c>
      <c r="C307" t="s">
        <v>24</v>
      </c>
      <c r="D307" s="3">
        <v>12.416666666666666</v>
      </c>
      <c r="E307" s="5">
        <f t="shared" si="28"/>
        <v>1947</v>
      </c>
      <c r="F307">
        <v>0.45356000000000002</v>
      </c>
      <c r="G307">
        <f t="shared" si="29"/>
        <v>-2.3007200000000001</v>
      </c>
      <c r="H307">
        <f t="shared" si="30"/>
        <v>-2.3007200000000001</v>
      </c>
      <c r="I307" s="5">
        <f t="shared" si="31"/>
        <v>1947</v>
      </c>
      <c r="J307">
        <f t="shared" si="32"/>
        <v>-2.1292461410158134</v>
      </c>
      <c r="K307">
        <f t="shared" si="33"/>
        <v>-2.6732849942955963</v>
      </c>
      <c r="P307">
        <f t="shared" si="34"/>
        <v>1</v>
      </c>
    </row>
    <row r="308" spans="1:16" x14ac:dyDescent="0.25">
      <c r="A308" s="1"/>
      <c r="B308" s="4">
        <v>17533</v>
      </c>
      <c r="C308" t="s">
        <v>24</v>
      </c>
      <c r="D308" s="3">
        <v>12.458333333333334</v>
      </c>
      <c r="E308" s="5">
        <f t="shared" si="28"/>
        <v>1948</v>
      </c>
      <c r="F308">
        <v>0.26117000000000001</v>
      </c>
      <c r="G308">
        <f t="shared" si="29"/>
        <v>0.22387999999999997</v>
      </c>
      <c r="H308">
        <f t="shared" si="30"/>
        <v>0.22387999999999997</v>
      </c>
      <c r="I308" s="5">
        <f t="shared" si="31"/>
        <v>1948</v>
      </c>
      <c r="J308">
        <f t="shared" si="32"/>
        <v>0.45582002250571801</v>
      </c>
      <c r="K308">
        <f t="shared" si="33"/>
        <v>3.9491880663760863</v>
      </c>
      <c r="P308">
        <f t="shared" si="34"/>
        <v>1</v>
      </c>
    </row>
    <row r="309" spans="1:16" x14ac:dyDescent="0.25">
      <c r="A309" s="1"/>
      <c r="B309" s="4">
        <v>17899</v>
      </c>
      <c r="C309" t="s">
        <v>24</v>
      </c>
      <c r="D309" s="3">
        <v>12.5</v>
      </c>
      <c r="E309" s="5">
        <f t="shared" si="28"/>
        <v>1949</v>
      </c>
      <c r="F309">
        <v>0.29265999999999998</v>
      </c>
      <c r="G309">
        <f t="shared" si="29"/>
        <v>-1.9669099999999999</v>
      </c>
      <c r="H309">
        <f t="shared" si="30"/>
        <v>-1.9669099999999999</v>
      </c>
      <c r="I309" s="5">
        <f t="shared" si="31"/>
        <v>1949</v>
      </c>
      <c r="J309">
        <f t="shared" si="32"/>
        <v>-1.9267252060912534</v>
      </c>
      <c r="K309">
        <f t="shared" si="33"/>
        <v>-3.965594904884735</v>
      </c>
      <c r="P309">
        <f t="shared" si="34"/>
        <v>1</v>
      </c>
    </row>
    <row r="310" spans="1:16" x14ac:dyDescent="0.25">
      <c r="A310" s="1"/>
      <c r="B310" s="4">
        <v>18264</v>
      </c>
      <c r="C310" t="s">
        <v>24</v>
      </c>
      <c r="D310" s="3">
        <v>12.541666666666666</v>
      </c>
      <c r="E310" s="5">
        <f t="shared" si="28"/>
        <v>1950</v>
      </c>
      <c r="F310">
        <v>-1.64276</v>
      </c>
      <c r="G310">
        <f t="shared" si="29"/>
        <v>1.5607</v>
      </c>
      <c r="H310">
        <f t="shared" si="30"/>
        <v>1.5607</v>
      </c>
      <c r="I310" s="5">
        <f t="shared" si="31"/>
        <v>1950</v>
      </c>
      <c r="J310">
        <f t="shared" si="32"/>
        <v>0.41533564394199524</v>
      </c>
      <c r="K310">
        <f t="shared" si="33"/>
        <v>2.1483416168745801</v>
      </c>
      <c r="P310">
        <f t="shared" si="34"/>
        <v>1</v>
      </c>
    </row>
    <row r="311" spans="1:16" x14ac:dyDescent="0.25">
      <c r="A311" s="1"/>
      <c r="B311" s="4">
        <v>18629</v>
      </c>
      <c r="C311" t="s">
        <v>24</v>
      </c>
      <c r="D311" s="3">
        <v>12.583333333333334</v>
      </c>
      <c r="E311" s="5">
        <f t="shared" si="28"/>
        <v>1951</v>
      </c>
      <c r="F311">
        <v>-2.0174799999999999</v>
      </c>
      <c r="G311">
        <f t="shared" si="29"/>
        <v>3.1111800000000001</v>
      </c>
      <c r="H311">
        <f t="shared" si="30"/>
        <v>3.1111800000000001</v>
      </c>
      <c r="I311" s="5">
        <f t="shared" si="31"/>
        <v>1951</v>
      </c>
      <c r="J311">
        <f t="shared" si="32"/>
        <v>3.8982451990976612</v>
      </c>
      <c r="K311">
        <f t="shared" si="33"/>
        <v>2.350658425780912</v>
      </c>
      <c r="P311">
        <f t="shared" si="34"/>
        <v>1</v>
      </c>
    </row>
    <row r="312" spans="1:16" x14ac:dyDescent="0.25">
      <c r="A312" s="1"/>
      <c r="B312" s="4">
        <v>18994</v>
      </c>
      <c r="C312" t="s">
        <v>24</v>
      </c>
      <c r="D312" s="3">
        <v>12.625</v>
      </c>
      <c r="E312" s="5">
        <f t="shared" si="28"/>
        <v>1952</v>
      </c>
      <c r="F312">
        <v>0.71897999999999995</v>
      </c>
      <c r="G312">
        <f t="shared" si="29"/>
        <v>-4.4628800000000002</v>
      </c>
      <c r="H312">
        <f t="shared" si="30"/>
        <v>-4.4628800000000002</v>
      </c>
      <c r="I312" s="5">
        <f t="shared" si="31"/>
        <v>1952</v>
      </c>
      <c r="J312">
        <f t="shared" si="32"/>
        <v>-4.1759890025015434</v>
      </c>
      <c r="K312">
        <f t="shared" si="33"/>
        <v>-6.252605488134459</v>
      </c>
      <c r="P312">
        <f t="shared" si="34"/>
        <v>1</v>
      </c>
    </row>
    <row r="313" spans="1:16" x14ac:dyDescent="0.25">
      <c r="A313" s="1"/>
      <c r="B313" s="4">
        <v>19360</v>
      </c>
      <c r="C313" t="s">
        <v>24</v>
      </c>
      <c r="D313" s="3">
        <v>12.666666666666666</v>
      </c>
      <c r="E313" s="5">
        <f t="shared" si="28"/>
        <v>1953</v>
      </c>
      <c r="F313">
        <v>-1.0074399999999999</v>
      </c>
      <c r="G313">
        <f t="shared" si="29"/>
        <v>1.6179499999999998</v>
      </c>
      <c r="H313">
        <f t="shared" si="30"/>
        <v>1.6179499999999998</v>
      </c>
      <c r="I313" s="5">
        <f t="shared" si="31"/>
        <v>1953</v>
      </c>
      <c r="J313">
        <f t="shared" si="32"/>
        <v>1.0708622668114898</v>
      </c>
      <c r="K313">
        <f t="shared" si="33"/>
        <v>3.8102917662994518</v>
      </c>
      <c r="P313">
        <f t="shared" si="34"/>
        <v>1</v>
      </c>
    </row>
    <row r="314" spans="1:16" x14ac:dyDescent="0.25">
      <c r="A314" s="1"/>
      <c r="B314" s="4">
        <v>19725</v>
      </c>
      <c r="C314" t="s">
        <v>24</v>
      </c>
      <c r="D314" s="3">
        <v>12.708333333333334</v>
      </c>
      <c r="E314" s="5">
        <f t="shared" si="28"/>
        <v>1954</v>
      </c>
      <c r="F314">
        <v>-1.11591</v>
      </c>
      <c r="G314">
        <f t="shared" si="29"/>
        <v>-2.1549999999999958E-2</v>
      </c>
      <c r="H314">
        <f t="shared" si="30"/>
        <v>-2.1549999999999958E-2</v>
      </c>
      <c r="I314" s="5">
        <f t="shared" si="31"/>
        <v>1954</v>
      </c>
      <c r="J314">
        <f t="shared" si="32"/>
        <v>-0.29240744566893417</v>
      </c>
      <c r="K314">
        <f t="shared" si="33"/>
        <v>-4.5387930393764604</v>
      </c>
      <c r="P314">
        <f t="shared" si="34"/>
        <v>1</v>
      </c>
    </row>
    <row r="315" spans="1:16" x14ac:dyDescent="0.25">
      <c r="A315" s="1"/>
      <c r="B315" s="4">
        <v>20090</v>
      </c>
      <c r="C315" t="s">
        <v>24</v>
      </c>
      <c r="D315" s="3">
        <v>12.75</v>
      </c>
      <c r="E315" s="5">
        <f t="shared" si="28"/>
        <v>1955</v>
      </c>
      <c r="F315">
        <v>-1.24593</v>
      </c>
      <c r="G315">
        <f t="shared" si="29"/>
        <v>-0.64243000000000006</v>
      </c>
      <c r="H315">
        <f t="shared" si="30"/>
        <v>-0.64243000000000006</v>
      </c>
      <c r="I315" s="5">
        <f t="shared" si="31"/>
        <v>1955</v>
      </c>
      <c r="J315">
        <f t="shared" si="32"/>
        <v>-1.6628485425961594</v>
      </c>
      <c r="K315">
        <f t="shared" si="33"/>
        <v>4.5929430714813124</v>
      </c>
      <c r="P315">
        <f t="shared" si="34"/>
        <v>0</v>
      </c>
    </row>
    <row r="316" spans="1:16" x14ac:dyDescent="0.25">
      <c r="A316" s="1"/>
      <c r="B316" s="4">
        <v>20455</v>
      </c>
      <c r="C316" t="s">
        <v>24</v>
      </c>
      <c r="D316" s="3">
        <v>12.791666666666666</v>
      </c>
      <c r="E316" s="5">
        <f t="shared" si="28"/>
        <v>1956</v>
      </c>
      <c r="F316">
        <v>-2.0183800000000001</v>
      </c>
      <c r="G316">
        <f t="shared" si="29"/>
        <v>2.0367800000000003</v>
      </c>
      <c r="H316">
        <f t="shared" si="30"/>
        <v>2.0367800000000003</v>
      </c>
      <c r="I316" s="5">
        <f t="shared" si="31"/>
        <v>1956</v>
      </c>
      <c r="J316">
        <f t="shared" si="32"/>
        <v>0.89627437297252033</v>
      </c>
      <c r="K316">
        <f t="shared" si="33"/>
        <v>-3.9999047416684652</v>
      </c>
      <c r="P316">
        <f t="shared" si="34"/>
        <v>0</v>
      </c>
    </row>
    <row r="317" spans="1:16" x14ac:dyDescent="0.25">
      <c r="A317" s="1"/>
      <c r="B317" s="4">
        <v>20821</v>
      </c>
      <c r="C317" t="s">
        <v>24</v>
      </c>
      <c r="D317" s="3">
        <v>12.833333333333334</v>
      </c>
      <c r="E317" s="5">
        <f t="shared" si="28"/>
        <v>1957</v>
      </c>
      <c r="F317">
        <v>-0.75405</v>
      </c>
      <c r="G317">
        <f t="shared" si="29"/>
        <v>1.1063399999999999</v>
      </c>
      <c r="H317">
        <f t="shared" si="30"/>
        <v>1.1063399999999999</v>
      </c>
      <c r="I317" s="5">
        <f t="shared" si="31"/>
        <v>1957</v>
      </c>
      <c r="J317">
        <f t="shared" si="32"/>
        <v>1.7533522724147654E-2</v>
      </c>
      <c r="K317">
        <f t="shared" si="33"/>
        <v>0.68530137278358927</v>
      </c>
      <c r="P317">
        <f t="shared" si="34"/>
        <v>1</v>
      </c>
    </row>
    <row r="318" spans="1:16" x14ac:dyDescent="0.25">
      <c r="A318" s="1"/>
      <c r="B318" s="4">
        <v>21186</v>
      </c>
      <c r="C318" t="s">
        <v>24</v>
      </c>
      <c r="D318" s="3">
        <v>12.875</v>
      </c>
      <c r="E318" s="5">
        <f t="shared" si="28"/>
        <v>1958</v>
      </c>
      <c r="F318">
        <v>1.6166199999999999</v>
      </c>
      <c r="G318">
        <f t="shared" si="29"/>
        <v>-4.0720499999999999</v>
      </c>
      <c r="H318">
        <f t="shared" si="30"/>
        <v>-4.0720499999999999</v>
      </c>
      <c r="I318" s="5">
        <f t="shared" si="31"/>
        <v>1958</v>
      </c>
      <c r="J318">
        <f t="shared" si="32"/>
        <v>-3.3780913291517156</v>
      </c>
      <c r="K318">
        <f t="shared" si="33"/>
        <v>5.5037912299617027</v>
      </c>
      <c r="P318">
        <f t="shared" si="34"/>
        <v>0</v>
      </c>
    </row>
    <row r="319" spans="1:16" x14ac:dyDescent="0.25">
      <c r="A319" s="1"/>
      <c r="B319" s="4">
        <v>21551</v>
      </c>
      <c r="C319" t="s">
        <v>24</v>
      </c>
      <c r="D319" s="3">
        <v>12.916666666666666</v>
      </c>
      <c r="E319" s="5">
        <f t="shared" si="28"/>
        <v>1959</v>
      </c>
      <c r="F319">
        <v>-8.4760000000000002E-2</v>
      </c>
      <c r="G319">
        <f t="shared" si="29"/>
        <v>1.8968999999999998</v>
      </c>
      <c r="H319">
        <f t="shared" si="30"/>
        <v>1.8968999999999998</v>
      </c>
      <c r="I319" s="5">
        <f t="shared" si="31"/>
        <v>1959</v>
      </c>
      <c r="J319">
        <f t="shared" si="32"/>
        <v>1.8313980850499041</v>
      </c>
      <c r="K319">
        <f t="shared" si="33"/>
        <v>-4.7749288571468291</v>
      </c>
      <c r="P319">
        <f t="shared" si="34"/>
        <v>0</v>
      </c>
    </row>
    <row r="320" spans="1:16" x14ac:dyDescent="0.25">
      <c r="A320" s="1"/>
      <c r="B320" s="4">
        <v>21916</v>
      </c>
      <c r="C320" t="s">
        <v>24</v>
      </c>
      <c r="D320" s="3">
        <v>12.958333333333334</v>
      </c>
      <c r="E320" s="5">
        <f t="shared" si="28"/>
        <v>1960</v>
      </c>
      <c r="F320">
        <v>0.11076</v>
      </c>
      <c r="G320">
        <f t="shared" si="29"/>
        <v>-1.1359599999999999</v>
      </c>
      <c r="H320">
        <f t="shared" si="30"/>
        <v>-1.1359599999999999</v>
      </c>
      <c r="I320" s="5">
        <f t="shared" si="31"/>
        <v>1960</v>
      </c>
      <c r="J320">
        <f t="shared" si="32"/>
        <v>-1.0493893081802752</v>
      </c>
      <c r="K320">
        <f t="shared" si="33"/>
        <v>5.1490933868925399</v>
      </c>
      <c r="P320">
        <f t="shared" si="34"/>
        <v>0</v>
      </c>
    </row>
    <row r="321" spans="1:16" x14ac:dyDescent="0.25">
      <c r="A321" s="1"/>
      <c r="B321" s="4">
        <v>22282</v>
      </c>
      <c r="C321" t="s">
        <v>24</v>
      </c>
      <c r="D321" s="3">
        <v>13</v>
      </c>
      <c r="E321" s="5">
        <f t="shared" si="28"/>
        <v>1961</v>
      </c>
      <c r="F321">
        <v>-0.82967999999999997</v>
      </c>
      <c r="G321">
        <f t="shared" si="29"/>
        <v>1.8454699999999999</v>
      </c>
      <c r="H321">
        <f t="shared" si="30"/>
        <v>1.8454699999999999</v>
      </c>
      <c r="I321" s="5">
        <f t="shared" si="31"/>
        <v>1961</v>
      </c>
      <c r="J321">
        <f t="shared" si="32"/>
        <v>1.5280305343617351</v>
      </c>
      <c r="K321">
        <f t="shared" si="33"/>
        <v>-4.9538165241740462</v>
      </c>
      <c r="P321">
        <f t="shared" si="34"/>
        <v>0</v>
      </c>
    </row>
    <row r="322" spans="1:16" x14ac:dyDescent="0.25">
      <c r="A322" s="1"/>
      <c r="B322" s="4">
        <v>22647</v>
      </c>
      <c r="C322" t="s">
        <v>24</v>
      </c>
      <c r="D322" s="3">
        <v>13.041666666666666</v>
      </c>
      <c r="E322" s="5">
        <f t="shared" si="28"/>
        <v>1962</v>
      </c>
      <c r="F322">
        <v>7.535E-2</v>
      </c>
      <c r="G322">
        <f t="shared" si="29"/>
        <v>-1.6600299999999999</v>
      </c>
      <c r="H322">
        <f t="shared" si="30"/>
        <v>-1.6600299999999999</v>
      </c>
      <c r="I322" s="5">
        <f t="shared" si="31"/>
        <v>1962</v>
      </c>
      <c r="J322">
        <f t="shared" si="32"/>
        <v>-1.632951828585294</v>
      </c>
      <c r="K322">
        <f t="shared" si="33"/>
        <v>5.0466869153814065</v>
      </c>
      <c r="P322">
        <f t="shared" si="34"/>
        <v>0</v>
      </c>
    </row>
    <row r="323" spans="1:16" x14ac:dyDescent="0.25">
      <c r="A323" s="1"/>
      <c r="B323" s="4">
        <v>23012</v>
      </c>
      <c r="C323" t="s">
        <v>24</v>
      </c>
      <c r="D323" s="3">
        <v>13.083333333333334</v>
      </c>
      <c r="E323" s="5">
        <f t="shared" si="28"/>
        <v>1963</v>
      </c>
      <c r="F323">
        <v>-0.67964999999999998</v>
      </c>
      <c r="G323">
        <f t="shared" si="29"/>
        <v>2.6599699999999999</v>
      </c>
      <c r="H323">
        <f t="shared" si="30"/>
        <v>2.6599699999999999</v>
      </c>
      <c r="I323" s="5">
        <f t="shared" si="31"/>
        <v>1963</v>
      </c>
      <c r="J323">
        <f t="shared" si="32"/>
        <v>2.7727282841249177</v>
      </c>
      <c r="K323">
        <f t="shared" si="33"/>
        <v>-3.44008529549461</v>
      </c>
      <c r="P323">
        <f t="shared" si="34"/>
        <v>0</v>
      </c>
    </row>
    <row r="324" spans="1:16" x14ac:dyDescent="0.25">
      <c r="A324" s="1"/>
      <c r="B324" s="4">
        <v>23377</v>
      </c>
      <c r="C324" t="s">
        <v>24</v>
      </c>
      <c r="D324" s="3">
        <v>13.125</v>
      </c>
      <c r="E324" s="5">
        <f t="shared" si="28"/>
        <v>1964</v>
      </c>
      <c r="F324">
        <v>1.22532</v>
      </c>
      <c r="G324">
        <f t="shared" si="29"/>
        <v>-2.9074200000000001</v>
      </c>
      <c r="H324">
        <f t="shared" si="30"/>
        <v>-2.9074200000000001</v>
      </c>
      <c r="I324" s="5">
        <f t="shared" si="31"/>
        <v>1964</v>
      </c>
      <c r="J324">
        <f t="shared" si="32"/>
        <v>-1.9315545380305221</v>
      </c>
      <c r="K324">
        <f t="shared" si="33"/>
        <v>-3.1756411211133284</v>
      </c>
      <c r="P324">
        <f t="shared" si="34"/>
        <v>1</v>
      </c>
    </row>
    <row r="325" spans="1:16" x14ac:dyDescent="0.25">
      <c r="A325" s="1"/>
      <c r="B325" s="4">
        <v>23743</v>
      </c>
      <c r="C325" t="s">
        <v>24</v>
      </c>
      <c r="D325" s="3">
        <v>13.166666666666666</v>
      </c>
      <c r="E325" s="5">
        <f t="shared" si="28"/>
        <v>1965</v>
      </c>
      <c r="F325">
        <v>0.22287000000000001</v>
      </c>
      <c r="G325">
        <f t="shared" si="29"/>
        <v>2.5870000000000002</v>
      </c>
      <c r="H325">
        <f t="shared" si="30"/>
        <v>2.5870000000000002</v>
      </c>
      <c r="I325" s="5">
        <f t="shared" si="31"/>
        <v>1965</v>
      </c>
      <c r="J325">
        <f t="shared" si="32"/>
        <v>2.5974778357330202</v>
      </c>
      <c r="K325">
        <f t="shared" si="33"/>
        <v>5.064172329469077</v>
      </c>
      <c r="P325">
        <f t="shared" si="34"/>
        <v>1</v>
      </c>
    </row>
    <row r="326" spans="1:16" x14ac:dyDescent="0.25">
      <c r="A326" s="1"/>
      <c r="B326" s="4">
        <v>24108</v>
      </c>
      <c r="C326" t="s">
        <v>24</v>
      </c>
      <c r="D326" s="3">
        <v>13.208333333333334</v>
      </c>
      <c r="E326" s="5">
        <f t="shared" si="28"/>
        <v>1966</v>
      </c>
      <c r="F326">
        <v>1.80742</v>
      </c>
      <c r="G326">
        <f t="shared" si="29"/>
        <v>-3.9504299999999999</v>
      </c>
      <c r="H326">
        <f t="shared" si="30"/>
        <v>-3.9504299999999999</v>
      </c>
      <c r="I326" s="5">
        <f t="shared" si="31"/>
        <v>1966</v>
      </c>
      <c r="J326">
        <f t="shared" si="32"/>
        <v>-3.215445088315998</v>
      </c>
      <c r="K326">
        <f t="shared" si="33"/>
        <v>-5.7462239956471279</v>
      </c>
      <c r="P326">
        <f t="shared" si="34"/>
        <v>1</v>
      </c>
    </row>
    <row r="327" spans="1:16" x14ac:dyDescent="0.25">
      <c r="A327" s="1"/>
      <c r="B327" s="4">
        <v>24473</v>
      </c>
      <c r="C327" t="s">
        <v>24</v>
      </c>
      <c r="D327" s="3">
        <v>13.25</v>
      </c>
      <c r="E327" s="5">
        <f t="shared" si="28"/>
        <v>1967</v>
      </c>
      <c r="F327">
        <v>-0.55845999999999996</v>
      </c>
      <c r="G327">
        <f t="shared" si="29"/>
        <v>3.9300299999999995</v>
      </c>
      <c r="H327">
        <f t="shared" si="30"/>
        <v>3.9300299999999995</v>
      </c>
      <c r="I327" s="5">
        <f t="shared" si="31"/>
        <v>1967</v>
      </c>
      <c r="J327">
        <f t="shared" si="32"/>
        <v>3.5937232361717721</v>
      </c>
      <c r="K327">
        <f t="shared" si="33"/>
        <v>5.1731202518936552</v>
      </c>
      <c r="P327">
        <f t="shared" si="34"/>
        <v>1</v>
      </c>
    </row>
    <row r="328" spans="1:16" x14ac:dyDescent="0.25">
      <c r="A328" s="1"/>
      <c r="B328" s="4">
        <v>24838</v>
      </c>
      <c r="C328" t="s">
        <v>24</v>
      </c>
      <c r="D328" s="3">
        <v>13.291666666666666</v>
      </c>
      <c r="E328" s="5">
        <f t="shared" si="28"/>
        <v>1968</v>
      </c>
      <c r="F328">
        <v>1.00569</v>
      </c>
      <c r="G328">
        <f t="shared" si="29"/>
        <v>-1.7698700000000001</v>
      </c>
      <c r="H328">
        <f t="shared" si="30"/>
        <v>-1.7698700000000001</v>
      </c>
      <c r="I328" s="5">
        <f t="shared" si="31"/>
        <v>1968</v>
      </c>
      <c r="J328">
        <f t="shared" si="32"/>
        <v>-0.9097204738831377</v>
      </c>
      <c r="K328">
        <f t="shared" si="33"/>
        <v>-5.5153980421780915</v>
      </c>
      <c r="P328">
        <f t="shared" si="34"/>
        <v>1</v>
      </c>
    </row>
    <row r="329" spans="1:16" x14ac:dyDescent="0.25">
      <c r="A329" s="1"/>
      <c r="B329" s="4">
        <v>25204</v>
      </c>
      <c r="C329" t="s">
        <v>24</v>
      </c>
      <c r="D329" s="3">
        <v>13.333333333333334</v>
      </c>
      <c r="E329" s="5">
        <f t="shared" si="28"/>
        <v>1969</v>
      </c>
      <c r="F329">
        <v>0.79996999999999996</v>
      </c>
      <c r="G329">
        <f t="shared" si="29"/>
        <v>-0.42859999999999998</v>
      </c>
      <c r="H329">
        <f t="shared" si="30"/>
        <v>-0.42859999999999998</v>
      </c>
      <c r="I329" s="5">
        <f t="shared" si="31"/>
        <v>1969</v>
      </c>
      <c r="J329">
        <f t="shared" si="32"/>
        <v>0.37033050523087518</v>
      </c>
      <c r="K329">
        <f t="shared" si="33"/>
        <v>5.2099012273725567</v>
      </c>
      <c r="P329">
        <f t="shared" si="34"/>
        <v>1</v>
      </c>
    </row>
    <row r="330" spans="1:16" x14ac:dyDescent="0.25">
      <c r="A330" s="1"/>
      <c r="B330" s="4">
        <v>25569</v>
      </c>
      <c r="C330" t="s">
        <v>24</v>
      </c>
      <c r="D330" s="3">
        <v>13.375</v>
      </c>
      <c r="E330" s="5">
        <f t="shared" si="28"/>
        <v>1970</v>
      </c>
      <c r="F330">
        <v>0.16564999999999999</v>
      </c>
      <c r="G330">
        <f t="shared" si="29"/>
        <v>-2.63009</v>
      </c>
      <c r="H330">
        <f t="shared" si="30"/>
        <v>-2.63009</v>
      </c>
      <c r="I330" s="5">
        <f t="shared" si="31"/>
        <v>1970</v>
      </c>
      <c r="J330">
        <f t="shared" si="32"/>
        <v>-2.5731069165820557</v>
      </c>
      <c r="K330">
        <f t="shared" si="33"/>
        <v>-3.2387924460448803E-2</v>
      </c>
      <c r="P330">
        <f t="shared" si="34"/>
        <v>1</v>
      </c>
    </row>
    <row r="331" spans="1:16" x14ac:dyDescent="0.25">
      <c r="A331" s="1"/>
      <c r="B331" s="4">
        <v>25934</v>
      </c>
      <c r="C331" t="s">
        <v>24</v>
      </c>
      <c r="D331" s="3">
        <v>13.416666666666666</v>
      </c>
      <c r="E331" s="5">
        <f t="shared" si="28"/>
        <v>1971</v>
      </c>
      <c r="F331">
        <v>-3.09876</v>
      </c>
      <c r="G331">
        <f t="shared" si="29"/>
        <v>5.3416499999999996</v>
      </c>
      <c r="H331">
        <f t="shared" si="30"/>
        <v>5.3416499999999996</v>
      </c>
      <c r="I331" s="5">
        <f t="shared" si="31"/>
        <v>1971</v>
      </c>
      <c r="J331">
        <f t="shared" si="32"/>
        <v>1.3417551406212276</v>
      </c>
      <c r="K331">
        <f t="shared" si="33"/>
        <v>-4.1389650630080839</v>
      </c>
      <c r="P331">
        <f t="shared" si="34"/>
        <v>0</v>
      </c>
    </row>
    <row r="332" spans="1:16" x14ac:dyDescent="0.25">
      <c r="A332" s="1"/>
      <c r="B332" s="4">
        <v>26299</v>
      </c>
      <c r="C332" t="s">
        <v>24</v>
      </c>
      <c r="D332" s="3">
        <v>13.458333333333334</v>
      </c>
      <c r="E332" s="5">
        <f t="shared" ref="E332:E337" si="35">+E331+1</f>
        <v>1972</v>
      </c>
      <c r="F332">
        <v>-1.02152</v>
      </c>
      <c r="G332">
        <f t="shared" ref="G332:G336" si="36">+(F333-F332)-(F332-F331)</f>
        <v>0.82197999999999993</v>
      </c>
      <c r="H332">
        <f t="shared" ref="H332:H336" si="37">+G332</f>
        <v>0.82197999999999993</v>
      </c>
      <c r="I332" s="5">
        <f t="shared" si="31"/>
        <v>1972</v>
      </c>
      <c r="J332">
        <f t="shared" si="32"/>
        <v>0.2698940836740773</v>
      </c>
      <c r="K332">
        <f t="shared" si="33"/>
        <v>6.1466500835075726</v>
      </c>
      <c r="P332">
        <f t="shared" si="34"/>
        <v>1</v>
      </c>
    </row>
    <row r="333" spans="1:16" x14ac:dyDescent="0.25">
      <c r="A333" s="1"/>
      <c r="B333" s="4">
        <v>26665</v>
      </c>
      <c r="C333" t="s">
        <v>24</v>
      </c>
      <c r="D333" s="3">
        <v>13.5</v>
      </c>
      <c r="E333" s="5">
        <f t="shared" si="35"/>
        <v>1973</v>
      </c>
      <c r="F333">
        <v>1.8776999999999999</v>
      </c>
      <c r="G333">
        <f t="shared" si="36"/>
        <v>-7.8435699999999997</v>
      </c>
      <c r="H333">
        <f t="shared" si="37"/>
        <v>-7.8435699999999997</v>
      </c>
      <c r="I333" s="5">
        <f t="shared" ref="I333:I335" si="38">+E333</f>
        <v>1973</v>
      </c>
      <c r="J333">
        <f t="shared" ref="J333:J335" si="39">+$J$6*F333+F333*$J$7*COS(2*PI()*$I333/$K$6+$K$5*COS($J$5*$I333+$K$8)+$J$9)+H333+F333*$J$3*COS(2*PI()*$I333/$J$8+$K$3)</f>
        <v>-6.72761056153385</v>
      </c>
      <c r="K333">
        <f t="shared" ref="K333:K335" si="40">+$K$8*COS(2*PI()*$I333/$K$6+$K$5*COS($J$5*$I333+$K$8)+$K$7) +$K$4*COS(2*PI()*$I333/$J$8+$J$4)</f>
        <v>-5.3121000175297199</v>
      </c>
      <c r="P333">
        <f t="shared" ref="P333:P335" si="41">+IF(J333*K333&gt;0,1, 0)</f>
        <v>1</v>
      </c>
    </row>
    <row r="334" spans="1:16" x14ac:dyDescent="0.25">
      <c r="A334" s="1"/>
      <c r="B334" s="4">
        <v>27030</v>
      </c>
      <c r="C334" t="s">
        <v>24</v>
      </c>
      <c r="D334" s="3">
        <v>13.541666666666666</v>
      </c>
      <c r="E334" s="5">
        <f t="shared" si="35"/>
        <v>1974</v>
      </c>
      <c r="F334">
        <v>-3.0666500000000001</v>
      </c>
      <c r="G334">
        <f t="shared" si="36"/>
        <v>7.5886700000000005</v>
      </c>
      <c r="H334">
        <f t="shared" si="37"/>
        <v>7.5886700000000005</v>
      </c>
      <c r="I334" s="5">
        <f t="shared" si="38"/>
        <v>1974</v>
      </c>
      <c r="J334">
        <f t="shared" si="39"/>
        <v>7.136739079151754</v>
      </c>
      <c r="K334">
        <f t="shared" si="40"/>
        <v>5.6598406044818139</v>
      </c>
      <c r="P334">
        <f t="shared" si="41"/>
        <v>1</v>
      </c>
    </row>
    <row r="335" spans="1:16" x14ac:dyDescent="0.25">
      <c r="A335" s="1"/>
      <c r="B335" s="4">
        <v>27395</v>
      </c>
      <c r="C335" t="s">
        <v>24</v>
      </c>
      <c r="D335" s="3">
        <v>13.583333333333334</v>
      </c>
      <c r="E335" s="5">
        <f t="shared" si="35"/>
        <v>1975</v>
      </c>
      <c r="F335">
        <v>-0.42232999999999998</v>
      </c>
      <c r="G335">
        <f t="shared" si="36"/>
        <v>-2.9693899999999998</v>
      </c>
      <c r="H335">
        <f t="shared" si="37"/>
        <v>-2.9693899999999998</v>
      </c>
      <c r="I335" s="5">
        <f t="shared" si="38"/>
        <v>1975</v>
      </c>
      <c r="J335">
        <f t="shared" si="39"/>
        <v>-3.1094940187893254</v>
      </c>
      <c r="K335">
        <f t="shared" si="40"/>
        <v>-5.9116340217216337</v>
      </c>
      <c r="P335">
        <f t="shared" si="41"/>
        <v>1</v>
      </c>
    </row>
    <row r="336" spans="1:16" x14ac:dyDescent="0.25">
      <c r="A336" s="1"/>
      <c r="B336" s="4">
        <v>27760</v>
      </c>
      <c r="C336" t="s">
        <v>24</v>
      </c>
      <c r="D336" s="3">
        <v>13.625</v>
      </c>
      <c r="E336" s="5">
        <f t="shared" si="35"/>
        <v>1976</v>
      </c>
      <c r="F336">
        <v>-0.74739999999999995</v>
      </c>
      <c r="G336">
        <f t="shared" si="36"/>
        <v>1.7224299999999999</v>
      </c>
      <c r="H336">
        <f t="shared" si="37"/>
        <v>1.7224299999999999</v>
      </c>
    </row>
    <row r="337" spans="1:6" x14ac:dyDescent="0.25">
      <c r="A337" s="1"/>
      <c r="B337" s="4">
        <v>28126</v>
      </c>
      <c r="C337" t="s">
        <v>24</v>
      </c>
      <c r="D337" s="3">
        <v>13.666666666666666</v>
      </c>
      <c r="E337" s="5">
        <f t="shared" si="35"/>
        <v>1977</v>
      </c>
      <c r="F337">
        <v>0.64995999999999998</v>
      </c>
    </row>
  </sheetData>
  <pageMargins left="0.7" right="0.7" top="0.75" bottom="0.75" header="0.3" footer="0.3"/>
  <pageSetup scale="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7"/>
  <sheetViews>
    <sheetView zoomScale="60" zoomScaleNormal="60" workbookViewId="0">
      <selection activeCell="J12" sqref="J12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F2" t="s">
        <v>9</v>
      </c>
      <c r="G2" t="s">
        <v>10</v>
      </c>
      <c r="H2" t="s">
        <v>11</v>
      </c>
      <c r="I2" t="s">
        <v>12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283</v>
      </c>
      <c r="J3">
        <v>0.27374952234219896</v>
      </c>
      <c r="K3">
        <v>4.61208422472391</v>
      </c>
    </row>
    <row r="4" spans="1:16" x14ac:dyDescent="0.25">
      <c r="A4" s="1"/>
      <c r="B4" t="s">
        <v>15</v>
      </c>
      <c r="C4" t="s">
        <v>1</v>
      </c>
      <c r="I4" t="s">
        <v>282</v>
      </c>
      <c r="J4">
        <v>-4.9200794703105162</v>
      </c>
      <c r="K4">
        <v>-0.15816137346672768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281</v>
      </c>
      <c r="J5">
        <v>-0.24186873464867559</v>
      </c>
      <c r="K5">
        <v>1.0514380969678778</v>
      </c>
    </row>
    <row r="6" spans="1:16" x14ac:dyDescent="0.25">
      <c r="A6" s="1"/>
      <c r="B6" t="s">
        <v>20</v>
      </c>
      <c r="C6" t="s">
        <v>21</v>
      </c>
      <c r="I6" t="s">
        <v>277</v>
      </c>
      <c r="J6">
        <v>1.2782108370321299</v>
      </c>
      <c r="K6">
        <v>2.33997939027409</v>
      </c>
      <c r="L6" t="s">
        <v>274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278</v>
      </c>
      <c r="J7">
        <v>0.1371837237530785</v>
      </c>
      <c r="K7">
        <v>-0.79066246505693638</v>
      </c>
      <c r="L7" t="s">
        <v>275</v>
      </c>
    </row>
    <row r="8" spans="1:16" x14ac:dyDescent="0.25">
      <c r="A8" s="1"/>
      <c r="B8" t="s">
        <v>21</v>
      </c>
      <c r="I8" t="s">
        <v>279</v>
      </c>
      <c r="J8">
        <v>2.7666735930149668</v>
      </c>
      <c r="K8">
        <v>-0.53951966300461562</v>
      </c>
      <c r="L8" t="s">
        <v>276</v>
      </c>
    </row>
    <row r="9" spans="1:16" x14ac:dyDescent="0.25">
      <c r="A9" s="1">
        <v>1</v>
      </c>
      <c r="H9">
        <f>+AVERAGE(F10:F337)</f>
        <v>-1.25238572899789E-17</v>
      </c>
      <c r="I9" t="s">
        <v>280</v>
      </c>
      <c r="J9">
        <v>9.9655429266081725</v>
      </c>
      <c r="K9">
        <v>1.1213630227783284</v>
      </c>
    </row>
    <row r="10" spans="1:16" x14ac:dyDescent="0.25">
      <c r="A10" s="1"/>
      <c r="B10" t="s">
        <v>23</v>
      </c>
      <c r="C10" t="s">
        <v>24</v>
      </c>
      <c r="D10" s="2">
        <v>4.1666666666666664E-2</v>
      </c>
      <c r="E10" s="5">
        <v>1650</v>
      </c>
      <c r="F10">
        <v>0.34445999999999999</v>
      </c>
      <c r="K10" s="6">
        <f>+CORREL(J230:J335,K230:K335)</f>
        <v>0.49494353815969711</v>
      </c>
    </row>
    <row r="11" spans="1:16" x14ac:dyDescent="0.25">
      <c r="A11" s="1"/>
      <c r="B11" t="s">
        <v>25</v>
      </c>
      <c r="C11" t="s">
        <v>24</v>
      </c>
      <c r="D11" s="2">
        <v>8.3333333333333329E-2</v>
      </c>
      <c r="E11" s="5">
        <f>+E10+1</f>
        <v>1651</v>
      </c>
      <c r="F11">
        <v>1.25427</v>
      </c>
      <c r="G11">
        <f>+(F12-F11)-(F11-F10)</f>
        <v>-1.4716800000000001</v>
      </c>
      <c r="H11">
        <f>+G11</f>
        <v>-1.4716800000000001</v>
      </c>
      <c r="K11" s="6">
        <f>+(1-CORREL(J50:J335,K50:K335))*L11</f>
        <v>0.61783926017471569</v>
      </c>
      <c r="L11">
        <f>+AVERAGE(L12:L335)</f>
        <v>0.97085007511354871</v>
      </c>
      <c r="P11">
        <f>+SUM(P13:P335)/(335-13)</f>
        <v>0.6211180124223602</v>
      </c>
    </row>
    <row r="12" spans="1:16" x14ac:dyDescent="0.25">
      <c r="A12" s="1"/>
      <c r="B12" t="s">
        <v>26</v>
      </c>
      <c r="C12" t="s">
        <v>24</v>
      </c>
      <c r="D12" s="2">
        <v>0.125</v>
      </c>
      <c r="E12" s="5">
        <f t="shared" ref="E12:E75" si="0">+E11+1</f>
        <v>1652</v>
      </c>
      <c r="F12">
        <v>0.69240000000000002</v>
      </c>
      <c r="G12">
        <f t="shared" ref="G12:G75" si="1">+(F13-F12)-(F12-F11)</f>
        <v>-0.72932999999999992</v>
      </c>
      <c r="H12">
        <f t="shared" ref="H12:H75" si="2">+G12</f>
        <v>-0.72932999999999992</v>
      </c>
      <c r="I12" s="5">
        <f>+E12</f>
        <v>1652</v>
      </c>
      <c r="J12">
        <f>+$J$6*F12+F12*$J$7*COS(2*PI()*$I12/$K$6+$K$5*COS($J$5*$I12+$K$8)+$J$9)+H12+F12*$J$3*COS(2*PI()*$I12/$J$8+$K$3)</f>
        <v>0.16327465864693996</v>
      </c>
      <c r="K12">
        <f>+$K$8*COS(2*PI()*$I12/$K$6+$K$5*COS($J$5*$I12+$K$8)+$K$7) +$K$4*COS(2*PI()*$I12/$J$8+$J$4)</f>
        <v>-6.6778401351280089E-2</v>
      </c>
      <c r="L12">
        <f>+ABS(J12-K12)</f>
        <v>0.23005305999822007</v>
      </c>
      <c r="N12">
        <f>+$K$8*COS(2*PI()*$I12/$K$6+$K$5*COS($J$5*$I12+$K$8)+$K$7)</f>
        <v>-0.13759216951149164</v>
      </c>
      <c r="P12">
        <f>+IF(J12*K12&gt;0,1, 0)</f>
        <v>0</v>
      </c>
    </row>
    <row r="13" spans="1:16" x14ac:dyDescent="0.25">
      <c r="A13" s="1"/>
      <c r="B13" t="s">
        <v>27</v>
      </c>
      <c r="C13" t="s">
        <v>24</v>
      </c>
      <c r="D13" s="2">
        <v>0.16666666666666666</v>
      </c>
      <c r="E13" s="5">
        <f t="shared" si="0"/>
        <v>1653</v>
      </c>
      <c r="F13">
        <v>-0.5988</v>
      </c>
      <c r="G13">
        <f t="shared" si="1"/>
        <v>1.2937099999999999</v>
      </c>
      <c r="H13">
        <f t="shared" si="2"/>
        <v>1.2937099999999999</v>
      </c>
      <c r="I13" s="5">
        <f t="shared" ref="I13:I76" si="3">+E13</f>
        <v>1653</v>
      </c>
      <c r="J13">
        <f t="shared" ref="J13:J76" si="4">+$J$6*F13+F13*$J$7*COS(2*PI()*$I13/$K$6+$K$5*COS($J$5*$I13+$K$8)+$J$9)+H13+F13*$J$3*COS(2*PI()*$I13/$J$8+$K$3)</f>
        <v>0.39949128680100982</v>
      </c>
      <c r="K13">
        <f t="shared" ref="K13:K76" si="5">+$K$8*COS(2*PI()*$I13/$K$6+$K$5*COS($J$5*$I13+$K$8)+$K$7) +$K$4*COS(2*PI()*$I13/$J$8+$J$4)</f>
        <v>8.5059627934577997E-2</v>
      </c>
      <c r="L13">
        <f t="shared" ref="L13:L76" si="6">+ABS(J13-K13)</f>
        <v>0.31443165886643182</v>
      </c>
      <c r="P13">
        <f t="shared" ref="P13:P76" si="7">+IF(J13*K13&gt;0,1, 0)</f>
        <v>1</v>
      </c>
    </row>
    <row r="14" spans="1:16" x14ac:dyDescent="0.25">
      <c r="A14" s="1"/>
      <c r="B14" t="s">
        <v>28</v>
      </c>
      <c r="C14" t="s">
        <v>24</v>
      </c>
      <c r="D14" s="2">
        <v>0.20833333333333334</v>
      </c>
      <c r="E14" s="5">
        <f t="shared" si="0"/>
        <v>1654</v>
      </c>
      <c r="F14">
        <v>-0.59628999999999999</v>
      </c>
      <c r="G14">
        <f t="shared" si="1"/>
        <v>0.75729999999999997</v>
      </c>
      <c r="H14">
        <f t="shared" si="2"/>
        <v>0.75729999999999997</v>
      </c>
      <c r="I14" s="5">
        <f t="shared" si="3"/>
        <v>1654</v>
      </c>
      <c r="J14">
        <f t="shared" si="4"/>
        <v>0.22068854147074463</v>
      </c>
      <c r="K14">
        <f t="shared" si="5"/>
        <v>-6.4444573893627746E-2</v>
      </c>
      <c r="L14">
        <f t="shared" si="6"/>
        <v>0.28513311536437236</v>
      </c>
      <c r="P14">
        <f t="shared" si="7"/>
        <v>0</v>
      </c>
    </row>
    <row r="15" spans="1:16" x14ac:dyDescent="0.25">
      <c r="A15" s="1"/>
      <c r="B15" t="s">
        <v>29</v>
      </c>
      <c r="C15" t="s">
        <v>24</v>
      </c>
      <c r="D15" s="2">
        <v>0.25</v>
      </c>
      <c r="E15" s="5">
        <f t="shared" si="0"/>
        <v>1655</v>
      </c>
      <c r="F15">
        <v>0.16352</v>
      </c>
      <c r="G15">
        <f t="shared" si="1"/>
        <v>0.10324</v>
      </c>
      <c r="H15">
        <f t="shared" si="2"/>
        <v>0.10324</v>
      </c>
      <c r="I15" s="5">
        <f t="shared" si="3"/>
        <v>1655</v>
      </c>
      <c r="J15">
        <f t="shared" si="4"/>
        <v>0.37060036047992917</v>
      </c>
      <c r="K15">
        <f t="shared" si="5"/>
        <v>-6.1392508805644674E-2</v>
      </c>
      <c r="L15">
        <f t="shared" si="6"/>
        <v>0.43199286928557384</v>
      </c>
      <c r="P15">
        <f t="shared" si="7"/>
        <v>0</v>
      </c>
    </row>
    <row r="16" spans="1:16" x14ac:dyDescent="0.25">
      <c r="A16" s="1"/>
      <c r="B16" t="s">
        <v>30</v>
      </c>
      <c r="C16" t="s">
        <v>24</v>
      </c>
      <c r="D16" s="2">
        <v>0.29166666666666669</v>
      </c>
      <c r="E16" s="5">
        <f t="shared" si="0"/>
        <v>1656</v>
      </c>
      <c r="F16">
        <v>1.02657</v>
      </c>
      <c r="G16">
        <f t="shared" si="1"/>
        <v>-1.7184300000000001</v>
      </c>
      <c r="H16">
        <f t="shared" si="2"/>
        <v>-1.7184300000000001</v>
      </c>
      <c r="I16" s="5">
        <f t="shared" si="3"/>
        <v>1656</v>
      </c>
      <c r="J16">
        <f t="shared" si="4"/>
        <v>-0.56562845055797439</v>
      </c>
      <c r="K16">
        <f t="shared" si="5"/>
        <v>0.28093017349854832</v>
      </c>
      <c r="L16">
        <f t="shared" si="6"/>
        <v>0.84655862405652271</v>
      </c>
      <c r="P16">
        <f t="shared" si="7"/>
        <v>0</v>
      </c>
    </row>
    <row r="17" spans="1:16" x14ac:dyDescent="0.25">
      <c r="A17" s="1"/>
      <c r="B17" t="s">
        <v>31</v>
      </c>
      <c r="C17" t="s">
        <v>24</v>
      </c>
      <c r="D17" s="2">
        <v>0.33333333333333331</v>
      </c>
      <c r="E17" s="5">
        <f t="shared" si="0"/>
        <v>1657</v>
      </c>
      <c r="F17">
        <v>0.17119000000000001</v>
      </c>
      <c r="G17">
        <f t="shared" si="1"/>
        <v>1.14673</v>
      </c>
      <c r="H17">
        <f t="shared" si="2"/>
        <v>1.14673</v>
      </c>
      <c r="I17" s="5">
        <f t="shared" si="3"/>
        <v>1657</v>
      </c>
      <c r="J17">
        <f t="shared" si="4"/>
        <v>1.3485767414315923</v>
      </c>
      <c r="K17">
        <f t="shared" si="5"/>
        <v>-0.51059077992523616</v>
      </c>
      <c r="L17">
        <f t="shared" si="6"/>
        <v>1.8591675213568286</v>
      </c>
      <c r="P17">
        <f t="shared" si="7"/>
        <v>0</v>
      </c>
    </row>
    <row r="18" spans="1:16" x14ac:dyDescent="0.25">
      <c r="A18" s="1"/>
      <c r="B18" t="s">
        <v>32</v>
      </c>
      <c r="C18" t="s">
        <v>24</v>
      </c>
      <c r="D18" s="2">
        <v>0.375</v>
      </c>
      <c r="E18" s="5">
        <f t="shared" si="0"/>
        <v>1658</v>
      </c>
      <c r="F18">
        <v>0.46254000000000001</v>
      </c>
      <c r="G18">
        <f t="shared" si="1"/>
        <v>-0.77851999999999999</v>
      </c>
      <c r="H18">
        <f t="shared" si="2"/>
        <v>-0.77851999999999999</v>
      </c>
      <c r="I18" s="5">
        <f t="shared" si="3"/>
        <v>1658</v>
      </c>
      <c r="J18">
        <f t="shared" si="4"/>
        <v>-7.3018448536620567E-2</v>
      </c>
      <c r="K18">
        <f t="shared" si="5"/>
        <v>0.64807924082650159</v>
      </c>
      <c r="L18">
        <f t="shared" si="6"/>
        <v>0.72109768936312213</v>
      </c>
      <c r="P18">
        <f t="shared" si="7"/>
        <v>0</v>
      </c>
    </row>
    <row r="19" spans="1:16" x14ac:dyDescent="0.25">
      <c r="A19" s="1"/>
      <c r="B19" t="s">
        <v>33</v>
      </c>
      <c r="C19" t="s">
        <v>24</v>
      </c>
      <c r="D19" s="2">
        <v>0.41666666666666669</v>
      </c>
      <c r="E19" s="5">
        <f t="shared" si="0"/>
        <v>1659</v>
      </c>
      <c r="F19">
        <v>-2.4629999999999999E-2</v>
      </c>
      <c r="G19">
        <f t="shared" si="1"/>
        <v>0.71074999999999999</v>
      </c>
      <c r="H19">
        <f t="shared" si="2"/>
        <v>0.71074999999999999</v>
      </c>
      <c r="I19" s="5">
        <f t="shared" si="3"/>
        <v>1659</v>
      </c>
      <c r="J19">
        <f t="shared" si="4"/>
        <v>0.68443903865058653</v>
      </c>
      <c r="K19">
        <f t="shared" si="5"/>
        <v>-0.63375967954993495</v>
      </c>
      <c r="L19">
        <f t="shared" si="6"/>
        <v>1.3181987182005215</v>
      </c>
      <c r="P19">
        <f t="shared" si="7"/>
        <v>0</v>
      </c>
    </row>
    <row r="20" spans="1:16" x14ac:dyDescent="0.25">
      <c r="A20" s="1"/>
      <c r="B20" t="s">
        <v>34</v>
      </c>
      <c r="C20" t="s">
        <v>24</v>
      </c>
      <c r="D20" s="2">
        <v>0.45833333333333331</v>
      </c>
      <c r="E20" s="5">
        <f t="shared" si="0"/>
        <v>1660</v>
      </c>
      <c r="F20">
        <v>0.19894999999999999</v>
      </c>
      <c r="G20">
        <f t="shared" si="1"/>
        <v>0.13978000000000002</v>
      </c>
      <c r="H20">
        <f t="shared" si="2"/>
        <v>0.13978000000000002</v>
      </c>
      <c r="I20" s="5">
        <f t="shared" si="3"/>
        <v>1660</v>
      </c>
      <c r="J20">
        <f t="shared" si="4"/>
        <v>0.40262347271098065</v>
      </c>
      <c r="K20">
        <f t="shared" si="5"/>
        <v>0.47787243099336285</v>
      </c>
      <c r="L20">
        <f t="shared" si="6"/>
        <v>7.5248958282382206E-2</v>
      </c>
      <c r="P20">
        <f t="shared" si="7"/>
        <v>1</v>
      </c>
    </row>
    <row r="21" spans="1:16" x14ac:dyDescent="0.25">
      <c r="A21" s="1"/>
      <c r="B21" t="s">
        <v>35</v>
      </c>
      <c r="C21" t="s">
        <v>24</v>
      </c>
      <c r="D21" s="2">
        <v>0.5</v>
      </c>
      <c r="E21" s="5">
        <f t="shared" si="0"/>
        <v>1661</v>
      </c>
      <c r="F21">
        <v>0.56230999999999998</v>
      </c>
      <c r="G21">
        <f t="shared" si="1"/>
        <v>-0.79430999999999996</v>
      </c>
      <c r="H21">
        <f t="shared" si="2"/>
        <v>-0.79430999999999996</v>
      </c>
      <c r="I21" s="5">
        <f t="shared" si="3"/>
        <v>1661</v>
      </c>
      <c r="J21">
        <f t="shared" si="4"/>
        <v>-1.3694014619509226E-2</v>
      </c>
      <c r="K21">
        <f t="shared" si="5"/>
        <v>-0.24068813984358947</v>
      </c>
      <c r="L21">
        <f t="shared" si="6"/>
        <v>0.22699412522408025</v>
      </c>
      <c r="P21">
        <f t="shared" si="7"/>
        <v>1</v>
      </c>
    </row>
    <row r="22" spans="1:16" x14ac:dyDescent="0.25">
      <c r="A22" s="1"/>
      <c r="B22" t="s">
        <v>36</v>
      </c>
      <c r="C22" t="s">
        <v>24</v>
      </c>
      <c r="D22" s="2">
        <v>0.54166666666666663</v>
      </c>
      <c r="E22" s="5">
        <f t="shared" si="0"/>
        <v>1662</v>
      </c>
      <c r="F22">
        <v>0.13136</v>
      </c>
      <c r="G22">
        <f t="shared" si="1"/>
        <v>-7.5390000000000068E-2</v>
      </c>
      <c r="H22">
        <f t="shared" si="2"/>
        <v>-7.5390000000000068E-2</v>
      </c>
      <c r="I22" s="5">
        <f t="shared" si="3"/>
        <v>1662</v>
      </c>
      <c r="J22">
        <f t="shared" si="4"/>
        <v>7.5975017093613872E-2</v>
      </c>
      <c r="K22">
        <f t="shared" si="5"/>
        <v>-9.4347489854179067E-3</v>
      </c>
      <c r="L22">
        <f t="shared" si="6"/>
        <v>8.5409766079031779E-2</v>
      </c>
      <c r="P22">
        <f t="shared" si="7"/>
        <v>0</v>
      </c>
    </row>
    <row r="23" spans="1:16" x14ac:dyDescent="0.25">
      <c r="A23" s="1"/>
      <c r="B23" t="s">
        <v>37</v>
      </c>
      <c r="C23" t="s">
        <v>24</v>
      </c>
      <c r="D23" s="2">
        <v>0.58333333333333337</v>
      </c>
      <c r="E23" s="5">
        <f t="shared" si="0"/>
        <v>1663</v>
      </c>
      <c r="F23">
        <v>-0.37497999999999998</v>
      </c>
      <c r="G23">
        <f t="shared" si="1"/>
        <v>-9.8799999999999999E-2</v>
      </c>
      <c r="H23">
        <f t="shared" si="2"/>
        <v>-9.8799999999999999E-2</v>
      </c>
      <c r="I23" s="5">
        <f t="shared" si="3"/>
        <v>1663</v>
      </c>
      <c r="J23">
        <f t="shared" si="4"/>
        <v>-0.57654574963182115</v>
      </c>
      <c r="K23">
        <f t="shared" si="5"/>
        <v>0.2215976486872562</v>
      </c>
      <c r="L23">
        <f t="shared" si="6"/>
        <v>0.79814339831907732</v>
      </c>
      <c r="P23">
        <f t="shared" si="7"/>
        <v>0</v>
      </c>
    </row>
    <row r="24" spans="1:16" x14ac:dyDescent="0.25">
      <c r="A24" s="1"/>
      <c r="B24" t="s">
        <v>38</v>
      </c>
      <c r="C24" t="s">
        <v>24</v>
      </c>
      <c r="D24" s="2">
        <v>0.625</v>
      </c>
      <c r="E24" s="5">
        <f t="shared" si="0"/>
        <v>1664</v>
      </c>
      <c r="F24">
        <v>-0.98011999999999999</v>
      </c>
      <c r="G24">
        <f t="shared" si="1"/>
        <v>1.1643399999999999</v>
      </c>
      <c r="H24">
        <f t="shared" si="2"/>
        <v>1.1643399999999999</v>
      </c>
      <c r="I24" s="5">
        <f t="shared" si="3"/>
        <v>1664</v>
      </c>
      <c r="J24">
        <f t="shared" si="4"/>
        <v>-0.25427927717090049</v>
      </c>
      <c r="K24">
        <f t="shared" si="5"/>
        <v>-0.35772445665933522</v>
      </c>
      <c r="L24">
        <f t="shared" si="6"/>
        <v>0.10344517948843474</v>
      </c>
      <c r="P24">
        <f t="shared" si="7"/>
        <v>1</v>
      </c>
    </row>
    <row r="25" spans="1:16" x14ac:dyDescent="0.25">
      <c r="A25" s="1"/>
      <c r="B25" t="s">
        <v>39</v>
      </c>
      <c r="C25" t="s">
        <v>24</v>
      </c>
      <c r="D25" s="2">
        <v>0.66666666666666663</v>
      </c>
      <c r="E25" s="5">
        <f t="shared" si="0"/>
        <v>1665</v>
      </c>
      <c r="F25">
        <v>-0.42092000000000002</v>
      </c>
      <c r="G25">
        <f t="shared" si="1"/>
        <v>-0.38831999999999989</v>
      </c>
      <c r="H25">
        <f t="shared" si="2"/>
        <v>-0.38831999999999989</v>
      </c>
      <c r="I25" s="5">
        <f t="shared" si="3"/>
        <v>1665</v>
      </c>
      <c r="J25">
        <f t="shared" si="4"/>
        <v>-0.83162832463794722</v>
      </c>
      <c r="K25">
        <f t="shared" si="5"/>
        <v>0.38204413077166943</v>
      </c>
      <c r="L25">
        <f t="shared" si="6"/>
        <v>1.2136724554096165</v>
      </c>
      <c r="P25">
        <f t="shared" si="7"/>
        <v>0</v>
      </c>
    </row>
    <row r="26" spans="1:16" x14ac:dyDescent="0.25">
      <c r="A26" s="1"/>
      <c r="B26" t="s">
        <v>40</v>
      </c>
      <c r="C26" t="s">
        <v>24</v>
      </c>
      <c r="D26" s="2">
        <v>0.70833333333333337</v>
      </c>
      <c r="E26" s="5">
        <f t="shared" si="0"/>
        <v>1666</v>
      </c>
      <c r="F26">
        <v>-0.25003999999999998</v>
      </c>
      <c r="G26">
        <f t="shared" si="1"/>
        <v>-0.16959000000000005</v>
      </c>
      <c r="H26">
        <f t="shared" si="2"/>
        <v>-0.16959000000000005</v>
      </c>
      <c r="I26" s="5">
        <f t="shared" si="3"/>
        <v>1666</v>
      </c>
      <c r="J26">
        <f t="shared" si="4"/>
        <v>-0.51610775973293233</v>
      </c>
      <c r="K26">
        <f t="shared" si="5"/>
        <v>-0.27475116959266432</v>
      </c>
      <c r="L26">
        <f t="shared" si="6"/>
        <v>0.241356590140268</v>
      </c>
      <c r="P26">
        <f t="shared" si="7"/>
        <v>1</v>
      </c>
    </row>
    <row r="27" spans="1:16" x14ac:dyDescent="0.25">
      <c r="A27" s="1"/>
      <c r="B27" t="s">
        <v>41</v>
      </c>
      <c r="C27" t="s">
        <v>24</v>
      </c>
      <c r="D27" s="2">
        <v>0.75</v>
      </c>
      <c r="E27" s="5">
        <f t="shared" si="0"/>
        <v>1667</v>
      </c>
      <c r="F27">
        <v>-0.24875</v>
      </c>
      <c r="G27">
        <f t="shared" si="1"/>
        <v>-0.28654000000000002</v>
      </c>
      <c r="H27">
        <f t="shared" si="2"/>
        <v>-0.28654000000000002</v>
      </c>
      <c r="I27" s="5">
        <f t="shared" si="3"/>
        <v>1667</v>
      </c>
      <c r="J27">
        <f t="shared" si="4"/>
        <v>-0.63291135708649371</v>
      </c>
      <c r="K27">
        <f t="shared" si="5"/>
        <v>6.1595588654613231E-2</v>
      </c>
      <c r="L27">
        <f t="shared" si="6"/>
        <v>0.69450694574110694</v>
      </c>
      <c r="P27">
        <f t="shared" si="7"/>
        <v>0</v>
      </c>
    </row>
    <row r="28" spans="1:16" x14ac:dyDescent="0.25">
      <c r="A28" s="1"/>
      <c r="B28" t="s">
        <v>42</v>
      </c>
      <c r="C28" t="s">
        <v>24</v>
      </c>
      <c r="D28" s="2">
        <v>0.79166666666666663</v>
      </c>
      <c r="E28" s="5">
        <f t="shared" si="0"/>
        <v>1668</v>
      </c>
      <c r="F28">
        <v>-0.53400000000000003</v>
      </c>
      <c r="G28">
        <f t="shared" si="1"/>
        <v>0.54977000000000009</v>
      </c>
      <c r="H28">
        <f t="shared" si="2"/>
        <v>0.54977000000000009</v>
      </c>
      <c r="I28" s="5">
        <f t="shared" si="3"/>
        <v>1668</v>
      </c>
      <c r="J28">
        <f t="shared" si="4"/>
        <v>2.0052731952139802E-2</v>
      </c>
      <c r="K28">
        <f t="shared" si="5"/>
        <v>0.18119264158896758</v>
      </c>
      <c r="L28">
        <f t="shared" si="6"/>
        <v>0.16113990963682778</v>
      </c>
      <c r="P28">
        <f t="shared" si="7"/>
        <v>1</v>
      </c>
    </row>
    <row r="29" spans="1:16" x14ac:dyDescent="0.25">
      <c r="A29" s="1"/>
      <c r="B29" t="s">
        <v>43</v>
      </c>
      <c r="C29" t="s">
        <v>24</v>
      </c>
      <c r="D29" s="2">
        <v>0.83333333333333337</v>
      </c>
      <c r="E29" s="5">
        <f t="shared" si="0"/>
        <v>1669</v>
      </c>
      <c r="F29">
        <v>-0.26948</v>
      </c>
      <c r="G29">
        <f t="shared" si="1"/>
        <v>-0.27870000000000006</v>
      </c>
      <c r="H29">
        <f t="shared" si="2"/>
        <v>-0.27870000000000006</v>
      </c>
      <c r="I29" s="5">
        <f t="shared" si="3"/>
        <v>1669</v>
      </c>
      <c r="J29">
        <f t="shared" si="4"/>
        <v>-0.69813042320988561</v>
      </c>
      <c r="K29">
        <f t="shared" si="5"/>
        <v>-0.36340119174027447</v>
      </c>
      <c r="L29">
        <f t="shared" si="6"/>
        <v>0.33472923146961114</v>
      </c>
      <c r="P29">
        <f t="shared" si="7"/>
        <v>1</v>
      </c>
    </row>
    <row r="30" spans="1:16" x14ac:dyDescent="0.25">
      <c r="A30" s="1"/>
      <c r="B30" t="s">
        <v>44</v>
      </c>
      <c r="C30" t="s">
        <v>24</v>
      </c>
      <c r="D30" s="2">
        <v>0.875</v>
      </c>
      <c r="E30" s="5">
        <f t="shared" si="0"/>
        <v>1670</v>
      </c>
      <c r="F30">
        <v>-0.28366000000000002</v>
      </c>
      <c r="G30">
        <f t="shared" si="1"/>
        <v>0.70045000000000002</v>
      </c>
      <c r="H30">
        <f t="shared" si="2"/>
        <v>0.70045000000000002</v>
      </c>
      <c r="I30" s="5">
        <f t="shared" si="3"/>
        <v>1670</v>
      </c>
      <c r="J30">
        <f t="shared" si="4"/>
        <v>0.35976023936259943</v>
      </c>
      <c r="K30">
        <f t="shared" si="5"/>
        <v>0.42514802498987281</v>
      </c>
      <c r="L30">
        <f t="shared" si="6"/>
        <v>6.5387785627273376E-2</v>
      </c>
      <c r="P30">
        <f t="shared" si="7"/>
        <v>1</v>
      </c>
    </row>
    <row r="31" spans="1:16" x14ac:dyDescent="0.25">
      <c r="A31" s="1"/>
      <c r="B31" t="s">
        <v>45</v>
      </c>
      <c r="C31" t="s">
        <v>24</v>
      </c>
      <c r="D31" s="2">
        <v>0.91666666666666663</v>
      </c>
      <c r="E31" s="5">
        <f t="shared" si="0"/>
        <v>1671</v>
      </c>
      <c r="F31">
        <v>0.40261000000000002</v>
      </c>
      <c r="G31">
        <f t="shared" si="1"/>
        <v>-1.4431400000000001</v>
      </c>
      <c r="H31">
        <f t="shared" si="2"/>
        <v>-1.4431400000000001</v>
      </c>
      <c r="I31" s="5">
        <f t="shared" si="3"/>
        <v>1671</v>
      </c>
      <c r="J31">
        <f t="shared" si="4"/>
        <v>-1.0091303575667006</v>
      </c>
      <c r="K31">
        <f t="shared" si="5"/>
        <v>-0.35043202505116228</v>
      </c>
      <c r="L31">
        <f t="shared" si="6"/>
        <v>0.65869833251553822</v>
      </c>
      <c r="P31">
        <f t="shared" si="7"/>
        <v>1</v>
      </c>
    </row>
    <row r="32" spans="1:16" x14ac:dyDescent="0.25">
      <c r="A32" s="1"/>
      <c r="B32" t="s">
        <v>46</v>
      </c>
      <c r="C32" t="s">
        <v>24</v>
      </c>
      <c r="D32" s="2">
        <v>0.95833333333333337</v>
      </c>
      <c r="E32" s="5">
        <f t="shared" si="0"/>
        <v>1672</v>
      </c>
      <c r="F32">
        <v>-0.35426000000000002</v>
      </c>
      <c r="G32">
        <f t="shared" si="1"/>
        <v>0.87363000000000013</v>
      </c>
      <c r="H32">
        <f t="shared" si="2"/>
        <v>0.87363000000000013</v>
      </c>
      <c r="I32" s="5">
        <f t="shared" si="3"/>
        <v>1672</v>
      </c>
      <c r="J32">
        <f t="shared" si="4"/>
        <v>0.28570284720817163</v>
      </c>
      <c r="K32">
        <f t="shared" si="5"/>
        <v>0.15495950441708042</v>
      </c>
      <c r="L32">
        <f t="shared" si="6"/>
        <v>0.1307433427910912</v>
      </c>
      <c r="P32">
        <f t="shared" si="7"/>
        <v>1</v>
      </c>
    </row>
    <row r="33" spans="1:16" x14ac:dyDescent="0.25">
      <c r="A33" s="1"/>
      <c r="B33" t="s">
        <v>47</v>
      </c>
      <c r="C33" t="s">
        <v>24</v>
      </c>
      <c r="D33" s="3">
        <v>1</v>
      </c>
      <c r="E33" s="5">
        <f t="shared" si="0"/>
        <v>1673</v>
      </c>
      <c r="F33">
        <v>-0.23749999999999999</v>
      </c>
      <c r="G33">
        <f t="shared" si="1"/>
        <v>0.73222000000000009</v>
      </c>
      <c r="H33">
        <f t="shared" si="2"/>
        <v>0.73222000000000009</v>
      </c>
      <c r="I33" s="5">
        <f t="shared" si="3"/>
        <v>1673</v>
      </c>
      <c r="J33">
        <f t="shared" si="4"/>
        <v>0.51184119534910155</v>
      </c>
      <c r="K33">
        <f t="shared" si="5"/>
        <v>0.12145983404859576</v>
      </c>
      <c r="L33">
        <f t="shared" si="6"/>
        <v>0.39038136130050582</v>
      </c>
      <c r="P33">
        <f t="shared" si="7"/>
        <v>1</v>
      </c>
    </row>
    <row r="34" spans="1:16" x14ac:dyDescent="0.25">
      <c r="A34" s="1"/>
      <c r="B34" t="s">
        <v>48</v>
      </c>
      <c r="C34" t="s">
        <v>24</v>
      </c>
      <c r="D34" s="3">
        <v>1.0416666666666667</v>
      </c>
      <c r="E34" s="5">
        <f t="shared" si="0"/>
        <v>1674</v>
      </c>
      <c r="F34">
        <v>0.61148000000000002</v>
      </c>
      <c r="G34">
        <f t="shared" si="1"/>
        <v>-1.57823</v>
      </c>
      <c r="H34">
        <f t="shared" si="2"/>
        <v>-1.57823</v>
      </c>
      <c r="I34" s="5">
        <f t="shared" si="3"/>
        <v>1674</v>
      </c>
      <c r="J34">
        <f t="shared" si="4"/>
        <v>-0.72041356588050376</v>
      </c>
      <c r="K34">
        <f t="shared" si="5"/>
        <v>-0.41120600353125264</v>
      </c>
      <c r="L34">
        <f t="shared" si="6"/>
        <v>0.30920756234925112</v>
      </c>
      <c r="P34">
        <f t="shared" si="7"/>
        <v>1</v>
      </c>
    </row>
    <row r="35" spans="1:16" x14ac:dyDescent="0.25">
      <c r="A35" s="1"/>
      <c r="B35" t="s">
        <v>49</v>
      </c>
      <c r="C35" t="s">
        <v>24</v>
      </c>
      <c r="D35" s="3">
        <v>1.0833333333333333</v>
      </c>
      <c r="E35" s="5">
        <f t="shared" si="0"/>
        <v>1675</v>
      </c>
      <c r="F35">
        <v>-0.11777</v>
      </c>
      <c r="G35">
        <f t="shared" si="1"/>
        <v>0.11476000000000008</v>
      </c>
      <c r="H35">
        <f t="shared" si="2"/>
        <v>0.11476000000000008</v>
      </c>
      <c r="I35" s="5">
        <f t="shared" si="3"/>
        <v>1675</v>
      </c>
      <c r="J35">
        <f t="shared" si="4"/>
        <v>-5.3980164611666714E-2</v>
      </c>
      <c r="K35">
        <f t="shared" si="5"/>
        <v>0.62675682423558288</v>
      </c>
      <c r="L35">
        <f t="shared" si="6"/>
        <v>0.68073698884724965</v>
      </c>
      <c r="P35">
        <f t="shared" si="7"/>
        <v>0</v>
      </c>
    </row>
    <row r="36" spans="1:16" x14ac:dyDescent="0.25">
      <c r="A36" s="1"/>
      <c r="B36" t="s">
        <v>50</v>
      </c>
      <c r="C36" t="s">
        <v>24</v>
      </c>
      <c r="D36" s="3">
        <v>1.125</v>
      </c>
      <c r="E36" s="5">
        <f t="shared" si="0"/>
        <v>1676</v>
      </c>
      <c r="F36">
        <v>-0.73226000000000002</v>
      </c>
      <c r="G36">
        <f t="shared" si="1"/>
        <v>1.7616499999999999</v>
      </c>
      <c r="H36">
        <f t="shared" si="2"/>
        <v>1.7616499999999999</v>
      </c>
      <c r="I36" s="5">
        <f t="shared" si="3"/>
        <v>1676</v>
      </c>
      <c r="J36">
        <f t="shared" si="4"/>
        <v>1.0573499674751683</v>
      </c>
      <c r="K36">
        <f t="shared" si="5"/>
        <v>-0.69563935753582895</v>
      </c>
      <c r="L36">
        <f t="shared" si="6"/>
        <v>1.7529893250109971</v>
      </c>
      <c r="P36">
        <f t="shared" si="7"/>
        <v>0</v>
      </c>
    </row>
    <row r="37" spans="1:16" x14ac:dyDescent="0.25">
      <c r="A37" s="1"/>
      <c r="B37" t="s">
        <v>51</v>
      </c>
      <c r="C37" t="s">
        <v>24</v>
      </c>
      <c r="D37" s="3">
        <v>1.1666666666666667</v>
      </c>
      <c r="E37" s="5">
        <f t="shared" si="0"/>
        <v>1677</v>
      </c>
      <c r="F37">
        <v>0.41489999999999999</v>
      </c>
      <c r="G37">
        <f t="shared" si="1"/>
        <v>-1.8254699999999999</v>
      </c>
      <c r="H37">
        <f t="shared" si="2"/>
        <v>-1.8254699999999999</v>
      </c>
      <c r="I37" s="5">
        <f t="shared" si="3"/>
        <v>1677</v>
      </c>
      <c r="J37">
        <f t="shared" si="4"/>
        <v>-1.1813273974207066</v>
      </c>
      <c r="K37">
        <f t="shared" si="5"/>
        <v>0.60435851916130379</v>
      </c>
      <c r="L37">
        <f t="shared" si="6"/>
        <v>1.7856859165820103</v>
      </c>
      <c r="P37">
        <f t="shared" si="7"/>
        <v>0</v>
      </c>
    </row>
    <row r="38" spans="1:16" x14ac:dyDescent="0.25">
      <c r="A38" s="1"/>
      <c r="B38" t="s">
        <v>52</v>
      </c>
      <c r="C38" t="s">
        <v>24</v>
      </c>
      <c r="D38" s="3">
        <v>1.2083333333333333</v>
      </c>
      <c r="E38" s="5">
        <f t="shared" si="0"/>
        <v>1678</v>
      </c>
      <c r="F38">
        <v>-0.26340999999999998</v>
      </c>
      <c r="G38">
        <f t="shared" si="1"/>
        <v>0.3245599999999999</v>
      </c>
      <c r="H38">
        <f t="shared" si="2"/>
        <v>0.3245599999999999</v>
      </c>
      <c r="I38" s="5">
        <f t="shared" si="3"/>
        <v>1678</v>
      </c>
      <c r="J38">
        <f t="shared" si="4"/>
        <v>9.7896221387332345E-3</v>
      </c>
      <c r="K38">
        <f t="shared" si="5"/>
        <v>-0.41429229702456971</v>
      </c>
      <c r="L38">
        <f t="shared" si="6"/>
        <v>0.42408191916330296</v>
      </c>
      <c r="P38">
        <f t="shared" si="7"/>
        <v>0</v>
      </c>
    </row>
    <row r="39" spans="1:16" x14ac:dyDescent="0.25">
      <c r="A39" s="1"/>
      <c r="B39" t="s">
        <v>53</v>
      </c>
      <c r="C39" t="s">
        <v>24</v>
      </c>
      <c r="D39" s="3">
        <v>1.25</v>
      </c>
      <c r="E39" s="5">
        <f t="shared" si="0"/>
        <v>1679</v>
      </c>
      <c r="F39">
        <v>-0.61716000000000004</v>
      </c>
      <c r="G39">
        <f t="shared" si="1"/>
        <v>1.15364</v>
      </c>
      <c r="H39">
        <f t="shared" si="2"/>
        <v>1.15364</v>
      </c>
      <c r="I39" s="5">
        <f t="shared" si="3"/>
        <v>1679</v>
      </c>
      <c r="J39">
        <f t="shared" si="4"/>
        <v>0.42744445594253755</v>
      </c>
      <c r="K39">
        <f t="shared" si="5"/>
        <v>0.2290313548160548</v>
      </c>
      <c r="L39">
        <f t="shared" si="6"/>
        <v>0.19841310112648275</v>
      </c>
      <c r="P39">
        <f t="shared" si="7"/>
        <v>1</v>
      </c>
    </row>
    <row r="40" spans="1:16" x14ac:dyDescent="0.25">
      <c r="A40" s="1"/>
      <c r="B40" t="s">
        <v>54</v>
      </c>
      <c r="C40" t="s">
        <v>24</v>
      </c>
      <c r="D40" s="3">
        <v>1.2916666666666667</v>
      </c>
      <c r="E40" s="5">
        <f t="shared" si="0"/>
        <v>1680</v>
      </c>
      <c r="F40">
        <v>0.18273</v>
      </c>
      <c r="G40">
        <f t="shared" si="1"/>
        <v>-0.71388000000000007</v>
      </c>
      <c r="H40">
        <f t="shared" si="2"/>
        <v>-0.71388000000000007</v>
      </c>
      <c r="I40" s="5">
        <f t="shared" si="3"/>
        <v>1680</v>
      </c>
      <c r="J40">
        <f t="shared" si="4"/>
        <v>-0.45567595547895384</v>
      </c>
      <c r="K40">
        <f t="shared" si="5"/>
        <v>-0.12999213877888563</v>
      </c>
      <c r="L40">
        <f t="shared" si="6"/>
        <v>0.32568381670006818</v>
      </c>
      <c r="P40">
        <f t="shared" si="7"/>
        <v>1</v>
      </c>
    </row>
    <row r="41" spans="1:16" x14ac:dyDescent="0.25">
      <c r="A41" s="1"/>
      <c r="B41" t="s">
        <v>55</v>
      </c>
      <c r="C41" t="s">
        <v>24</v>
      </c>
      <c r="D41" s="3">
        <v>1.3333333333333333</v>
      </c>
      <c r="E41" s="5">
        <f t="shared" si="0"/>
        <v>1681</v>
      </c>
      <c r="F41">
        <v>0.26873999999999998</v>
      </c>
      <c r="G41">
        <f t="shared" si="1"/>
        <v>0.38514000000000009</v>
      </c>
      <c r="H41">
        <f t="shared" si="2"/>
        <v>0.38514000000000009</v>
      </c>
      <c r="I41" s="5">
        <f t="shared" si="3"/>
        <v>1681</v>
      </c>
      <c r="J41">
        <f t="shared" si="4"/>
        <v>0.73281826487594215</v>
      </c>
      <c r="K41">
        <f t="shared" si="5"/>
        <v>0.12379879113791083</v>
      </c>
      <c r="L41">
        <f t="shared" si="6"/>
        <v>0.60901947373803134</v>
      </c>
      <c r="P41">
        <f t="shared" si="7"/>
        <v>1</v>
      </c>
    </row>
    <row r="42" spans="1:16" x14ac:dyDescent="0.25">
      <c r="A42" s="1"/>
      <c r="B42" t="s">
        <v>56</v>
      </c>
      <c r="C42" t="s">
        <v>24</v>
      </c>
      <c r="D42" s="3">
        <v>1.375</v>
      </c>
      <c r="E42" s="5">
        <f t="shared" si="0"/>
        <v>1682</v>
      </c>
      <c r="F42">
        <v>0.73989000000000005</v>
      </c>
      <c r="G42">
        <f t="shared" si="1"/>
        <v>-1.0157100000000001</v>
      </c>
      <c r="H42">
        <f t="shared" si="2"/>
        <v>-1.0157100000000001</v>
      </c>
      <c r="I42" s="5">
        <f t="shared" si="3"/>
        <v>1682</v>
      </c>
      <c r="J42">
        <f t="shared" si="4"/>
        <v>-0.25189953567550266</v>
      </c>
      <c r="K42">
        <f t="shared" si="5"/>
        <v>-0.13948445782755664</v>
      </c>
      <c r="L42">
        <f t="shared" si="6"/>
        <v>0.11241507784794602</v>
      </c>
      <c r="P42">
        <f t="shared" si="7"/>
        <v>1</v>
      </c>
    </row>
    <row r="43" spans="1:16" x14ac:dyDescent="0.25">
      <c r="A43" s="1"/>
      <c r="B43" t="s">
        <v>57</v>
      </c>
      <c r="C43" t="s">
        <v>24</v>
      </c>
      <c r="D43" s="3">
        <v>1.4166666666666667</v>
      </c>
      <c r="E43" s="5">
        <f t="shared" si="0"/>
        <v>1683</v>
      </c>
      <c r="F43">
        <v>0.19533</v>
      </c>
      <c r="G43">
        <f t="shared" si="1"/>
        <v>0.24701000000000006</v>
      </c>
      <c r="H43">
        <f t="shared" si="2"/>
        <v>0.24701000000000006</v>
      </c>
      <c r="I43" s="5">
        <f t="shared" si="3"/>
        <v>1683</v>
      </c>
      <c r="J43">
        <f t="shared" si="4"/>
        <v>0.57283984660552834</v>
      </c>
      <c r="K43">
        <f t="shared" si="5"/>
        <v>7.9784543725072071E-2</v>
      </c>
      <c r="L43">
        <f t="shared" si="6"/>
        <v>0.49305530288045629</v>
      </c>
      <c r="P43">
        <f t="shared" si="7"/>
        <v>1</v>
      </c>
    </row>
    <row r="44" spans="1:16" x14ac:dyDescent="0.25">
      <c r="A44" s="1"/>
      <c r="B44" t="s">
        <v>58</v>
      </c>
      <c r="C44" t="s">
        <v>24</v>
      </c>
      <c r="D44" s="3">
        <v>1.4583333333333333</v>
      </c>
      <c r="E44" s="5">
        <f t="shared" si="0"/>
        <v>1684</v>
      </c>
      <c r="F44">
        <v>-0.10222000000000001</v>
      </c>
      <c r="G44">
        <f t="shared" si="1"/>
        <v>-0.73465000000000003</v>
      </c>
      <c r="H44">
        <f t="shared" si="2"/>
        <v>-0.73465000000000003</v>
      </c>
      <c r="I44" s="5">
        <f t="shared" si="3"/>
        <v>1684</v>
      </c>
      <c r="J44">
        <f t="shared" si="4"/>
        <v>-0.83101821028767597</v>
      </c>
      <c r="K44">
        <f t="shared" si="5"/>
        <v>0.10670053149258563</v>
      </c>
      <c r="L44">
        <f t="shared" si="6"/>
        <v>0.9377187417802616</v>
      </c>
      <c r="P44">
        <f t="shared" si="7"/>
        <v>0</v>
      </c>
    </row>
    <row r="45" spans="1:16" x14ac:dyDescent="0.25">
      <c r="A45" s="1"/>
      <c r="B45" t="s">
        <v>59</v>
      </c>
      <c r="C45" t="s">
        <v>24</v>
      </c>
      <c r="D45" s="3">
        <v>1.5</v>
      </c>
      <c r="E45" s="5">
        <f t="shared" si="0"/>
        <v>1685</v>
      </c>
      <c r="F45">
        <v>-1.13442</v>
      </c>
      <c r="G45">
        <f t="shared" si="1"/>
        <v>2.4325399999999999</v>
      </c>
      <c r="H45">
        <f t="shared" si="2"/>
        <v>2.4325399999999999</v>
      </c>
      <c r="I45" s="5">
        <f t="shared" si="3"/>
        <v>1685</v>
      </c>
      <c r="J45">
        <f t="shared" si="4"/>
        <v>0.86547119917184534</v>
      </c>
      <c r="K45">
        <f t="shared" si="5"/>
        <v>-0.38020897962586869</v>
      </c>
      <c r="L45">
        <f t="shared" si="6"/>
        <v>1.2456801787977141</v>
      </c>
      <c r="P45">
        <f t="shared" si="7"/>
        <v>0</v>
      </c>
    </row>
    <row r="46" spans="1:16" x14ac:dyDescent="0.25">
      <c r="A46" s="1"/>
      <c r="B46" t="s">
        <v>60</v>
      </c>
      <c r="C46" t="s">
        <v>24</v>
      </c>
      <c r="D46" s="3">
        <v>1.5416666666666667</v>
      </c>
      <c r="E46" s="5">
        <f t="shared" si="0"/>
        <v>1686</v>
      </c>
      <c r="F46">
        <v>0.26591999999999999</v>
      </c>
      <c r="G46">
        <f t="shared" si="1"/>
        <v>-0.68174000000000001</v>
      </c>
      <c r="H46">
        <f t="shared" si="2"/>
        <v>-0.68174000000000001</v>
      </c>
      <c r="I46" s="5">
        <f t="shared" si="3"/>
        <v>1686</v>
      </c>
      <c r="J46">
        <f t="shared" si="4"/>
        <v>-0.29708452588777873</v>
      </c>
      <c r="K46">
        <f t="shared" si="5"/>
        <v>0.62134935809868319</v>
      </c>
      <c r="L46">
        <f t="shared" si="6"/>
        <v>0.91843388398646186</v>
      </c>
      <c r="P46">
        <f t="shared" si="7"/>
        <v>0</v>
      </c>
    </row>
    <row r="47" spans="1:16" x14ac:dyDescent="0.25">
      <c r="A47" s="1"/>
      <c r="B47" t="s">
        <v>61</v>
      </c>
      <c r="C47" t="s">
        <v>24</v>
      </c>
      <c r="D47" s="3">
        <v>1.5833333333333333</v>
      </c>
      <c r="E47" s="5">
        <f t="shared" si="0"/>
        <v>1687</v>
      </c>
      <c r="F47">
        <v>0.98451999999999995</v>
      </c>
      <c r="G47">
        <f t="shared" si="1"/>
        <v>-1.5032599999999998</v>
      </c>
      <c r="H47">
        <f t="shared" si="2"/>
        <v>-1.5032599999999998</v>
      </c>
      <c r="I47" s="5">
        <f t="shared" si="3"/>
        <v>1687</v>
      </c>
      <c r="J47">
        <f t="shared" si="4"/>
        <v>-0.55759215364675718</v>
      </c>
      <c r="K47">
        <f t="shared" si="5"/>
        <v>-0.69348726411655071</v>
      </c>
      <c r="L47">
        <f t="shared" si="6"/>
        <v>0.13589511046979352</v>
      </c>
      <c r="P47">
        <f t="shared" si="7"/>
        <v>1</v>
      </c>
    </row>
    <row r="48" spans="1:16" x14ac:dyDescent="0.25">
      <c r="A48" s="1"/>
      <c r="B48" t="s">
        <v>62</v>
      </c>
      <c r="C48" t="s">
        <v>24</v>
      </c>
      <c r="D48" s="3">
        <v>1.625</v>
      </c>
      <c r="E48" s="5">
        <f t="shared" si="0"/>
        <v>1688</v>
      </c>
      <c r="F48">
        <v>0.19986000000000001</v>
      </c>
      <c r="G48">
        <f t="shared" si="1"/>
        <v>1.1437299999999999</v>
      </c>
      <c r="H48">
        <f t="shared" si="2"/>
        <v>1.1437299999999999</v>
      </c>
      <c r="I48" s="5">
        <f t="shared" si="3"/>
        <v>1688</v>
      </c>
      <c r="J48">
        <f t="shared" si="4"/>
        <v>1.4529006024257647</v>
      </c>
      <c r="K48">
        <f t="shared" si="5"/>
        <v>0.5211524611720505</v>
      </c>
      <c r="L48">
        <f t="shared" si="6"/>
        <v>0.93174814125371419</v>
      </c>
      <c r="P48">
        <f t="shared" si="7"/>
        <v>1</v>
      </c>
    </row>
    <row r="49" spans="1:16" x14ac:dyDescent="0.25">
      <c r="A49" s="1"/>
      <c r="B49" t="s">
        <v>63</v>
      </c>
      <c r="C49" t="s">
        <v>24</v>
      </c>
      <c r="D49" s="3">
        <v>1.6666666666666667</v>
      </c>
      <c r="E49" s="5">
        <f t="shared" si="0"/>
        <v>1689</v>
      </c>
      <c r="F49">
        <v>0.55893000000000004</v>
      </c>
      <c r="G49">
        <f t="shared" si="1"/>
        <v>-0.55098000000000003</v>
      </c>
      <c r="H49">
        <f t="shared" si="2"/>
        <v>-0.55098000000000003</v>
      </c>
      <c r="I49" s="5">
        <f t="shared" si="3"/>
        <v>1689</v>
      </c>
      <c r="J49">
        <f t="shared" si="4"/>
        <v>0.12132491348964802</v>
      </c>
      <c r="K49">
        <f t="shared" si="5"/>
        <v>-0.14323615590492</v>
      </c>
      <c r="L49">
        <f t="shared" si="6"/>
        <v>0.26456106939456803</v>
      </c>
      <c r="P49">
        <f t="shared" si="7"/>
        <v>0</v>
      </c>
    </row>
    <row r="50" spans="1:16" x14ac:dyDescent="0.25">
      <c r="A50" s="1"/>
      <c r="B50" t="s">
        <v>64</v>
      </c>
      <c r="C50" t="s">
        <v>24</v>
      </c>
      <c r="D50" s="3">
        <v>1.7083333333333333</v>
      </c>
      <c r="E50" s="5">
        <f t="shared" si="0"/>
        <v>1690</v>
      </c>
      <c r="F50">
        <v>0.36702000000000001</v>
      </c>
      <c r="G50">
        <f t="shared" si="1"/>
        <v>-0.22628999999999999</v>
      </c>
      <c r="H50">
        <f t="shared" si="2"/>
        <v>-0.22628999999999999</v>
      </c>
      <c r="I50" s="5">
        <f t="shared" si="3"/>
        <v>1690</v>
      </c>
      <c r="J50">
        <f t="shared" si="4"/>
        <v>0.19767674082737893</v>
      </c>
      <c r="K50">
        <f t="shared" si="5"/>
        <v>-0.28825684609040991</v>
      </c>
      <c r="L50">
        <f t="shared" si="6"/>
        <v>0.48593358691778887</v>
      </c>
      <c r="P50">
        <f t="shared" si="7"/>
        <v>0</v>
      </c>
    </row>
    <row r="51" spans="1:16" x14ac:dyDescent="0.25">
      <c r="A51" s="1"/>
      <c r="B51" t="s">
        <v>65</v>
      </c>
      <c r="C51" t="s">
        <v>24</v>
      </c>
      <c r="D51" s="3">
        <v>1.75</v>
      </c>
      <c r="E51" s="5">
        <f t="shared" si="0"/>
        <v>1691</v>
      </c>
      <c r="F51">
        <v>-5.1180000000000003E-2</v>
      </c>
      <c r="G51">
        <f t="shared" si="1"/>
        <v>1.0916700000000001</v>
      </c>
      <c r="H51">
        <f t="shared" si="2"/>
        <v>1.0916700000000001</v>
      </c>
      <c r="I51" s="5">
        <f t="shared" si="3"/>
        <v>1691</v>
      </c>
      <c r="J51">
        <f t="shared" si="4"/>
        <v>1.0160211376894319</v>
      </c>
      <c r="K51">
        <f t="shared" si="5"/>
        <v>0.57295151948116663</v>
      </c>
      <c r="L51">
        <f t="shared" si="6"/>
        <v>0.44306961820826529</v>
      </c>
      <c r="P51">
        <f t="shared" si="7"/>
        <v>1</v>
      </c>
    </row>
    <row r="52" spans="1:16" x14ac:dyDescent="0.25">
      <c r="A52" s="1"/>
      <c r="B52" t="s">
        <v>66</v>
      </c>
      <c r="C52" t="s">
        <v>24</v>
      </c>
      <c r="D52" s="3">
        <v>1.7916666666666667</v>
      </c>
      <c r="E52" s="5">
        <f t="shared" si="0"/>
        <v>1692</v>
      </c>
      <c r="F52">
        <v>0.62229000000000001</v>
      </c>
      <c r="G52">
        <f t="shared" si="1"/>
        <v>-0.81603000000000003</v>
      </c>
      <c r="H52">
        <f t="shared" si="2"/>
        <v>-0.81603000000000003</v>
      </c>
      <c r="I52" s="5">
        <f t="shared" si="3"/>
        <v>1692</v>
      </c>
      <c r="J52">
        <f t="shared" si="4"/>
        <v>-9.7349832365109551E-2</v>
      </c>
      <c r="K52">
        <f t="shared" si="5"/>
        <v>-0.56975267842505961</v>
      </c>
      <c r="L52">
        <f t="shared" si="6"/>
        <v>0.47240284605995009</v>
      </c>
      <c r="P52">
        <f t="shared" si="7"/>
        <v>1</v>
      </c>
    </row>
    <row r="53" spans="1:16" x14ac:dyDescent="0.25">
      <c r="A53" s="1"/>
      <c r="B53" t="s">
        <v>67</v>
      </c>
      <c r="C53" t="s">
        <v>24</v>
      </c>
      <c r="D53" s="3">
        <v>1.8333333333333333</v>
      </c>
      <c r="E53" s="5">
        <f t="shared" si="0"/>
        <v>1693</v>
      </c>
      <c r="F53">
        <v>0.47972999999999999</v>
      </c>
      <c r="G53">
        <f t="shared" si="1"/>
        <v>0.33596000000000004</v>
      </c>
      <c r="H53">
        <f t="shared" si="2"/>
        <v>0.33596000000000004</v>
      </c>
      <c r="I53" s="5">
        <f t="shared" si="3"/>
        <v>1693</v>
      </c>
      <c r="J53">
        <f t="shared" si="4"/>
        <v>0.93470070523262527</v>
      </c>
      <c r="K53">
        <f t="shared" si="5"/>
        <v>0.28834356084897977</v>
      </c>
      <c r="L53">
        <f t="shared" si="6"/>
        <v>0.64635714438364555</v>
      </c>
      <c r="P53">
        <f t="shared" si="7"/>
        <v>1</v>
      </c>
    </row>
    <row r="54" spans="1:16" x14ac:dyDescent="0.25">
      <c r="A54" s="1"/>
      <c r="B54" t="s">
        <v>68</v>
      </c>
      <c r="C54" t="s">
        <v>24</v>
      </c>
      <c r="D54" s="3">
        <v>1.875</v>
      </c>
      <c r="E54" s="5">
        <f t="shared" si="0"/>
        <v>1694</v>
      </c>
      <c r="F54">
        <v>0.67313000000000001</v>
      </c>
      <c r="G54">
        <f t="shared" si="1"/>
        <v>0.17141000000000006</v>
      </c>
      <c r="H54">
        <f t="shared" si="2"/>
        <v>0.17141000000000006</v>
      </c>
      <c r="I54" s="5">
        <f t="shared" si="3"/>
        <v>1694</v>
      </c>
      <c r="J54">
        <f t="shared" si="4"/>
        <v>1.1230272902726648</v>
      </c>
      <c r="K54">
        <f t="shared" si="5"/>
        <v>0.10819613358696184</v>
      </c>
      <c r="L54">
        <f t="shared" si="6"/>
        <v>1.0148311566857029</v>
      </c>
      <c r="P54">
        <f t="shared" si="7"/>
        <v>1</v>
      </c>
    </row>
    <row r="55" spans="1:16" x14ac:dyDescent="0.25">
      <c r="A55" s="1"/>
      <c r="B55" t="s">
        <v>69</v>
      </c>
      <c r="C55" t="s">
        <v>24</v>
      </c>
      <c r="D55" s="3">
        <v>1.9166666666666667</v>
      </c>
      <c r="E55" s="5">
        <f t="shared" si="0"/>
        <v>1695</v>
      </c>
      <c r="F55">
        <v>1.0379400000000001</v>
      </c>
      <c r="G55">
        <f t="shared" si="1"/>
        <v>-2.4887899999999998</v>
      </c>
      <c r="H55">
        <f t="shared" si="2"/>
        <v>-2.4887899999999998</v>
      </c>
      <c r="I55" s="5">
        <f t="shared" si="3"/>
        <v>1695</v>
      </c>
      <c r="J55">
        <f t="shared" si="4"/>
        <v>-1.2775056949966419</v>
      </c>
      <c r="K55">
        <f t="shared" si="5"/>
        <v>-0.40849714668377646</v>
      </c>
      <c r="L55">
        <f t="shared" si="6"/>
        <v>0.86900854831286545</v>
      </c>
      <c r="P55">
        <f t="shared" si="7"/>
        <v>1</v>
      </c>
    </row>
    <row r="56" spans="1:16" x14ac:dyDescent="0.25">
      <c r="A56" s="1"/>
      <c r="B56" t="s">
        <v>70</v>
      </c>
      <c r="C56" t="s">
        <v>24</v>
      </c>
      <c r="D56" s="3">
        <v>1.9583333333333333</v>
      </c>
      <c r="E56" s="5">
        <f t="shared" si="0"/>
        <v>1696</v>
      </c>
      <c r="F56">
        <v>-1.0860399999999999</v>
      </c>
      <c r="G56">
        <f t="shared" si="1"/>
        <v>2.6817099999999998</v>
      </c>
      <c r="H56">
        <f t="shared" si="2"/>
        <v>2.6817099999999998</v>
      </c>
      <c r="I56" s="5">
        <f t="shared" si="3"/>
        <v>1696</v>
      </c>
      <c r="J56">
        <f t="shared" si="4"/>
        <v>1.3150689862834155</v>
      </c>
      <c r="K56">
        <f t="shared" si="5"/>
        <v>0.49052327582408028</v>
      </c>
      <c r="L56">
        <f t="shared" si="6"/>
        <v>0.82454571045933522</v>
      </c>
      <c r="P56">
        <f t="shared" si="7"/>
        <v>1</v>
      </c>
    </row>
    <row r="57" spans="1:16" x14ac:dyDescent="0.25">
      <c r="A57" s="1"/>
      <c r="B57" t="s">
        <v>71</v>
      </c>
      <c r="C57" t="s">
        <v>24</v>
      </c>
      <c r="D57" s="3">
        <v>2</v>
      </c>
      <c r="E57" s="5">
        <f t="shared" si="0"/>
        <v>1697</v>
      </c>
      <c r="F57">
        <v>-0.52830999999999995</v>
      </c>
      <c r="G57">
        <f t="shared" si="1"/>
        <v>-1.1302399999999999</v>
      </c>
      <c r="H57">
        <f t="shared" si="2"/>
        <v>-1.1302399999999999</v>
      </c>
      <c r="I57" s="5">
        <f t="shared" si="3"/>
        <v>1697</v>
      </c>
      <c r="J57">
        <f t="shared" si="4"/>
        <v>-1.8820290064182124</v>
      </c>
      <c r="K57">
        <f t="shared" si="5"/>
        <v>-0.38130377014450723</v>
      </c>
      <c r="L57">
        <f t="shared" si="6"/>
        <v>1.5007252362737051</v>
      </c>
      <c r="P57">
        <f t="shared" si="7"/>
        <v>1</v>
      </c>
    </row>
    <row r="58" spans="1:16" x14ac:dyDescent="0.25">
      <c r="A58" s="1"/>
      <c r="B58" t="s">
        <v>72</v>
      </c>
      <c r="C58" t="s">
        <v>24</v>
      </c>
      <c r="D58" s="3">
        <v>2.0416666666666665</v>
      </c>
      <c r="E58" s="5">
        <f t="shared" si="0"/>
        <v>1698</v>
      </c>
      <c r="F58">
        <v>-1.1008199999999999</v>
      </c>
      <c r="G58">
        <f t="shared" si="1"/>
        <v>1.4529199999999998</v>
      </c>
      <c r="H58">
        <f t="shared" si="2"/>
        <v>1.4529199999999998</v>
      </c>
      <c r="I58" s="5">
        <f t="shared" si="3"/>
        <v>1698</v>
      </c>
      <c r="J58">
        <f t="shared" si="4"/>
        <v>0.20610333111921325</v>
      </c>
      <c r="K58">
        <f t="shared" si="5"/>
        <v>0.19992355885993882</v>
      </c>
      <c r="L58">
        <f t="shared" si="6"/>
        <v>6.1797722592744353E-3</v>
      </c>
      <c r="P58">
        <f t="shared" si="7"/>
        <v>1</v>
      </c>
    </row>
    <row r="59" spans="1:16" x14ac:dyDescent="0.25">
      <c r="A59" s="1"/>
      <c r="B59" t="s">
        <v>73</v>
      </c>
      <c r="C59" t="s">
        <v>24</v>
      </c>
      <c r="D59" s="3">
        <v>2.0833333333333335</v>
      </c>
      <c r="E59" s="5">
        <f t="shared" si="0"/>
        <v>1699</v>
      </c>
      <c r="F59">
        <v>-0.22040999999999999</v>
      </c>
      <c r="G59">
        <f t="shared" si="1"/>
        <v>-0.67158999999999991</v>
      </c>
      <c r="H59">
        <f t="shared" si="2"/>
        <v>-0.67158999999999991</v>
      </c>
      <c r="I59" s="5">
        <f t="shared" si="3"/>
        <v>1699</v>
      </c>
      <c r="J59">
        <f t="shared" si="4"/>
        <v>-0.951801819921412</v>
      </c>
      <c r="K59">
        <f t="shared" si="5"/>
        <v>-4.8041627496507346E-2</v>
      </c>
      <c r="L59">
        <f t="shared" si="6"/>
        <v>0.90376019242490468</v>
      </c>
      <c r="P59">
        <f t="shared" si="7"/>
        <v>1</v>
      </c>
    </row>
    <row r="60" spans="1:16" x14ac:dyDescent="0.25">
      <c r="A60" s="1"/>
      <c r="B60" t="s">
        <v>74</v>
      </c>
      <c r="C60" t="s">
        <v>24</v>
      </c>
      <c r="D60" s="3">
        <v>2.125</v>
      </c>
      <c r="E60" s="5">
        <f t="shared" si="0"/>
        <v>1700</v>
      </c>
      <c r="F60">
        <v>-1.159E-2</v>
      </c>
      <c r="G60">
        <f t="shared" si="1"/>
        <v>0.22741</v>
      </c>
      <c r="H60">
        <f t="shared" si="2"/>
        <v>0.22741</v>
      </c>
      <c r="I60" s="5">
        <f t="shared" si="3"/>
        <v>1700</v>
      </c>
      <c r="J60">
        <f t="shared" si="4"/>
        <v>0.21002526932452348</v>
      </c>
      <c r="K60">
        <f t="shared" si="5"/>
        <v>-5.6559694467566729E-2</v>
      </c>
      <c r="L60">
        <f t="shared" si="6"/>
        <v>0.26658496379209018</v>
      </c>
      <c r="P60">
        <f t="shared" si="7"/>
        <v>0</v>
      </c>
    </row>
    <row r="61" spans="1:16" x14ac:dyDescent="0.25">
      <c r="A61" s="1"/>
      <c r="B61" t="s">
        <v>75</v>
      </c>
      <c r="C61" t="s">
        <v>24</v>
      </c>
      <c r="D61" s="3">
        <v>2.1666666666666665</v>
      </c>
      <c r="E61" s="5">
        <f t="shared" si="0"/>
        <v>1701</v>
      </c>
      <c r="F61">
        <v>0.42464000000000002</v>
      </c>
      <c r="G61">
        <f t="shared" si="1"/>
        <v>-0.60131000000000001</v>
      </c>
      <c r="H61">
        <f t="shared" si="2"/>
        <v>-0.60131000000000001</v>
      </c>
      <c r="I61" s="5">
        <f t="shared" si="3"/>
        <v>1701</v>
      </c>
      <c r="J61">
        <f t="shared" si="4"/>
        <v>-0.20638502888857499</v>
      </c>
      <c r="K61">
        <f t="shared" si="5"/>
        <v>0.16231017319175434</v>
      </c>
      <c r="L61">
        <f t="shared" si="6"/>
        <v>0.36869520208032935</v>
      </c>
      <c r="P61">
        <f t="shared" si="7"/>
        <v>0</v>
      </c>
    </row>
    <row r="62" spans="1:16" x14ac:dyDescent="0.25">
      <c r="A62" s="1"/>
      <c r="B62" t="s">
        <v>76</v>
      </c>
      <c r="C62" t="s">
        <v>24</v>
      </c>
      <c r="D62" s="3">
        <v>2.2083333333333335</v>
      </c>
      <c r="E62" s="5">
        <f t="shared" si="0"/>
        <v>1702</v>
      </c>
      <c r="F62">
        <v>0.25956000000000001</v>
      </c>
      <c r="G62">
        <f t="shared" si="1"/>
        <v>-0.81159999999999999</v>
      </c>
      <c r="H62">
        <f t="shared" si="2"/>
        <v>-0.81159999999999999</v>
      </c>
      <c r="I62" s="5">
        <f t="shared" si="3"/>
        <v>1702</v>
      </c>
      <c r="J62">
        <f t="shared" si="4"/>
        <v>-0.40600410231673184</v>
      </c>
      <c r="K62">
        <f t="shared" si="5"/>
        <v>-0.31491874866863856</v>
      </c>
      <c r="L62">
        <f t="shared" si="6"/>
        <v>9.1085353648093281E-2</v>
      </c>
      <c r="P62">
        <f t="shared" si="7"/>
        <v>1</v>
      </c>
    </row>
    <row r="63" spans="1:16" x14ac:dyDescent="0.25">
      <c r="A63" s="1"/>
      <c r="B63" t="s">
        <v>77</v>
      </c>
      <c r="C63" t="s">
        <v>24</v>
      </c>
      <c r="D63" s="3">
        <v>2.25</v>
      </c>
      <c r="E63" s="5">
        <f t="shared" si="0"/>
        <v>1703</v>
      </c>
      <c r="F63">
        <v>-0.71711999999999998</v>
      </c>
      <c r="G63">
        <f t="shared" si="1"/>
        <v>0.99912000000000001</v>
      </c>
      <c r="H63">
        <f t="shared" si="2"/>
        <v>0.99912000000000001</v>
      </c>
      <c r="I63" s="5">
        <f t="shared" si="3"/>
        <v>1703</v>
      </c>
      <c r="J63">
        <f t="shared" si="4"/>
        <v>0.12226969025864294</v>
      </c>
      <c r="K63">
        <f t="shared" si="5"/>
        <v>0.50184824049481747</v>
      </c>
      <c r="L63">
        <f t="shared" si="6"/>
        <v>0.37957855023617454</v>
      </c>
      <c r="P63">
        <f t="shared" si="7"/>
        <v>1</v>
      </c>
    </row>
    <row r="64" spans="1:16" x14ac:dyDescent="0.25">
      <c r="A64" s="1"/>
      <c r="B64" t="s">
        <v>78</v>
      </c>
      <c r="C64" t="s">
        <v>24</v>
      </c>
      <c r="D64" s="3">
        <v>2.2916666666666665</v>
      </c>
      <c r="E64" s="5">
        <f t="shared" si="0"/>
        <v>1704</v>
      </c>
      <c r="F64">
        <v>-0.69467999999999996</v>
      </c>
      <c r="G64">
        <f t="shared" si="1"/>
        <v>0.17132999999999998</v>
      </c>
      <c r="H64">
        <f t="shared" si="2"/>
        <v>0.17132999999999998</v>
      </c>
      <c r="I64" s="5">
        <f t="shared" si="3"/>
        <v>1704</v>
      </c>
      <c r="J64">
        <f t="shared" si="4"/>
        <v>-0.5781285098141643</v>
      </c>
      <c r="K64">
        <f t="shared" si="5"/>
        <v>-0.65305562315982824</v>
      </c>
      <c r="L64">
        <f t="shared" si="6"/>
        <v>7.4927113345663932E-2</v>
      </c>
      <c r="P64">
        <f t="shared" si="7"/>
        <v>1</v>
      </c>
    </row>
    <row r="65" spans="1:16" x14ac:dyDescent="0.25">
      <c r="A65" s="1"/>
      <c r="B65" t="s">
        <v>79</v>
      </c>
      <c r="C65" t="s">
        <v>24</v>
      </c>
      <c r="D65" s="3">
        <v>2.3333333333333335</v>
      </c>
      <c r="E65" s="5">
        <f t="shared" si="0"/>
        <v>1705</v>
      </c>
      <c r="F65">
        <v>-0.50090999999999997</v>
      </c>
      <c r="G65">
        <f t="shared" si="1"/>
        <v>0.27430999999999994</v>
      </c>
      <c r="H65">
        <f t="shared" si="2"/>
        <v>0.27430999999999994</v>
      </c>
      <c r="I65" s="5">
        <f t="shared" si="3"/>
        <v>1705</v>
      </c>
      <c r="J65">
        <f t="shared" si="4"/>
        <v>-0.5272563887672328</v>
      </c>
      <c r="K65">
        <f t="shared" si="5"/>
        <v>0.69258721210224794</v>
      </c>
      <c r="L65">
        <f t="shared" si="6"/>
        <v>1.2198436008694808</v>
      </c>
      <c r="P65">
        <f t="shared" si="7"/>
        <v>0</v>
      </c>
    </row>
    <row r="66" spans="1:16" x14ac:dyDescent="0.25">
      <c r="A66" s="1"/>
      <c r="B66" t="s">
        <v>80</v>
      </c>
      <c r="C66" t="s">
        <v>24</v>
      </c>
      <c r="D66" s="3">
        <v>2.375</v>
      </c>
      <c r="E66" s="5">
        <f t="shared" si="0"/>
        <v>1706</v>
      </c>
      <c r="F66">
        <v>-3.2829999999999998E-2</v>
      </c>
      <c r="G66">
        <f t="shared" si="1"/>
        <v>-0.98914999999999986</v>
      </c>
      <c r="H66">
        <f t="shared" si="2"/>
        <v>-0.98914999999999986</v>
      </c>
      <c r="I66" s="5">
        <f t="shared" si="3"/>
        <v>1706</v>
      </c>
      <c r="J66">
        <f t="shared" si="4"/>
        <v>-1.0230243167471433</v>
      </c>
      <c r="K66">
        <f t="shared" si="5"/>
        <v>-0.59782474637233796</v>
      </c>
      <c r="L66">
        <f t="shared" si="6"/>
        <v>0.42519957037480538</v>
      </c>
      <c r="P66">
        <f t="shared" si="7"/>
        <v>1</v>
      </c>
    </row>
    <row r="67" spans="1:16" x14ac:dyDescent="0.25">
      <c r="A67" s="1"/>
      <c r="B67" t="s">
        <v>81</v>
      </c>
      <c r="C67" t="s">
        <v>24</v>
      </c>
      <c r="D67" s="3">
        <v>2.4166666666666665</v>
      </c>
      <c r="E67" s="5">
        <f t="shared" si="0"/>
        <v>1707</v>
      </c>
      <c r="F67">
        <v>-0.55389999999999995</v>
      </c>
      <c r="G67">
        <f t="shared" si="1"/>
        <v>1.0324299999999997</v>
      </c>
      <c r="H67">
        <f t="shared" si="2"/>
        <v>1.0324299999999997</v>
      </c>
      <c r="I67" s="5">
        <f t="shared" si="3"/>
        <v>1707</v>
      </c>
      <c r="J67">
        <f t="shared" si="4"/>
        <v>0.29955538088136957</v>
      </c>
      <c r="K67">
        <f t="shared" si="5"/>
        <v>0.41975950051981115</v>
      </c>
      <c r="L67">
        <f t="shared" si="6"/>
        <v>0.12020411963844158</v>
      </c>
      <c r="P67">
        <f t="shared" si="7"/>
        <v>1</v>
      </c>
    </row>
    <row r="68" spans="1:16" x14ac:dyDescent="0.25">
      <c r="A68" s="1"/>
      <c r="B68" t="s">
        <v>82</v>
      </c>
      <c r="C68" t="s">
        <v>24</v>
      </c>
      <c r="D68" s="3">
        <v>2.4583333333333335</v>
      </c>
      <c r="E68" s="5">
        <f t="shared" si="0"/>
        <v>1708</v>
      </c>
      <c r="F68">
        <v>-4.2540000000000001E-2</v>
      </c>
      <c r="G68">
        <f t="shared" si="1"/>
        <v>-1.0063</v>
      </c>
      <c r="H68">
        <f t="shared" si="2"/>
        <v>-1.0063</v>
      </c>
      <c r="I68" s="5">
        <f t="shared" si="3"/>
        <v>1708</v>
      </c>
      <c r="J68">
        <f t="shared" si="4"/>
        <v>-1.0659228889763082</v>
      </c>
      <c r="K68">
        <f t="shared" si="5"/>
        <v>-0.24803545872305371</v>
      </c>
      <c r="L68">
        <f t="shared" si="6"/>
        <v>0.81788743025325439</v>
      </c>
      <c r="P68">
        <f t="shared" si="7"/>
        <v>1</v>
      </c>
    </row>
    <row r="69" spans="1:16" x14ac:dyDescent="0.25">
      <c r="A69" s="1"/>
      <c r="B69" t="s">
        <v>83</v>
      </c>
      <c r="C69" t="s">
        <v>24</v>
      </c>
      <c r="D69" s="3">
        <v>2.5</v>
      </c>
      <c r="E69" s="5">
        <f t="shared" si="0"/>
        <v>1709</v>
      </c>
      <c r="F69">
        <v>-0.53747999999999996</v>
      </c>
      <c r="G69">
        <f t="shared" si="1"/>
        <v>2.1544999999999996</v>
      </c>
      <c r="H69">
        <f t="shared" si="2"/>
        <v>2.1544999999999996</v>
      </c>
      <c r="I69" s="5">
        <f t="shared" si="3"/>
        <v>1709</v>
      </c>
      <c r="J69">
        <f t="shared" si="4"/>
        <v>1.5354607657418995</v>
      </c>
      <c r="K69">
        <f t="shared" si="5"/>
        <v>0.14594121182194317</v>
      </c>
      <c r="L69">
        <f t="shared" si="6"/>
        <v>1.3895195539199563</v>
      </c>
      <c r="P69">
        <f t="shared" si="7"/>
        <v>1</v>
      </c>
    </row>
    <row r="70" spans="1:16" x14ac:dyDescent="0.25">
      <c r="A70" s="1"/>
      <c r="B70" t="s">
        <v>84</v>
      </c>
      <c r="C70" t="s">
        <v>24</v>
      </c>
      <c r="D70" s="3">
        <v>2.5416666666666665</v>
      </c>
      <c r="E70" s="5">
        <f t="shared" si="0"/>
        <v>1710</v>
      </c>
      <c r="F70">
        <v>1.12208</v>
      </c>
      <c r="G70">
        <f t="shared" si="1"/>
        <v>-2.5803599999999998</v>
      </c>
      <c r="H70">
        <f t="shared" si="2"/>
        <v>-2.5803599999999998</v>
      </c>
      <c r="I70" s="5">
        <f t="shared" si="3"/>
        <v>1710</v>
      </c>
      <c r="J70">
        <f t="shared" si="4"/>
        <v>-1.1963429276798001</v>
      </c>
      <c r="K70">
        <f t="shared" si="5"/>
        <v>-0.10374956162468754</v>
      </c>
      <c r="L70">
        <f t="shared" si="6"/>
        <v>1.0925933660551126</v>
      </c>
      <c r="P70">
        <f t="shared" si="7"/>
        <v>1</v>
      </c>
    </row>
    <row r="71" spans="1:16" x14ac:dyDescent="0.25">
      <c r="A71" s="1"/>
      <c r="B71" t="s">
        <v>85</v>
      </c>
      <c r="C71" t="s">
        <v>24</v>
      </c>
      <c r="D71" s="3">
        <v>2.5833333333333335</v>
      </c>
      <c r="E71" s="5">
        <f t="shared" si="0"/>
        <v>1711</v>
      </c>
      <c r="F71">
        <v>0.20127999999999999</v>
      </c>
      <c r="G71">
        <f t="shared" si="1"/>
        <v>1.24187</v>
      </c>
      <c r="H71">
        <f t="shared" si="2"/>
        <v>1.24187</v>
      </c>
      <c r="I71" s="5">
        <f t="shared" si="3"/>
        <v>1711</v>
      </c>
      <c r="J71">
        <f t="shared" si="4"/>
        <v>1.5529987017584712</v>
      </c>
      <c r="K71">
        <f t="shared" si="5"/>
        <v>4.7543610723262443E-2</v>
      </c>
      <c r="L71">
        <f t="shared" si="6"/>
        <v>1.5054550910352087</v>
      </c>
      <c r="P71">
        <f t="shared" si="7"/>
        <v>1</v>
      </c>
    </row>
    <row r="72" spans="1:16" x14ac:dyDescent="0.25">
      <c r="A72" s="1"/>
      <c r="B72" t="s">
        <v>86</v>
      </c>
      <c r="C72" t="s">
        <v>24</v>
      </c>
      <c r="D72" s="3">
        <v>2.625</v>
      </c>
      <c r="E72" s="5">
        <f t="shared" si="0"/>
        <v>1712</v>
      </c>
      <c r="F72">
        <v>0.52234999999999998</v>
      </c>
      <c r="G72">
        <f t="shared" si="1"/>
        <v>-0.32424999999999993</v>
      </c>
      <c r="H72">
        <f t="shared" si="2"/>
        <v>-0.32424999999999993</v>
      </c>
      <c r="I72" s="5">
        <f t="shared" si="3"/>
        <v>1712</v>
      </c>
      <c r="J72">
        <f t="shared" si="4"/>
        <v>0.14932664790672412</v>
      </c>
      <c r="K72">
        <f t="shared" si="5"/>
        <v>9.7777960381761453E-2</v>
      </c>
      <c r="L72">
        <f t="shared" si="6"/>
        <v>5.1548687524962666E-2</v>
      </c>
      <c r="P72">
        <f t="shared" si="7"/>
        <v>1</v>
      </c>
    </row>
    <row r="73" spans="1:16" x14ac:dyDescent="0.25">
      <c r="A73" s="1"/>
      <c r="B73" t="s">
        <v>87</v>
      </c>
      <c r="C73" t="s">
        <v>24</v>
      </c>
      <c r="D73" s="3">
        <v>2.6666666666666665</v>
      </c>
      <c r="E73" s="5">
        <f t="shared" si="0"/>
        <v>1713</v>
      </c>
      <c r="F73">
        <v>0.51917000000000002</v>
      </c>
      <c r="G73">
        <f t="shared" si="1"/>
        <v>-0.61990000000000012</v>
      </c>
      <c r="H73">
        <f t="shared" si="2"/>
        <v>-0.61990000000000012</v>
      </c>
      <c r="I73" s="5">
        <f t="shared" si="3"/>
        <v>1713</v>
      </c>
      <c r="J73">
        <f t="shared" si="4"/>
        <v>0.17839088773121647</v>
      </c>
      <c r="K73">
        <f t="shared" si="5"/>
        <v>-0.33302620601881205</v>
      </c>
      <c r="L73">
        <f t="shared" si="6"/>
        <v>0.51141709375002853</v>
      </c>
      <c r="P73">
        <f t="shared" si="7"/>
        <v>0</v>
      </c>
    </row>
    <row r="74" spans="1:16" x14ac:dyDescent="0.25">
      <c r="A74" s="1"/>
      <c r="B74" t="s">
        <v>88</v>
      </c>
      <c r="C74" t="s">
        <v>24</v>
      </c>
      <c r="D74" s="3">
        <v>2.7083333333333335</v>
      </c>
      <c r="E74" s="5">
        <f t="shared" si="0"/>
        <v>1714</v>
      </c>
      <c r="F74">
        <v>-0.10391</v>
      </c>
      <c r="G74">
        <f t="shared" si="1"/>
        <v>-5.4999999999999938E-2</v>
      </c>
      <c r="H74">
        <f t="shared" si="2"/>
        <v>-5.4999999999999938E-2</v>
      </c>
      <c r="I74" s="5">
        <f t="shared" si="3"/>
        <v>1714</v>
      </c>
      <c r="J74">
        <f t="shared" si="4"/>
        <v>-0.18999627312831233</v>
      </c>
      <c r="K74">
        <f t="shared" si="5"/>
        <v>0.55424015529618043</v>
      </c>
      <c r="L74">
        <f t="shared" si="6"/>
        <v>0.74423642842449278</v>
      </c>
      <c r="P74">
        <f t="shared" si="7"/>
        <v>0</v>
      </c>
    </row>
    <row r="75" spans="1:16" x14ac:dyDescent="0.25">
      <c r="A75" s="1"/>
      <c r="B75" t="s">
        <v>89</v>
      </c>
      <c r="C75" t="s">
        <v>24</v>
      </c>
      <c r="D75" s="3">
        <v>2.75</v>
      </c>
      <c r="E75" s="5">
        <f t="shared" si="0"/>
        <v>1715</v>
      </c>
      <c r="F75">
        <v>-0.78198999999999996</v>
      </c>
      <c r="G75">
        <f t="shared" si="1"/>
        <v>0.26412999999999998</v>
      </c>
      <c r="H75">
        <f t="shared" si="2"/>
        <v>0.26412999999999998</v>
      </c>
      <c r="I75" s="5">
        <f t="shared" si="3"/>
        <v>1715</v>
      </c>
      <c r="J75">
        <f t="shared" si="4"/>
        <v>-0.49940895419416276</v>
      </c>
      <c r="K75">
        <f t="shared" si="5"/>
        <v>-0.60265462077986931</v>
      </c>
      <c r="L75">
        <f t="shared" si="6"/>
        <v>0.10324566658570655</v>
      </c>
      <c r="P75">
        <f t="shared" si="7"/>
        <v>1</v>
      </c>
    </row>
    <row r="76" spans="1:16" x14ac:dyDescent="0.25">
      <c r="A76" s="1"/>
      <c r="B76" t="s">
        <v>90</v>
      </c>
      <c r="C76" t="s">
        <v>24</v>
      </c>
      <c r="D76" s="3">
        <v>2.7916666666666665</v>
      </c>
      <c r="E76" s="5">
        <f t="shared" ref="E76:E139" si="8">+E75+1</f>
        <v>1716</v>
      </c>
      <c r="F76">
        <v>-1.19594</v>
      </c>
      <c r="G76">
        <f t="shared" ref="G76:G139" si="9">+(F77-F76)-(F76-F75)</f>
        <v>1.0762200000000002</v>
      </c>
      <c r="H76">
        <f t="shared" ref="H76:H139" si="10">+G76</f>
        <v>1.0762200000000002</v>
      </c>
      <c r="I76" s="5">
        <f t="shared" si="3"/>
        <v>1716</v>
      </c>
      <c r="J76">
        <f t="shared" si="4"/>
        <v>-0.93636590435158684</v>
      </c>
      <c r="K76">
        <f t="shared" si="5"/>
        <v>0.37733907921259985</v>
      </c>
      <c r="L76">
        <f t="shared" si="6"/>
        <v>1.3137049835641867</v>
      </c>
      <c r="P76">
        <f t="shared" si="7"/>
        <v>0</v>
      </c>
    </row>
    <row r="77" spans="1:16" x14ac:dyDescent="0.25">
      <c r="A77" s="1"/>
      <c r="B77" t="s">
        <v>91</v>
      </c>
      <c r="C77" t="s">
        <v>24</v>
      </c>
      <c r="D77" s="3">
        <v>2.8333333333333335</v>
      </c>
      <c r="E77" s="5">
        <f t="shared" si="8"/>
        <v>1717</v>
      </c>
      <c r="F77">
        <v>-0.53366999999999998</v>
      </c>
      <c r="G77">
        <f t="shared" si="9"/>
        <v>0.85764999999999991</v>
      </c>
      <c r="H77">
        <f t="shared" si="10"/>
        <v>0.85764999999999991</v>
      </c>
      <c r="I77" s="5">
        <f t="shared" ref="I77:I140" si="11">+E77</f>
        <v>1717</v>
      </c>
      <c r="J77">
        <f t="shared" ref="J77:J140" si="12">+$J$6*F77+F77*$J$7*COS(2*PI()*$I77/$K$6+$K$5*COS($J$5*$I77+$K$8)+$J$9)+H77+F77*$J$3*COS(2*PI()*$I77/$J$8+$K$3)</f>
        <v>0.31468491707322971</v>
      </c>
      <c r="K77">
        <f t="shared" ref="K77:K140" si="13">+$K$8*COS(2*PI()*$I77/$K$6+$K$5*COS($J$5*$I77+$K$8)+$K$7) +$K$4*COS(2*PI()*$I77/$J$8+$J$4)</f>
        <v>6.3858656523714266E-2</v>
      </c>
      <c r="L77">
        <f t="shared" ref="L77:L140" si="14">+ABS(J77-K77)</f>
        <v>0.25082626054951546</v>
      </c>
      <c r="P77">
        <f t="shared" ref="P77:P140" si="15">+IF(J77*K77&gt;0,1, 0)</f>
        <v>1</v>
      </c>
    </row>
    <row r="78" spans="1:16" x14ac:dyDescent="0.25">
      <c r="A78" s="1"/>
      <c r="B78" t="s">
        <v>92</v>
      </c>
      <c r="C78" t="s">
        <v>24</v>
      </c>
      <c r="D78" s="3">
        <v>2.875</v>
      </c>
      <c r="E78" s="5">
        <f t="shared" si="8"/>
        <v>1718</v>
      </c>
      <c r="F78">
        <v>0.98624999999999996</v>
      </c>
      <c r="G78">
        <f t="shared" si="9"/>
        <v>-1.81474</v>
      </c>
      <c r="H78">
        <f t="shared" si="10"/>
        <v>-1.81474</v>
      </c>
      <c r="I78" s="5">
        <f t="shared" si="11"/>
        <v>1718</v>
      </c>
      <c r="J78">
        <f t="shared" si="12"/>
        <v>-0.59177332299209795</v>
      </c>
      <c r="K78">
        <f t="shared" si="13"/>
        <v>-0.50363236799313937</v>
      </c>
      <c r="L78">
        <f t="shared" si="14"/>
        <v>8.8140954998958576E-2</v>
      </c>
      <c r="P78">
        <f t="shared" si="15"/>
        <v>1</v>
      </c>
    </row>
    <row r="79" spans="1:16" x14ac:dyDescent="0.25">
      <c r="A79" s="1"/>
      <c r="B79" t="s">
        <v>93</v>
      </c>
      <c r="C79" t="s">
        <v>24</v>
      </c>
      <c r="D79" s="3">
        <v>2.9166666666666665</v>
      </c>
      <c r="E79" s="5">
        <f t="shared" si="8"/>
        <v>1719</v>
      </c>
      <c r="F79">
        <v>0.69142999999999999</v>
      </c>
      <c r="G79">
        <f t="shared" si="9"/>
        <v>0.23932999999999993</v>
      </c>
      <c r="H79">
        <f t="shared" si="10"/>
        <v>0.23932999999999993</v>
      </c>
      <c r="I79" s="5">
        <f t="shared" si="11"/>
        <v>1719</v>
      </c>
      <c r="J79">
        <f t="shared" si="12"/>
        <v>1.3297067537591243</v>
      </c>
      <c r="K79">
        <f t="shared" si="13"/>
        <v>0.69087990628484008</v>
      </c>
      <c r="L79">
        <f t="shared" si="14"/>
        <v>0.6388268474742842</v>
      </c>
      <c r="P79">
        <f t="shared" si="15"/>
        <v>1</v>
      </c>
    </row>
    <row r="80" spans="1:16" x14ac:dyDescent="0.25">
      <c r="A80" s="1"/>
      <c r="B80" t="s">
        <v>94</v>
      </c>
      <c r="C80" t="s">
        <v>24</v>
      </c>
      <c r="D80" s="3">
        <v>2.9583333333333335</v>
      </c>
      <c r="E80" s="5">
        <f t="shared" si="8"/>
        <v>1720</v>
      </c>
      <c r="F80">
        <v>0.63593999999999995</v>
      </c>
      <c r="G80">
        <f t="shared" si="9"/>
        <v>0.26335000000000008</v>
      </c>
      <c r="H80">
        <f t="shared" si="10"/>
        <v>0.26335000000000008</v>
      </c>
      <c r="I80" s="5">
        <f t="shared" si="11"/>
        <v>1720</v>
      </c>
      <c r="J80">
        <f t="shared" si="12"/>
        <v>0.84953872704554789</v>
      </c>
      <c r="K80">
        <f t="shared" si="13"/>
        <v>-0.51089059062357511</v>
      </c>
      <c r="L80">
        <f t="shared" si="14"/>
        <v>1.3604293176691229</v>
      </c>
      <c r="P80">
        <f t="shared" si="15"/>
        <v>0</v>
      </c>
    </row>
    <row r="81" spans="1:16" x14ac:dyDescent="0.25">
      <c r="A81" s="1"/>
      <c r="B81" t="s">
        <v>95</v>
      </c>
      <c r="C81" t="s">
        <v>24</v>
      </c>
      <c r="D81" s="3">
        <v>3</v>
      </c>
      <c r="E81" s="5">
        <f t="shared" si="8"/>
        <v>1721</v>
      </c>
      <c r="F81">
        <v>0.84379999999999999</v>
      </c>
      <c r="G81">
        <f t="shared" si="9"/>
        <v>-0.45996000000000004</v>
      </c>
      <c r="H81">
        <f t="shared" si="10"/>
        <v>-0.45996000000000004</v>
      </c>
      <c r="I81" s="5">
        <f t="shared" si="11"/>
        <v>1721</v>
      </c>
      <c r="J81">
        <f t="shared" si="12"/>
        <v>0.77742191395784932</v>
      </c>
      <c r="K81">
        <f t="shared" si="13"/>
        <v>6.5830131241920664E-2</v>
      </c>
      <c r="L81">
        <f t="shared" si="14"/>
        <v>0.7115917827159286</v>
      </c>
      <c r="P81">
        <f t="shared" si="15"/>
        <v>1</v>
      </c>
    </row>
    <row r="82" spans="1:16" x14ac:dyDescent="0.25">
      <c r="A82" s="1"/>
      <c r="B82" t="s">
        <v>96</v>
      </c>
      <c r="C82" t="s">
        <v>24</v>
      </c>
      <c r="D82" s="3">
        <v>3.0416666666666665</v>
      </c>
      <c r="E82" s="5">
        <f t="shared" si="8"/>
        <v>1722</v>
      </c>
      <c r="F82">
        <v>0.5917</v>
      </c>
      <c r="G82">
        <f t="shared" si="9"/>
        <v>1.0697000000000001</v>
      </c>
      <c r="H82">
        <f t="shared" si="10"/>
        <v>1.0697000000000001</v>
      </c>
      <c r="I82" s="5">
        <f t="shared" si="11"/>
        <v>1722</v>
      </c>
      <c r="J82">
        <f t="shared" si="12"/>
        <v>1.8710290906261469</v>
      </c>
      <c r="K82">
        <f t="shared" si="13"/>
        <v>0.39857383514540512</v>
      </c>
      <c r="L82">
        <f t="shared" si="14"/>
        <v>1.4724552554807417</v>
      </c>
      <c r="P82">
        <f t="shared" si="15"/>
        <v>1</v>
      </c>
    </row>
    <row r="83" spans="1:16" x14ac:dyDescent="0.25">
      <c r="A83" s="1"/>
      <c r="B83" t="s">
        <v>97</v>
      </c>
      <c r="C83" t="s">
        <v>24</v>
      </c>
      <c r="D83" s="3">
        <v>3.0833333333333335</v>
      </c>
      <c r="E83" s="5">
        <f t="shared" si="8"/>
        <v>1723</v>
      </c>
      <c r="F83">
        <v>1.4093</v>
      </c>
      <c r="G83">
        <f t="shared" si="9"/>
        <v>-2.00299</v>
      </c>
      <c r="H83">
        <f t="shared" si="10"/>
        <v>-2.00299</v>
      </c>
      <c r="I83" s="5">
        <f t="shared" si="11"/>
        <v>1723</v>
      </c>
      <c r="J83">
        <f t="shared" si="12"/>
        <v>-0.55719289802920635</v>
      </c>
      <c r="K83">
        <f t="shared" si="13"/>
        <v>-0.65540629840364284</v>
      </c>
      <c r="L83">
        <f t="shared" si="14"/>
        <v>9.8213400374436488E-2</v>
      </c>
      <c r="P83">
        <f t="shared" si="15"/>
        <v>1</v>
      </c>
    </row>
    <row r="84" spans="1:16" x14ac:dyDescent="0.25">
      <c r="A84" s="1"/>
      <c r="B84" t="s">
        <v>98</v>
      </c>
      <c r="C84" t="s">
        <v>24</v>
      </c>
      <c r="D84" s="3">
        <v>3.125</v>
      </c>
      <c r="E84" s="5">
        <f t="shared" si="8"/>
        <v>1724</v>
      </c>
      <c r="F84">
        <v>0.22391</v>
      </c>
      <c r="G84">
        <f t="shared" si="9"/>
        <v>-0.26653000000000016</v>
      </c>
      <c r="H84">
        <f t="shared" si="10"/>
        <v>-0.26653000000000016</v>
      </c>
      <c r="I84" s="5">
        <f t="shared" si="11"/>
        <v>1724</v>
      </c>
      <c r="J84">
        <f t="shared" si="12"/>
        <v>7.2347062191709416E-2</v>
      </c>
      <c r="K84">
        <f t="shared" si="13"/>
        <v>0.62331308297692867</v>
      </c>
      <c r="L84">
        <f t="shared" si="14"/>
        <v>0.55096602078521928</v>
      </c>
      <c r="P84">
        <f t="shared" si="15"/>
        <v>1</v>
      </c>
    </row>
    <row r="85" spans="1:16" x14ac:dyDescent="0.25">
      <c r="A85" s="1"/>
      <c r="B85" t="s">
        <v>99</v>
      </c>
      <c r="C85" t="s">
        <v>24</v>
      </c>
      <c r="D85" s="3">
        <v>3.1666666666666665</v>
      </c>
      <c r="E85" s="5">
        <f t="shared" si="8"/>
        <v>1725</v>
      </c>
      <c r="F85">
        <v>-1.22801</v>
      </c>
      <c r="G85">
        <f t="shared" si="9"/>
        <v>4.0070200000000007</v>
      </c>
      <c r="H85">
        <f t="shared" si="10"/>
        <v>4.0070200000000007</v>
      </c>
      <c r="I85" s="5">
        <f t="shared" si="11"/>
        <v>1725</v>
      </c>
      <c r="J85">
        <f t="shared" si="12"/>
        <v>2.5208529964715551</v>
      </c>
      <c r="K85">
        <f t="shared" si="13"/>
        <v>-0.38257935381736002</v>
      </c>
      <c r="L85">
        <f t="shared" si="14"/>
        <v>2.9034323502889152</v>
      </c>
      <c r="P85">
        <f t="shared" si="15"/>
        <v>0</v>
      </c>
    </row>
    <row r="86" spans="1:16" x14ac:dyDescent="0.25">
      <c r="A86" s="1"/>
      <c r="B86" t="s">
        <v>100</v>
      </c>
      <c r="C86" t="s">
        <v>24</v>
      </c>
      <c r="D86" s="3">
        <v>3.2083333333333335</v>
      </c>
      <c r="E86" s="5">
        <f t="shared" si="8"/>
        <v>1726</v>
      </c>
      <c r="F86">
        <v>1.3270900000000001</v>
      </c>
      <c r="G86">
        <f t="shared" si="9"/>
        <v>-2.7964900000000004</v>
      </c>
      <c r="H86">
        <f t="shared" si="10"/>
        <v>-2.7964900000000004</v>
      </c>
      <c r="I86" s="5">
        <f t="shared" si="11"/>
        <v>1726</v>
      </c>
      <c r="J86">
        <f t="shared" si="12"/>
        <v>-1.2316921094451276</v>
      </c>
      <c r="K86">
        <f t="shared" si="13"/>
        <v>9.5066001994554727E-2</v>
      </c>
      <c r="L86">
        <f t="shared" si="14"/>
        <v>1.3267581114396823</v>
      </c>
      <c r="P86">
        <f t="shared" si="15"/>
        <v>0</v>
      </c>
    </row>
    <row r="87" spans="1:16" x14ac:dyDescent="0.25">
      <c r="A87" s="1"/>
      <c r="B87" t="s">
        <v>101</v>
      </c>
      <c r="C87" t="s">
        <v>24</v>
      </c>
      <c r="D87" s="3">
        <v>3.25</v>
      </c>
      <c r="E87" s="5">
        <f t="shared" si="8"/>
        <v>1727</v>
      </c>
      <c r="F87">
        <v>1.0857000000000001</v>
      </c>
      <c r="G87">
        <f t="shared" si="9"/>
        <v>-1.32742</v>
      </c>
      <c r="H87">
        <f t="shared" si="10"/>
        <v>-1.32742</v>
      </c>
      <c r="I87" s="5">
        <f t="shared" si="11"/>
        <v>1727</v>
      </c>
      <c r="J87">
        <f t="shared" si="12"/>
        <v>0.19571538663155891</v>
      </c>
      <c r="K87">
        <f t="shared" si="13"/>
        <v>0.10437403416807567</v>
      </c>
      <c r="L87">
        <f t="shared" si="14"/>
        <v>9.1341352463483239E-2</v>
      </c>
      <c r="P87">
        <f t="shared" si="15"/>
        <v>1</v>
      </c>
    </row>
    <row r="88" spans="1:16" x14ac:dyDescent="0.25">
      <c r="A88" s="1"/>
      <c r="B88" t="s">
        <v>102</v>
      </c>
      <c r="C88" t="s">
        <v>24</v>
      </c>
      <c r="D88" s="3">
        <v>3.2916666666666665</v>
      </c>
      <c r="E88" s="5">
        <f t="shared" si="8"/>
        <v>1728</v>
      </c>
      <c r="F88">
        <v>-0.48310999999999998</v>
      </c>
      <c r="G88">
        <f t="shared" si="9"/>
        <v>1.4823</v>
      </c>
      <c r="H88">
        <f t="shared" si="10"/>
        <v>1.4823</v>
      </c>
      <c r="I88" s="5">
        <f t="shared" si="11"/>
        <v>1728</v>
      </c>
      <c r="J88">
        <f t="shared" si="12"/>
        <v>0.8556818941437937</v>
      </c>
      <c r="K88">
        <f t="shared" si="13"/>
        <v>-0.17808317054786643</v>
      </c>
      <c r="L88">
        <f t="shared" si="14"/>
        <v>1.0337650646916601</v>
      </c>
      <c r="P88">
        <f t="shared" si="15"/>
        <v>0</v>
      </c>
    </row>
    <row r="89" spans="1:16" x14ac:dyDescent="0.25">
      <c r="A89" s="1"/>
      <c r="B89" t="s">
        <v>103</v>
      </c>
      <c r="C89" t="s">
        <v>24</v>
      </c>
      <c r="D89" s="3">
        <v>3.3333333333333335</v>
      </c>
      <c r="E89" s="5">
        <f t="shared" si="8"/>
        <v>1729</v>
      </c>
      <c r="F89">
        <v>-0.56962000000000002</v>
      </c>
      <c r="G89">
        <f t="shared" si="9"/>
        <v>5.3220000000000101E-2</v>
      </c>
      <c r="H89">
        <f t="shared" si="10"/>
        <v>5.3220000000000101E-2</v>
      </c>
      <c r="I89" s="5">
        <f t="shared" si="11"/>
        <v>1729</v>
      </c>
      <c r="J89">
        <f t="shared" si="12"/>
        <v>-0.54563583765041634</v>
      </c>
      <c r="K89">
        <f t="shared" si="13"/>
        <v>0.18476500158155415</v>
      </c>
      <c r="L89">
        <f t="shared" si="14"/>
        <v>0.73040083923197052</v>
      </c>
      <c r="P89">
        <f t="shared" si="15"/>
        <v>0</v>
      </c>
    </row>
    <row r="90" spans="1:16" x14ac:dyDescent="0.25">
      <c r="A90" s="1"/>
      <c r="B90" t="s">
        <v>104</v>
      </c>
      <c r="C90" t="s">
        <v>24</v>
      </c>
      <c r="D90" s="3">
        <v>3.375</v>
      </c>
      <c r="E90" s="5">
        <f t="shared" si="8"/>
        <v>1730</v>
      </c>
      <c r="F90">
        <v>-0.60290999999999995</v>
      </c>
      <c r="G90">
        <f t="shared" si="9"/>
        <v>0.26333999999999985</v>
      </c>
      <c r="H90">
        <f t="shared" si="10"/>
        <v>0.26333999999999985</v>
      </c>
      <c r="I90" s="5">
        <f t="shared" si="11"/>
        <v>1730</v>
      </c>
      <c r="J90">
        <f t="shared" si="12"/>
        <v>-0.71256219756950023</v>
      </c>
      <c r="K90">
        <f t="shared" si="13"/>
        <v>-0.21906796425628475</v>
      </c>
      <c r="L90">
        <f t="shared" si="14"/>
        <v>0.49349423331321551</v>
      </c>
      <c r="P90">
        <f t="shared" si="15"/>
        <v>1</v>
      </c>
    </row>
    <row r="91" spans="1:16" x14ac:dyDescent="0.25">
      <c r="A91" s="1"/>
      <c r="B91" t="s">
        <v>105</v>
      </c>
      <c r="C91" t="s">
        <v>24</v>
      </c>
      <c r="D91" s="3">
        <v>3.4166666666666665</v>
      </c>
      <c r="E91" s="5">
        <f t="shared" si="8"/>
        <v>1731</v>
      </c>
      <c r="F91">
        <v>-0.37286000000000002</v>
      </c>
      <c r="G91">
        <f t="shared" si="9"/>
        <v>-0.2749299999999999</v>
      </c>
      <c r="H91">
        <f t="shared" si="10"/>
        <v>-0.2749299999999999</v>
      </c>
      <c r="I91" s="5">
        <f t="shared" si="11"/>
        <v>1731</v>
      </c>
      <c r="J91">
        <f t="shared" si="12"/>
        <v>-0.6535461297388051</v>
      </c>
      <c r="K91">
        <f t="shared" si="13"/>
        <v>0.33616956921671004</v>
      </c>
      <c r="L91">
        <f t="shared" si="14"/>
        <v>0.98971569895551514</v>
      </c>
      <c r="P91">
        <f t="shared" si="15"/>
        <v>0</v>
      </c>
    </row>
    <row r="92" spans="1:16" x14ac:dyDescent="0.25">
      <c r="A92" s="1"/>
      <c r="B92" t="s">
        <v>106</v>
      </c>
      <c r="C92" t="s">
        <v>24</v>
      </c>
      <c r="D92" s="3">
        <v>3.4583333333333335</v>
      </c>
      <c r="E92" s="5">
        <f t="shared" si="8"/>
        <v>1732</v>
      </c>
      <c r="F92">
        <v>-0.41774</v>
      </c>
      <c r="G92">
        <f t="shared" si="9"/>
        <v>-1.03712</v>
      </c>
      <c r="H92">
        <f t="shared" si="10"/>
        <v>-1.03712</v>
      </c>
      <c r="I92" s="5">
        <f t="shared" si="11"/>
        <v>1732</v>
      </c>
      <c r="J92">
        <f t="shared" si="12"/>
        <v>-1.5838636683152105</v>
      </c>
      <c r="K92">
        <f t="shared" si="13"/>
        <v>-0.51136039198833083</v>
      </c>
      <c r="L92">
        <f t="shared" si="14"/>
        <v>1.0725032763268798</v>
      </c>
      <c r="P92">
        <f t="shared" si="15"/>
        <v>1</v>
      </c>
    </row>
    <row r="93" spans="1:16" x14ac:dyDescent="0.25">
      <c r="A93" s="1"/>
      <c r="B93" t="s">
        <v>107</v>
      </c>
      <c r="C93" t="s">
        <v>24</v>
      </c>
      <c r="D93" s="3">
        <v>3.5</v>
      </c>
      <c r="E93" s="5">
        <f t="shared" si="8"/>
        <v>1733</v>
      </c>
      <c r="F93">
        <v>-1.4997400000000001</v>
      </c>
      <c r="G93">
        <f t="shared" si="9"/>
        <v>2.6493099999999998</v>
      </c>
      <c r="H93">
        <f t="shared" si="10"/>
        <v>2.6493099999999998</v>
      </c>
      <c r="I93" s="5">
        <f t="shared" si="11"/>
        <v>1733</v>
      </c>
      <c r="J93">
        <f t="shared" si="12"/>
        <v>0.41611897077634508</v>
      </c>
      <c r="K93">
        <f t="shared" si="13"/>
        <v>0.65878784177420746</v>
      </c>
      <c r="L93">
        <f t="shared" si="14"/>
        <v>0.24266887099786238</v>
      </c>
      <c r="P93">
        <f t="shared" si="15"/>
        <v>1</v>
      </c>
    </row>
    <row r="94" spans="1:16" x14ac:dyDescent="0.25">
      <c r="A94" s="1"/>
      <c r="B94" t="s">
        <v>108</v>
      </c>
      <c r="C94" t="s">
        <v>24</v>
      </c>
      <c r="D94" s="3">
        <v>3.5416666666666665</v>
      </c>
      <c r="E94" s="5">
        <f t="shared" si="8"/>
        <v>1734</v>
      </c>
      <c r="F94">
        <v>6.7570000000000005E-2</v>
      </c>
      <c r="G94">
        <f t="shared" si="9"/>
        <v>-1.6783299999999999</v>
      </c>
      <c r="H94">
        <f t="shared" si="10"/>
        <v>-1.6783299999999999</v>
      </c>
      <c r="I94" s="5">
        <f t="shared" si="11"/>
        <v>1734</v>
      </c>
      <c r="J94">
        <f t="shared" si="12"/>
        <v>-1.6129533500699258</v>
      </c>
      <c r="K94">
        <f t="shared" si="13"/>
        <v>-0.69259393773137612</v>
      </c>
      <c r="L94">
        <f t="shared" si="14"/>
        <v>0.92035941233854968</v>
      </c>
      <c r="P94">
        <f t="shared" si="15"/>
        <v>1</v>
      </c>
    </row>
    <row r="95" spans="1:16" x14ac:dyDescent="0.25">
      <c r="A95" s="1"/>
      <c r="B95" t="s">
        <v>109</v>
      </c>
      <c r="C95" t="s">
        <v>24</v>
      </c>
      <c r="D95" s="3">
        <v>3.5833333333333335</v>
      </c>
      <c r="E95" s="5">
        <f t="shared" si="8"/>
        <v>1735</v>
      </c>
      <c r="F95">
        <v>-4.3450000000000003E-2</v>
      </c>
      <c r="G95">
        <f t="shared" si="9"/>
        <v>0.40123999999999999</v>
      </c>
      <c r="H95">
        <f t="shared" si="10"/>
        <v>0.40123999999999999</v>
      </c>
      <c r="I95" s="5">
        <f t="shared" si="11"/>
        <v>1735</v>
      </c>
      <c r="J95">
        <f t="shared" si="12"/>
        <v>0.33617886691099513</v>
      </c>
      <c r="K95">
        <f t="shared" si="13"/>
        <v>0.5851761583101629</v>
      </c>
      <c r="L95">
        <f t="shared" si="14"/>
        <v>0.24899729139916776</v>
      </c>
      <c r="P95">
        <f t="shared" si="15"/>
        <v>1</v>
      </c>
    </row>
    <row r="96" spans="1:16" x14ac:dyDescent="0.25">
      <c r="A96" s="1"/>
      <c r="B96" t="s">
        <v>110</v>
      </c>
      <c r="C96" t="s">
        <v>24</v>
      </c>
      <c r="D96" s="3">
        <v>3.625</v>
      </c>
      <c r="E96" s="5">
        <f t="shared" si="8"/>
        <v>1736</v>
      </c>
      <c r="F96">
        <v>0.24676999999999999</v>
      </c>
      <c r="G96">
        <f t="shared" si="9"/>
        <v>0.38614000000000009</v>
      </c>
      <c r="H96">
        <f t="shared" si="10"/>
        <v>0.38614000000000009</v>
      </c>
      <c r="I96" s="5">
        <f t="shared" si="11"/>
        <v>1736</v>
      </c>
      <c r="J96">
        <f t="shared" si="12"/>
        <v>0.69618507346153646</v>
      </c>
      <c r="K96">
        <f t="shared" si="13"/>
        <v>-0.38119272083611988</v>
      </c>
      <c r="L96">
        <f t="shared" si="14"/>
        <v>1.0773777942976563</v>
      </c>
      <c r="P96">
        <f t="shared" si="15"/>
        <v>0</v>
      </c>
    </row>
    <row r="97" spans="1:16" x14ac:dyDescent="0.25">
      <c r="A97" s="1"/>
      <c r="B97" t="s">
        <v>111</v>
      </c>
      <c r="C97" t="s">
        <v>24</v>
      </c>
      <c r="D97" s="3">
        <v>3.6666666666666665</v>
      </c>
      <c r="E97" s="5">
        <f t="shared" si="8"/>
        <v>1737</v>
      </c>
      <c r="F97">
        <v>0.92313000000000001</v>
      </c>
      <c r="G97">
        <f t="shared" si="9"/>
        <v>-0.4811700000000001</v>
      </c>
      <c r="H97">
        <f t="shared" si="10"/>
        <v>-0.4811700000000001</v>
      </c>
      <c r="I97" s="5">
        <f t="shared" si="11"/>
        <v>1737</v>
      </c>
      <c r="J97">
        <f t="shared" si="12"/>
        <v>0.58391914224021857</v>
      </c>
      <c r="K97">
        <f t="shared" si="13"/>
        <v>0.15983386089196658</v>
      </c>
      <c r="L97">
        <f t="shared" si="14"/>
        <v>0.42408528134825196</v>
      </c>
      <c r="P97">
        <f t="shared" si="15"/>
        <v>1</v>
      </c>
    </row>
    <row r="98" spans="1:16" x14ac:dyDescent="0.25">
      <c r="A98" s="1"/>
      <c r="B98" t="s">
        <v>112</v>
      </c>
      <c r="C98" t="s">
        <v>24</v>
      </c>
      <c r="D98" s="3">
        <v>3.7083333333333335</v>
      </c>
      <c r="E98" s="5">
        <f t="shared" si="8"/>
        <v>1738</v>
      </c>
      <c r="F98">
        <v>1.11832</v>
      </c>
      <c r="G98">
        <f t="shared" si="9"/>
        <v>-1.9736899999999999</v>
      </c>
      <c r="H98">
        <f t="shared" si="10"/>
        <v>-1.9736899999999999</v>
      </c>
      <c r="I98" s="5">
        <f t="shared" si="11"/>
        <v>1738</v>
      </c>
      <c r="J98">
        <f t="shared" si="12"/>
        <v>-0.42459237763291763</v>
      </c>
      <c r="K98">
        <f t="shared" si="13"/>
        <v>2.2392913139197321E-2</v>
      </c>
      <c r="L98">
        <f t="shared" si="14"/>
        <v>0.44698529077211496</v>
      </c>
      <c r="P98">
        <f t="shared" si="15"/>
        <v>0</v>
      </c>
    </row>
    <row r="99" spans="1:16" x14ac:dyDescent="0.25">
      <c r="A99" s="1"/>
      <c r="B99" t="s">
        <v>113</v>
      </c>
      <c r="C99" t="s">
        <v>24</v>
      </c>
      <c r="D99" s="3">
        <v>3.75</v>
      </c>
      <c r="E99" s="5">
        <f t="shared" si="8"/>
        <v>1739</v>
      </c>
      <c r="F99">
        <v>-0.66017999999999999</v>
      </c>
      <c r="G99">
        <f t="shared" si="9"/>
        <v>2.4390399999999999</v>
      </c>
      <c r="H99">
        <f t="shared" si="10"/>
        <v>2.4390399999999999</v>
      </c>
      <c r="I99" s="5">
        <f t="shared" si="11"/>
        <v>1739</v>
      </c>
      <c r="J99">
        <f t="shared" si="12"/>
        <v>1.5571740383315664</v>
      </c>
      <c r="K99">
        <f t="shared" si="13"/>
        <v>-0.16059701980390978</v>
      </c>
      <c r="L99">
        <f t="shared" si="14"/>
        <v>1.7177710581354761</v>
      </c>
      <c r="P99">
        <f t="shared" si="15"/>
        <v>0</v>
      </c>
    </row>
    <row r="100" spans="1:16" x14ac:dyDescent="0.25">
      <c r="A100" s="1"/>
      <c r="B100" t="s">
        <v>114</v>
      </c>
      <c r="C100" t="s">
        <v>24</v>
      </c>
      <c r="D100" s="3">
        <v>3.7916666666666665</v>
      </c>
      <c r="E100" s="5">
        <f t="shared" si="8"/>
        <v>1740</v>
      </c>
      <c r="F100">
        <v>3.6000000000000002E-4</v>
      </c>
      <c r="G100">
        <f t="shared" si="9"/>
        <v>-0.43651000000000001</v>
      </c>
      <c r="H100">
        <f t="shared" si="10"/>
        <v>-0.43651000000000001</v>
      </c>
      <c r="I100" s="5">
        <f t="shared" si="11"/>
        <v>1740</v>
      </c>
      <c r="J100">
        <f t="shared" si="12"/>
        <v>-0.43613392886708785</v>
      </c>
      <c r="K100">
        <f t="shared" si="13"/>
        <v>0.27777404130410538</v>
      </c>
      <c r="L100">
        <f t="shared" si="14"/>
        <v>0.71390797017119323</v>
      </c>
      <c r="P100">
        <f t="shared" si="15"/>
        <v>0</v>
      </c>
    </row>
    <row r="101" spans="1:16" x14ac:dyDescent="0.25">
      <c r="A101" s="1"/>
      <c r="B101" t="s">
        <v>115</v>
      </c>
      <c r="C101" t="s">
        <v>24</v>
      </c>
      <c r="D101" s="3">
        <v>3.8333333333333335</v>
      </c>
      <c r="E101" s="5">
        <f t="shared" si="8"/>
        <v>1741</v>
      </c>
      <c r="F101">
        <v>0.22439000000000001</v>
      </c>
      <c r="G101">
        <f t="shared" si="9"/>
        <v>-2.0484300000000002</v>
      </c>
      <c r="H101">
        <f t="shared" si="10"/>
        <v>-2.0484300000000002</v>
      </c>
      <c r="I101" s="5">
        <f t="shared" si="11"/>
        <v>1741</v>
      </c>
      <c r="J101">
        <f t="shared" si="12"/>
        <v>-1.7018519511094679</v>
      </c>
      <c r="K101">
        <f t="shared" si="13"/>
        <v>-0.37194561692511219</v>
      </c>
      <c r="L101">
        <f t="shared" si="14"/>
        <v>1.3299063341843556</v>
      </c>
      <c r="P101">
        <f t="shared" si="15"/>
        <v>1</v>
      </c>
    </row>
    <row r="102" spans="1:16" x14ac:dyDescent="0.25">
      <c r="A102" s="1"/>
      <c r="B102" t="s">
        <v>116</v>
      </c>
      <c r="C102" t="s">
        <v>24</v>
      </c>
      <c r="D102" s="3">
        <v>3.875</v>
      </c>
      <c r="E102" s="5">
        <f t="shared" si="8"/>
        <v>1742</v>
      </c>
      <c r="F102">
        <v>-1.6000099999999999</v>
      </c>
      <c r="G102">
        <f t="shared" si="9"/>
        <v>2.9113899999999999</v>
      </c>
      <c r="H102">
        <f t="shared" si="10"/>
        <v>2.9113899999999999</v>
      </c>
      <c r="I102" s="5">
        <f t="shared" si="11"/>
        <v>1742</v>
      </c>
      <c r="J102">
        <f t="shared" si="12"/>
        <v>1.0291468145228662</v>
      </c>
      <c r="K102">
        <f t="shared" si="13"/>
        <v>0.39062251362564399</v>
      </c>
      <c r="L102">
        <f t="shared" si="14"/>
        <v>0.63852430089722212</v>
      </c>
      <c r="P102">
        <f t="shared" si="15"/>
        <v>1</v>
      </c>
    </row>
    <row r="103" spans="1:16" x14ac:dyDescent="0.25">
      <c r="A103" s="1"/>
      <c r="B103" t="s">
        <v>117</v>
      </c>
      <c r="C103" t="s">
        <v>24</v>
      </c>
      <c r="D103" s="3">
        <v>3.9166666666666665</v>
      </c>
      <c r="E103" s="5">
        <f t="shared" si="8"/>
        <v>1743</v>
      </c>
      <c r="F103">
        <v>-0.51302000000000003</v>
      </c>
      <c r="G103">
        <f t="shared" si="9"/>
        <v>-0.31160999999999994</v>
      </c>
      <c r="H103">
        <f t="shared" si="10"/>
        <v>-0.31160999999999994</v>
      </c>
      <c r="I103" s="5">
        <f t="shared" si="11"/>
        <v>1743</v>
      </c>
      <c r="J103">
        <f t="shared" si="12"/>
        <v>-0.88311359354065289</v>
      </c>
      <c r="K103">
        <f t="shared" si="13"/>
        <v>-0.26965758106214144</v>
      </c>
      <c r="L103">
        <f t="shared" si="14"/>
        <v>0.61345601247851145</v>
      </c>
      <c r="P103">
        <f t="shared" si="15"/>
        <v>1</v>
      </c>
    </row>
    <row r="104" spans="1:16" x14ac:dyDescent="0.25">
      <c r="A104" s="1"/>
      <c r="B104" t="s">
        <v>118</v>
      </c>
      <c r="C104" t="s">
        <v>24</v>
      </c>
      <c r="D104" s="3">
        <v>3.9583333333333335</v>
      </c>
      <c r="E104" s="5">
        <f t="shared" si="8"/>
        <v>1744</v>
      </c>
      <c r="F104">
        <v>0.26235999999999998</v>
      </c>
      <c r="G104">
        <f t="shared" si="9"/>
        <v>9.7040000000000015E-2</v>
      </c>
      <c r="H104">
        <f t="shared" si="10"/>
        <v>9.7040000000000015E-2</v>
      </c>
      <c r="I104" s="5">
        <f t="shared" si="11"/>
        <v>1744</v>
      </c>
      <c r="J104">
        <f t="shared" si="12"/>
        <v>0.52389460950925637</v>
      </c>
      <c r="K104">
        <f t="shared" si="13"/>
        <v>8.4049430928207491E-3</v>
      </c>
      <c r="L104">
        <f t="shared" si="14"/>
        <v>0.51548966641643568</v>
      </c>
      <c r="P104">
        <f t="shared" si="15"/>
        <v>1</v>
      </c>
    </row>
    <row r="105" spans="1:16" x14ac:dyDescent="0.25">
      <c r="A105" s="1"/>
      <c r="B105" t="s">
        <v>119</v>
      </c>
      <c r="C105" t="s">
        <v>24</v>
      </c>
      <c r="D105" s="3">
        <v>4</v>
      </c>
      <c r="E105" s="5">
        <f t="shared" si="8"/>
        <v>1745</v>
      </c>
      <c r="F105">
        <v>1.1347799999999999</v>
      </c>
      <c r="G105">
        <f t="shared" si="9"/>
        <v>-0.42901999999999996</v>
      </c>
      <c r="H105">
        <f t="shared" si="10"/>
        <v>-0.42901999999999996</v>
      </c>
      <c r="I105" s="5">
        <f t="shared" si="11"/>
        <v>1745</v>
      </c>
      <c r="J105">
        <f t="shared" si="12"/>
        <v>0.66591448244958751</v>
      </c>
      <c r="K105">
        <f t="shared" si="13"/>
        <v>0.29437855799816781</v>
      </c>
      <c r="L105">
        <f t="shared" si="14"/>
        <v>0.3715359244514197</v>
      </c>
      <c r="P105">
        <f t="shared" si="15"/>
        <v>1</v>
      </c>
    </row>
    <row r="106" spans="1:16" x14ac:dyDescent="0.25">
      <c r="A106" s="1"/>
      <c r="B106" t="s">
        <v>120</v>
      </c>
      <c r="C106" t="s">
        <v>24</v>
      </c>
      <c r="D106" s="3">
        <v>4.041666666666667</v>
      </c>
      <c r="E106" s="5">
        <f t="shared" si="8"/>
        <v>1746</v>
      </c>
      <c r="F106">
        <v>1.5781799999999999</v>
      </c>
      <c r="G106">
        <f t="shared" si="9"/>
        <v>-0.21579999999999999</v>
      </c>
      <c r="H106">
        <f t="shared" si="10"/>
        <v>-0.21579999999999999</v>
      </c>
      <c r="I106" s="5">
        <f t="shared" si="11"/>
        <v>1746</v>
      </c>
      <c r="J106">
        <f t="shared" si="12"/>
        <v>1.9071367757487796</v>
      </c>
      <c r="K106">
        <f t="shared" si="13"/>
        <v>-0.48866666809512227</v>
      </c>
      <c r="L106">
        <f t="shared" si="14"/>
        <v>2.395803443843902</v>
      </c>
      <c r="P106">
        <f t="shared" si="15"/>
        <v>0</v>
      </c>
    </row>
    <row r="107" spans="1:16" x14ac:dyDescent="0.25">
      <c r="A107" s="1"/>
      <c r="B107" t="s">
        <v>121</v>
      </c>
      <c r="C107" t="s">
        <v>24</v>
      </c>
      <c r="D107" s="3">
        <v>4.083333333333333</v>
      </c>
      <c r="E107" s="5">
        <f t="shared" si="8"/>
        <v>1747</v>
      </c>
      <c r="F107">
        <v>1.8057799999999999</v>
      </c>
      <c r="G107">
        <f t="shared" si="9"/>
        <v>-3.0292000000000003</v>
      </c>
      <c r="H107">
        <f t="shared" si="10"/>
        <v>-3.0292000000000003</v>
      </c>
      <c r="I107" s="5">
        <f t="shared" si="11"/>
        <v>1747</v>
      </c>
      <c r="J107">
        <f t="shared" si="12"/>
        <v>-0.29464616715639302</v>
      </c>
      <c r="K107">
        <f t="shared" si="13"/>
        <v>0.46743116679256397</v>
      </c>
      <c r="L107">
        <f t="shared" si="14"/>
        <v>0.76207733394895705</v>
      </c>
      <c r="P107">
        <f t="shared" si="15"/>
        <v>0</v>
      </c>
    </row>
    <row r="108" spans="1:16" x14ac:dyDescent="0.25">
      <c r="A108" s="1"/>
      <c r="B108" t="s">
        <v>122</v>
      </c>
      <c r="C108" t="s">
        <v>24</v>
      </c>
      <c r="D108" s="3">
        <v>4.125</v>
      </c>
      <c r="E108" s="5">
        <f t="shared" si="8"/>
        <v>1748</v>
      </c>
      <c r="F108">
        <v>-0.99582000000000004</v>
      </c>
      <c r="G108">
        <f t="shared" si="9"/>
        <v>4.8936600000000006</v>
      </c>
      <c r="H108">
        <f t="shared" si="10"/>
        <v>4.8936600000000006</v>
      </c>
      <c r="I108" s="5">
        <f t="shared" si="11"/>
        <v>1748</v>
      </c>
      <c r="J108">
        <f t="shared" si="12"/>
        <v>4.0208248022030828</v>
      </c>
      <c r="K108">
        <f t="shared" si="13"/>
        <v>-0.22882918759445303</v>
      </c>
      <c r="L108">
        <f t="shared" si="14"/>
        <v>4.2496539897975358</v>
      </c>
      <c r="P108">
        <f t="shared" si="15"/>
        <v>0</v>
      </c>
    </row>
    <row r="109" spans="1:16" x14ac:dyDescent="0.25">
      <c r="A109" s="1"/>
      <c r="B109" t="s">
        <v>123</v>
      </c>
      <c r="C109" t="s">
        <v>24</v>
      </c>
      <c r="D109" s="3">
        <v>4.166666666666667</v>
      </c>
      <c r="E109" s="5">
        <f t="shared" si="8"/>
        <v>1749</v>
      </c>
      <c r="F109">
        <v>1.0962400000000001</v>
      </c>
      <c r="G109">
        <f t="shared" si="9"/>
        <v>-2.4696899999999999</v>
      </c>
      <c r="H109">
        <f t="shared" si="10"/>
        <v>-2.4696899999999999</v>
      </c>
      <c r="I109" s="5">
        <f t="shared" si="11"/>
        <v>1749</v>
      </c>
      <c r="J109">
        <f t="shared" si="12"/>
        <v>-0.71124014981190864</v>
      </c>
      <c r="K109">
        <f t="shared" si="13"/>
        <v>-0.13077800242388155</v>
      </c>
      <c r="L109">
        <f t="shared" si="14"/>
        <v>0.58046214738802715</v>
      </c>
      <c r="P109">
        <f t="shared" si="15"/>
        <v>1</v>
      </c>
    </row>
    <row r="110" spans="1:16" x14ac:dyDescent="0.25">
      <c r="A110" s="1"/>
      <c r="B110" t="s">
        <v>124</v>
      </c>
      <c r="C110" t="s">
        <v>24</v>
      </c>
      <c r="D110" s="3">
        <v>4.208333333333333</v>
      </c>
      <c r="E110" s="5">
        <f t="shared" si="8"/>
        <v>1750</v>
      </c>
      <c r="F110">
        <v>0.71860999999999997</v>
      </c>
      <c r="G110">
        <f t="shared" si="9"/>
        <v>-5.4319999999999813E-2</v>
      </c>
      <c r="H110">
        <f t="shared" si="10"/>
        <v>-5.4319999999999813E-2</v>
      </c>
      <c r="I110" s="5">
        <f t="shared" si="11"/>
        <v>1750</v>
      </c>
      <c r="J110">
        <f t="shared" si="12"/>
        <v>0.82041973317261285</v>
      </c>
      <c r="K110">
        <f t="shared" si="13"/>
        <v>0.46992755424211269</v>
      </c>
      <c r="L110">
        <f t="shared" si="14"/>
        <v>0.35049217893050016</v>
      </c>
      <c r="P110">
        <f t="shared" si="15"/>
        <v>1</v>
      </c>
    </row>
    <row r="111" spans="1:16" x14ac:dyDescent="0.25">
      <c r="A111" s="1"/>
      <c r="B111" t="s">
        <v>125</v>
      </c>
      <c r="C111" t="s">
        <v>24</v>
      </c>
      <c r="D111" s="3">
        <v>4.25</v>
      </c>
      <c r="E111" s="5">
        <f t="shared" si="8"/>
        <v>1751</v>
      </c>
      <c r="F111">
        <v>0.28666000000000003</v>
      </c>
      <c r="G111">
        <f t="shared" si="9"/>
        <v>-1.7390400000000001</v>
      </c>
      <c r="H111">
        <f t="shared" si="10"/>
        <v>-1.7390400000000001</v>
      </c>
      <c r="I111" s="5">
        <f t="shared" si="11"/>
        <v>1751</v>
      </c>
      <c r="J111">
        <f t="shared" si="12"/>
        <v>-1.4367354942472785</v>
      </c>
      <c r="K111">
        <f t="shared" si="13"/>
        <v>-0.66310787299075258</v>
      </c>
      <c r="L111">
        <f t="shared" si="14"/>
        <v>0.77362762125652595</v>
      </c>
      <c r="P111">
        <f t="shared" si="15"/>
        <v>1</v>
      </c>
    </row>
    <row r="112" spans="1:16" x14ac:dyDescent="0.25">
      <c r="A112" s="1"/>
      <c r="B112" t="s">
        <v>126</v>
      </c>
      <c r="C112" t="s">
        <v>24</v>
      </c>
      <c r="D112" s="3">
        <v>4.291666666666667</v>
      </c>
      <c r="E112" s="5">
        <f t="shared" si="8"/>
        <v>1752</v>
      </c>
      <c r="F112">
        <v>-1.8843300000000001</v>
      </c>
      <c r="G112">
        <f t="shared" si="9"/>
        <v>2.90266</v>
      </c>
      <c r="H112">
        <f t="shared" si="10"/>
        <v>2.90266</v>
      </c>
      <c r="I112" s="5">
        <f t="shared" si="11"/>
        <v>1752</v>
      </c>
      <c r="J112">
        <f t="shared" si="12"/>
        <v>-0.17683899819439342</v>
      </c>
      <c r="K112">
        <f t="shared" si="13"/>
        <v>0.64887147910658305</v>
      </c>
      <c r="L112">
        <f t="shared" si="14"/>
        <v>0.82571047730097646</v>
      </c>
      <c r="P112">
        <f t="shared" si="15"/>
        <v>0</v>
      </c>
    </row>
    <row r="113" spans="1:16" x14ac:dyDescent="0.25">
      <c r="A113" s="1"/>
      <c r="B113" t="s">
        <v>127</v>
      </c>
      <c r="C113" t="s">
        <v>24</v>
      </c>
      <c r="D113" s="3">
        <v>4.333333333333333</v>
      </c>
      <c r="E113" s="5">
        <f t="shared" si="8"/>
        <v>1753</v>
      </c>
      <c r="F113">
        <v>-1.15266</v>
      </c>
      <c r="G113">
        <f t="shared" si="9"/>
        <v>-0.31825000000000003</v>
      </c>
      <c r="H113">
        <f t="shared" si="10"/>
        <v>-0.31825000000000003</v>
      </c>
      <c r="I113" s="5">
        <f t="shared" si="11"/>
        <v>1753</v>
      </c>
      <c r="J113">
        <f t="shared" si="12"/>
        <v>-1.47510909618167</v>
      </c>
      <c r="K113">
        <f t="shared" si="13"/>
        <v>-0.45341056286709752</v>
      </c>
      <c r="L113">
        <f t="shared" si="14"/>
        <v>1.0216985333145725</v>
      </c>
      <c r="P113">
        <f t="shared" si="15"/>
        <v>1</v>
      </c>
    </row>
    <row r="114" spans="1:16" x14ac:dyDescent="0.25">
      <c r="A114" s="1"/>
      <c r="B114" t="s">
        <v>128</v>
      </c>
      <c r="C114" t="s">
        <v>24</v>
      </c>
      <c r="D114" s="3">
        <v>4.375</v>
      </c>
      <c r="E114" s="5">
        <f t="shared" si="8"/>
        <v>1754</v>
      </c>
      <c r="F114">
        <v>-0.73924000000000001</v>
      </c>
      <c r="G114">
        <f t="shared" si="9"/>
        <v>-0.72632999999999992</v>
      </c>
      <c r="H114">
        <f t="shared" si="10"/>
        <v>-0.72632999999999992</v>
      </c>
      <c r="I114" s="5">
        <f t="shared" si="11"/>
        <v>1754</v>
      </c>
      <c r="J114">
        <f t="shared" si="12"/>
        <v>-1.7180748944813222</v>
      </c>
      <c r="K114">
        <f t="shared" si="13"/>
        <v>0.17709434285484327</v>
      </c>
      <c r="L114">
        <f t="shared" si="14"/>
        <v>1.8951692373361655</v>
      </c>
      <c r="P114">
        <f t="shared" si="15"/>
        <v>0</v>
      </c>
    </row>
    <row r="115" spans="1:16" x14ac:dyDescent="0.25">
      <c r="A115" s="1"/>
      <c r="B115" t="s">
        <v>129</v>
      </c>
      <c r="C115" t="s">
        <v>24</v>
      </c>
      <c r="D115" s="3">
        <v>4.416666666666667</v>
      </c>
      <c r="E115" s="5">
        <f t="shared" si="8"/>
        <v>1755</v>
      </c>
      <c r="F115">
        <v>-1.0521499999999999</v>
      </c>
      <c r="G115">
        <f t="shared" si="9"/>
        <v>1.1541699999999997</v>
      </c>
      <c r="H115">
        <f t="shared" si="10"/>
        <v>1.1541699999999997</v>
      </c>
      <c r="I115" s="5">
        <f t="shared" si="11"/>
        <v>1755</v>
      </c>
      <c r="J115">
        <f t="shared" si="12"/>
        <v>-0.30746352602408145</v>
      </c>
      <c r="K115">
        <f t="shared" si="13"/>
        <v>5.7508555570019423E-2</v>
      </c>
      <c r="L115">
        <f t="shared" si="14"/>
        <v>0.36497208159410088</v>
      </c>
      <c r="P115">
        <f t="shared" si="15"/>
        <v>0</v>
      </c>
    </row>
    <row r="116" spans="1:16" x14ac:dyDescent="0.25">
      <c r="A116" s="1"/>
      <c r="B116" t="s">
        <v>130</v>
      </c>
      <c r="C116" t="s">
        <v>24</v>
      </c>
      <c r="D116" s="3">
        <v>4.458333333333333</v>
      </c>
      <c r="E116" s="5">
        <f t="shared" si="8"/>
        <v>1756</v>
      </c>
      <c r="F116">
        <v>-0.21088999999999999</v>
      </c>
      <c r="G116">
        <f t="shared" si="9"/>
        <v>-2.3304299999999998</v>
      </c>
      <c r="H116">
        <f t="shared" si="10"/>
        <v>-2.3304299999999998</v>
      </c>
      <c r="I116" s="5">
        <f t="shared" si="11"/>
        <v>1756</v>
      </c>
      <c r="J116">
        <f t="shared" si="12"/>
        <v>-2.5751386264423983</v>
      </c>
      <c r="K116">
        <f t="shared" si="13"/>
        <v>-0.17243590622448279</v>
      </c>
      <c r="L116">
        <f t="shared" si="14"/>
        <v>2.4027027202179156</v>
      </c>
      <c r="P116">
        <f t="shared" si="15"/>
        <v>1</v>
      </c>
    </row>
    <row r="117" spans="1:16" x14ac:dyDescent="0.25">
      <c r="A117" s="1"/>
      <c r="B117" t="s">
        <v>131</v>
      </c>
      <c r="C117" t="s">
        <v>24</v>
      </c>
      <c r="D117" s="3">
        <v>4.5</v>
      </c>
      <c r="E117" s="5">
        <f t="shared" si="8"/>
        <v>1757</v>
      </c>
      <c r="F117">
        <v>-1.7000599999999999</v>
      </c>
      <c r="G117">
        <f t="shared" si="9"/>
        <v>2.5641400000000001</v>
      </c>
      <c r="H117">
        <f t="shared" si="10"/>
        <v>2.5641400000000001</v>
      </c>
      <c r="I117" s="5">
        <f t="shared" si="11"/>
        <v>1757</v>
      </c>
      <c r="J117">
        <f t="shared" si="12"/>
        <v>0.46994822714385615</v>
      </c>
      <c r="K117">
        <f t="shared" si="13"/>
        <v>0.17572793063013925</v>
      </c>
      <c r="L117">
        <f t="shared" si="14"/>
        <v>0.29422029651371689</v>
      </c>
      <c r="P117">
        <f t="shared" si="15"/>
        <v>1</v>
      </c>
    </row>
    <row r="118" spans="1:16" x14ac:dyDescent="0.25">
      <c r="A118" s="1"/>
      <c r="B118" t="s">
        <v>132</v>
      </c>
      <c r="C118" t="s">
        <v>24</v>
      </c>
      <c r="D118" s="3">
        <v>4.541666666666667</v>
      </c>
      <c r="E118" s="5">
        <f t="shared" si="8"/>
        <v>1758</v>
      </c>
      <c r="F118">
        <v>-0.62509000000000003</v>
      </c>
      <c r="G118">
        <f t="shared" si="9"/>
        <v>-2.9079999999999995E-2</v>
      </c>
      <c r="H118">
        <f t="shared" si="10"/>
        <v>-2.9079999999999995E-2</v>
      </c>
      <c r="I118" s="5">
        <f t="shared" si="11"/>
        <v>1758</v>
      </c>
      <c r="J118">
        <f t="shared" si="12"/>
        <v>-0.98920829355152995</v>
      </c>
      <c r="K118">
        <f t="shared" si="13"/>
        <v>-0.14882497850006002</v>
      </c>
      <c r="L118">
        <f t="shared" si="14"/>
        <v>0.8403833150514699</v>
      </c>
      <c r="P118">
        <f t="shared" si="15"/>
        <v>1</v>
      </c>
    </row>
    <row r="119" spans="1:16" x14ac:dyDescent="0.25">
      <c r="A119" s="1"/>
      <c r="B119" t="s">
        <v>133</v>
      </c>
      <c r="C119" t="s">
        <v>24</v>
      </c>
      <c r="D119" s="3">
        <v>4.583333333333333</v>
      </c>
      <c r="E119" s="5">
        <f t="shared" si="8"/>
        <v>1759</v>
      </c>
      <c r="F119">
        <v>0.42080000000000001</v>
      </c>
      <c r="G119">
        <f t="shared" si="9"/>
        <v>-1.4132500000000001</v>
      </c>
      <c r="H119">
        <f t="shared" si="10"/>
        <v>-1.4132500000000001</v>
      </c>
      <c r="I119" s="5">
        <f t="shared" si="11"/>
        <v>1759</v>
      </c>
      <c r="J119">
        <f t="shared" si="12"/>
        <v>-1.0244410878575503</v>
      </c>
      <c r="K119">
        <f t="shared" si="13"/>
        <v>0.18635299283671666</v>
      </c>
      <c r="L119">
        <f t="shared" si="14"/>
        <v>1.210794080694267</v>
      </c>
      <c r="P119">
        <f t="shared" si="15"/>
        <v>0</v>
      </c>
    </row>
    <row r="120" spans="1:16" x14ac:dyDescent="0.25">
      <c r="A120" s="1"/>
      <c r="B120" t="s">
        <v>134</v>
      </c>
      <c r="C120" t="s">
        <v>24</v>
      </c>
      <c r="D120" s="3">
        <v>4.625</v>
      </c>
      <c r="E120" s="5">
        <f t="shared" si="8"/>
        <v>1760</v>
      </c>
      <c r="F120">
        <v>5.3440000000000001E-2</v>
      </c>
      <c r="G120">
        <f t="shared" si="9"/>
        <v>-0.51621000000000006</v>
      </c>
      <c r="H120">
        <f t="shared" si="10"/>
        <v>-0.51621000000000006</v>
      </c>
      <c r="I120" s="5">
        <f t="shared" si="11"/>
        <v>1760</v>
      </c>
      <c r="J120">
        <f t="shared" si="12"/>
        <v>-0.43447944879660466</v>
      </c>
      <c r="K120">
        <f t="shared" si="13"/>
        <v>-0.32769160033886691</v>
      </c>
      <c r="L120">
        <f t="shared" si="14"/>
        <v>0.10678784845773776</v>
      </c>
      <c r="P120">
        <f t="shared" si="15"/>
        <v>1</v>
      </c>
    </row>
    <row r="121" spans="1:16" x14ac:dyDescent="0.25">
      <c r="A121" s="1"/>
      <c r="B121" t="s">
        <v>135</v>
      </c>
      <c r="C121" t="s">
        <v>24</v>
      </c>
      <c r="D121" s="3">
        <v>4.666666666666667</v>
      </c>
      <c r="E121" s="5">
        <f t="shared" si="8"/>
        <v>1761</v>
      </c>
      <c r="F121">
        <v>-0.83013000000000003</v>
      </c>
      <c r="G121">
        <f t="shared" si="9"/>
        <v>2.25312</v>
      </c>
      <c r="H121">
        <f t="shared" si="10"/>
        <v>2.25312</v>
      </c>
      <c r="I121" s="5">
        <f t="shared" si="11"/>
        <v>1761</v>
      </c>
      <c r="J121">
        <f t="shared" si="12"/>
        <v>1.193417942379928</v>
      </c>
      <c r="K121">
        <f t="shared" si="13"/>
        <v>0.52593328085875635</v>
      </c>
      <c r="L121">
        <f t="shared" si="14"/>
        <v>0.6674846615211717</v>
      </c>
      <c r="P121">
        <f t="shared" si="15"/>
        <v>1</v>
      </c>
    </row>
    <row r="122" spans="1:16" x14ac:dyDescent="0.25">
      <c r="A122" s="1"/>
      <c r="B122" t="s">
        <v>136</v>
      </c>
      <c r="C122" t="s">
        <v>24</v>
      </c>
      <c r="D122" s="3">
        <v>4.708333333333333</v>
      </c>
      <c r="E122" s="5">
        <f t="shared" si="8"/>
        <v>1762</v>
      </c>
      <c r="F122">
        <v>0.53942000000000001</v>
      </c>
      <c r="G122">
        <f t="shared" si="9"/>
        <v>-2.6812800000000001</v>
      </c>
      <c r="H122">
        <f t="shared" si="10"/>
        <v>-2.6812800000000001</v>
      </c>
      <c r="I122" s="5">
        <f t="shared" si="11"/>
        <v>1762</v>
      </c>
      <c r="J122">
        <f t="shared" si="12"/>
        <v>-2.1218171706105617</v>
      </c>
      <c r="K122">
        <f t="shared" si="13"/>
        <v>-0.67422176858501592</v>
      </c>
      <c r="L122">
        <f t="shared" si="14"/>
        <v>1.4475954020255459</v>
      </c>
      <c r="P122">
        <f t="shared" si="15"/>
        <v>1</v>
      </c>
    </row>
    <row r="123" spans="1:16" x14ac:dyDescent="0.25">
      <c r="A123" s="1"/>
      <c r="B123" t="s">
        <v>137</v>
      </c>
      <c r="C123" t="s">
        <v>24</v>
      </c>
      <c r="D123" s="3">
        <v>4.75</v>
      </c>
      <c r="E123" s="5">
        <f t="shared" si="8"/>
        <v>1763</v>
      </c>
      <c r="F123">
        <v>-0.77231000000000005</v>
      </c>
      <c r="G123">
        <f t="shared" si="9"/>
        <v>2.0208200000000001</v>
      </c>
      <c r="H123">
        <f t="shared" si="10"/>
        <v>2.0208200000000001</v>
      </c>
      <c r="I123" s="5">
        <f t="shared" si="11"/>
        <v>1763</v>
      </c>
      <c r="J123">
        <f t="shared" si="12"/>
        <v>0.77811553395871713</v>
      </c>
      <c r="K123">
        <f t="shared" si="13"/>
        <v>0.67057492290744958</v>
      </c>
      <c r="L123">
        <f t="shared" si="14"/>
        <v>0.10754061105126755</v>
      </c>
      <c r="P123">
        <f t="shared" si="15"/>
        <v>1</v>
      </c>
    </row>
    <row r="124" spans="1:16" x14ac:dyDescent="0.25">
      <c r="A124" s="1"/>
      <c r="B124" t="s">
        <v>138</v>
      </c>
      <c r="C124" t="s">
        <v>24</v>
      </c>
      <c r="D124" s="3">
        <v>4.791666666666667</v>
      </c>
      <c r="E124" s="5">
        <f t="shared" si="8"/>
        <v>1764</v>
      </c>
      <c r="F124">
        <v>-6.3219999999999998E-2</v>
      </c>
      <c r="G124">
        <f t="shared" si="9"/>
        <v>-0.91364000000000001</v>
      </c>
      <c r="H124">
        <f t="shared" si="10"/>
        <v>-0.91364000000000001</v>
      </c>
      <c r="I124" s="5">
        <f t="shared" si="11"/>
        <v>1764</v>
      </c>
      <c r="J124">
        <f t="shared" si="12"/>
        <v>-0.97998241278902742</v>
      </c>
      <c r="K124">
        <f t="shared" si="13"/>
        <v>-0.47843528327291912</v>
      </c>
      <c r="L124">
        <f t="shared" si="14"/>
        <v>0.50154712951610825</v>
      </c>
      <c r="P124">
        <f t="shared" si="15"/>
        <v>1</v>
      </c>
    </row>
    <row r="125" spans="1:16" x14ac:dyDescent="0.25">
      <c r="A125" s="1"/>
      <c r="B125" t="s">
        <v>139</v>
      </c>
      <c r="C125" t="s">
        <v>24</v>
      </c>
      <c r="D125" s="3">
        <v>4.833333333333333</v>
      </c>
      <c r="E125" s="5">
        <f t="shared" si="8"/>
        <v>1765</v>
      </c>
      <c r="F125">
        <v>-0.26777000000000001</v>
      </c>
      <c r="G125">
        <f t="shared" si="9"/>
        <v>1.14693</v>
      </c>
      <c r="H125">
        <f t="shared" si="10"/>
        <v>1.14693</v>
      </c>
      <c r="I125" s="5">
        <f t="shared" si="11"/>
        <v>1765</v>
      </c>
      <c r="J125">
        <f t="shared" si="12"/>
        <v>0.79804615072925777</v>
      </c>
      <c r="K125">
        <f t="shared" si="13"/>
        <v>0.14770961353945566</v>
      </c>
      <c r="L125">
        <f t="shared" si="14"/>
        <v>0.65033653718980211</v>
      </c>
      <c r="P125">
        <f t="shared" si="15"/>
        <v>1</v>
      </c>
    </row>
    <row r="126" spans="1:16" x14ac:dyDescent="0.25">
      <c r="A126" s="1"/>
      <c r="B126" t="s">
        <v>140</v>
      </c>
      <c r="C126" t="s">
        <v>24</v>
      </c>
      <c r="D126" s="3">
        <v>4.875</v>
      </c>
      <c r="E126" s="5">
        <f t="shared" si="8"/>
        <v>1766</v>
      </c>
      <c r="F126">
        <v>0.67461000000000004</v>
      </c>
      <c r="G126">
        <f t="shared" si="9"/>
        <v>-1.22204</v>
      </c>
      <c r="H126">
        <f t="shared" si="10"/>
        <v>-1.22204</v>
      </c>
      <c r="I126" s="5">
        <f t="shared" si="11"/>
        <v>1766</v>
      </c>
      <c r="J126">
        <f t="shared" si="12"/>
        <v>-0.26992912272820424</v>
      </c>
      <c r="K126">
        <f t="shared" si="13"/>
        <v>0.20892115773692269</v>
      </c>
      <c r="L126">
        <f t="shared" si="14"/>
        <v>0.4788502804651269</v>
      </c>
      <c r="P126">
        <f t="shared" si="15"/>
        <v>0</v>
      </c>
    </row>
    <row r="127" spans="1:16" x14ac:dyDescent="0.25">
      <c r="A127" s="1"/>
      <c r="B127" t="s">
        <v>141</v>
      </c>
      <c r="C127" t="s">
        <v>24</v>
      </c>
      <c r="D127" s="3">
        <v>4.916666666666667</v>
      </c>
      <c r="E127" s="5">
        <f t="shared" si="8"/>
        <v>1767</v>
      </c>
      <c r="F127">
        <v>0.39495000000000002</v>
      </c>
      <c r="G127">
        <f t="shared" si="9"/>
        <v>-0.18498999999999999</v>
      </c>
      <c r="H127">
        <f t="shared" si="10"/>
        <v>-0.18498999999999999</v>
      </c>
      <c r="I127" s="5">
        <f t="shared" si="11"/>
        <v>1767</v>
      </c>
      <c r="J127">
        <f t="shared" si="12"/>
        <v>0.262170740383874</v>
      </c>
      <c r="K127">
        <f t="shared" si="13"/>
        <v>-0.46395215118396815</v>
      </c>
      <c r="L127">
        <f t="shared" si="14"/>
        <v>0.72612289156784215</v>
      </c>
      <c r="P127">
        <f t="shared" si="15"/>
        <v>0</v>
      </c>
    </row>
    <row r="128" spans="1:16" x14ac:dyDescent="0.25">
      <c r="A128" s="1"/>
      <c r="B128" t="s">
        <v>142</v>
      </c>
      <c r="C128" t="s">
        <v>24</v>
      </c>
      <c r="D128" s="3">
        <v>4.958333333333333</v>
      </c>
      <c r="E128" s="5">
        <f t="shared" si="8"/>
        <v>1768</v>
      </c>
      <c r="F128">
        <v>-6.9699999999999998E-2</v>
      </c>
      <c r="G128">
        <f t="shared" si="9"/>
        <v>0.86162000000000005</v>
      </c>
      <c r="H128">
        <f t="shared" si="10"/>
        <v>0.86162000000000005</v>
      </c>
      <c r="I128" s="5">
        <f t="shared" si="11"/>
        <v>1768</v>
      </c>
      <c r="J128">
        <f t="shared" si="12"/>
        <v>0.77039016399817795</v>
      </c>
      <c r="K128">
        <f t="shared" si="13"/>
        <v>0.52447378947580325</v>
      </c>
      <c r="L128">
        <f t="shared" si="14"/>
        <v>0.24591637452237469</v>
      </c>
      <c r="P128">
        <f t="shared" si="15"/>
        <v>1</v>
      </c>
    </row>
    <row r="129" spans="1:16" x14ac:dyDescent="0.25">
      <c r="A129" s="1"/>
      <c r="B129" t="s">
        <v>143</v>
      </c>
      <c r="C129" t="s">
        <v>24</v>
      </c>
      <c r="D129" s="3">
        <v>5</v>
      </c>
      <c r="E129" s="5">
        <f t="shared" si="8"/>
        <v>1769</v>
      </c>
      <c r="F129">
        <v>0.32727000000000001</v>
      </c>
      <c r="G129">
        <f t="shared" si="9"/>
        <v>0.12131999999999993</v>
      </c>
      <c r="H129">
        <f t="shared" si="10"/>
        <v>0.12131999999999993</v>
      </c>
      <c r="I129" s="5">
        <f t="shared" si="11"/>
        <v>1769</v>
      </c>
      <c r="J129">
        <f t="shared" si="12"/>
        <v>0.57325938387441655</v>
      </c>
      <c r="K129">
        <f t="shared" si="13"/>
        <v>-0.37142735439093333</v>
      </c>
      <c r="L129">
        <f t="shared" si="14"/>
        <v>0.94468673826534988</v>
      </c>
      <c r="P129">
        <f t="shared" si="15"/>
        <v>0</v>
      </c>
    </row>
    <row r="130" spans="1:16" x14ac:dyDescent="0.25">
      <c r="A130" s="1"/>
      <c r="B130" t="s">
        <v>144</v>
      </c>
      <c r="C130" t="s">
        <v>24</v>
      </c>
      <c r="D130" s="3">
        <v>5.041666666666667</v>
      </c>
      <c r="E130" s="5">
        <f t="shared" si="8"/>
        <v>1770</v>
      </c>
      <c r="F130">
        <v>0.84555999999999998</v>
      </c>
      <c r="G130">
        <f t="shared" si="9"/>
        <v>-0.67840999999999985</v>
      </c>
      <c r="H130">
        <f t="shared" si="10"/>
        <v>-0.67840999999999985</v>
      </c>
      <c r="I130" s="5">
        <f t="shared" si="11"/>
        <v>1770</v>
      </c>
      <c r="J130">
        <f t="shared" si="12"/>
        <v>0.28477032412222725</v>
      </c>
      <c r="K130">
        <f t="shared" si="13"/>
        <v>7.6893754427555888E-2</v>
      </c>
      <c r="L130">
        <f t="shared" si="14"/>
        <v>0.20787656969467136</v>
      </c>
      <c r="P130">
        <f t="shared" si="15"/>
        <v>1</v>
      </c>
    </row>
    <row r="131" spans="1:16" x14ac:dyDescent="0.25">
      <c r="A131" s="1"/>
      <c r="B131" t="s">
        <v>145</v>
      </c>
      <c r="C131" t="s">
        <v>24</v>
      </c>
      <c r="D131" s="3">
        <v>5.083333333333333</v>
      </c>
      <c r="E131" s="5">
        <f t="shared" si="8"/>
        <v>1771</v>
      </c>
      <c r="F131">
        <v>0.68544000000000005</v>
      </c>
      <c r="G131">
        <f t="shared" si="9"/>
        <v>-1.19834</v>
      </c>
      <c r="H131">
        <f t="shared" si="10"/>
        <v>-1.19834</v>
      </c>
      <c r="I131" s="5">
        <f t="shared" si="11"/>
        <v>1771</v>
      </c>
      <c r="J131">
        <f t="shared" si="12"/>
        <v>-0.29155785613220564</v>
      </c>
      <c r="K131">
        <f t="shared" si="13"/>
        <v>0.22153599713585354</v>
      </c>
      <c r="L131">
        <f t="shared" si="14"/>
        <v>0.51309385326805912</v>
      </c>
      <c r="P131">
        <f t="shared" si="15"/>
        <v>0</v>
      </c>
    </row>
    <row r="132" spans="1:16" x14ac:dyDescent="0.25">
      <c r="A132" s="1"/>
      <c r="B132" t="s">
        <v>146</v>
      </c>
      <c r="C132" t="s">
        <v>24</v>
      </c>
      <c r="D132" s="3">
        <v>5.125</v>
      </c>
      <c r="E132" s="5">
        <f t="shared" si="8"/>
        <v>1772</v>
      </c>
      <c r="F132">
        <v>-0.67301999999999995</v>
      </c>
      <c r="G132">
        <f t="shared" si="9"/>
        <v>0.61890999999999985</v>
      </c>
      <c r="H132">
        <f t="shared" si="10"/>
        <v>0.61890999999999985</v>
      </c>
      <c r="I132" s="5">
        <f t="shared" si="11"/>
        <v>1772</v>
      </c>
      <c r="J132">
        <f t="shared" si="12"/>
        <v>-0.3149958323593775</v>
      </c>
      <c r="K132">
        <f t="shared" si="13"/>
        <v>-0.39329835467000601</v>
      </c>
      <c r="L132">
        <f t="shared" si="14"/>
        <v>7.8302522310628508E-2</v>
      </c>
      <c r="P132">
        <f t="shared" si="15"/>
        <v>1</v>
      </c>
    </row>
    <row r="133" spans="1:16" x14ac:dyDescent="0.25">
      <c r="A133" s="1"/>
      <c r="B133" t="s">
        <v>147</v>
      </c>
      <c r="C133" t="s">
        <v>24</v>
      </c>
      <c r="D133" s="3">
        <v>5.166666666666667</v>
      </c>
      <c r="E133" s="5">
        <f t="shared" si="8"/>
        <v>1773</v>
      </c>
      <c r="F133">
        <v>-1.4125700000000001</v>
      </c>
      <c r="G133">
        <f t="shared" si="9"/>
        <v>1.9438000000000002</v>
      </c>
      <c r="H133">
        <f t="shared" si="10"/>
        <v>1.9438000000000002</v>
      </c>
      <c r="I133" s="5">
        <f t="shared" si="11"/>
        <v>1773</v>
      </c>
      <c r="J133">
        <f t="shared" si="12"/>
        <v>0.4199704439479528</v>
      </c>
      <c r="K133">
        <f t="shared" si="13"/>
        <v>0.39001187374945756</v>
      </c>
      <c r="L133">
        <f t="shared" si="14"/>
        <v>2.9958570198495238E-2</v>
      </c>
      <c r="P133">
        <f t="shared" si="15"/>
        <v>1</v>
      </c>
    </row>
    <row r="134" spans="1:16" x14ac:dyDescent="0.25">
      <c r="A134" s="1"/>
      <c r="B134" t="s">
        <v>148</v>
      </c>
      <c r="C134" t="s">
        <v>24</v>
      </c>
      <c r="D134" s="3">
        <v>5.208333333333333</v>
      </c>
      <c r="E134" s="5">
        <f t="shared" si="8"/>
        <v>1774</v>
      </c>
      <c r="F134">
        <v>-0.20832000000000001</v>
      </c>
      <c r="G134">
        <f t="shared" si="9"/>
        <v>-1.0641700000000001</v>
      </c>
      <c r="H134">
        <f t="shared" si="10"/>
        <v>-1.0641700000000001</v>
      </c>
      <c r="I134" s="5">
        <f t="shared" si="11"/>
        <v>1774</v>
      </c>
      <c r="J134">
        <f t="shared" si="12"/>
        <v>-1.3593474879909382</v>
      </c>
      <c r="K134">
        <f t="shared" si="13"/>
        <v>-0.25911289069660604</v>
      </c>
      <c r="L134">
        <f t="shared" si="14"/>
        <v>1.1002345972943322</v>
      </c>
      <c r="P134">
        <f t="shared" si="15"/>
        <v>1</v>
      </c>
    </row>
    <row r="135" spans="1:16" x14ac:dyDescent="0.25">
      <c r="A135" s="1"/>
      <c r="B135" t="s">
        <v>149</v>
      </c>
      <c r="C135" t="s">
        <v>24</v>
      </c>
      <c r="D135" s="3">
        <v>5.25</v>
      </c>
      <c r="E135" s="5">
        <f t="shared" si="8"/>
        <v>1775</v>
      </c>
      <c r="F135">
        <v>-6.8239999999999995E-2</v>
      </c>
      <c r="G135">
        <f t="shared" si="9"/>
        <v>-0.52205999999999997</v>
      </c>
      <c r="H135">
        <f t="shared" si="10"/>
        <v>-0.52205999999999997</v>
      </c>
      <c r="I135" s="5">
        <f t="shared" si="11"/>
        <v>1775</v>
      </c>
      <c r="J135">
        <f t="shared" si="12"/>
        <v>-0.61301732368033879</v>
      </c>
      <c r="K135">
        <f t="shared" si="13"/>
        <v>8.4722263737234446E-2</v>
      </c>
      <c r="L135">
        <f t="shared" si="14"/>
        <v>0.69773958741757325</v>
      </c>
      <c r="P135">
        <f t="shared" si="15"/>
        <v>0</v>
      </c>
    </row>
    <row r="136" spans="1:16" x14ac:dyDescent="0.25">
      <c r="A136" s="1"/>
      <c r="B136" t="s">
        <v>150</v>
      </c>
      <c r="C136" t="s">
        <v>24</v>
      </c>
      <c r="D136" s="3">
        <v>5.291666666666667</v>
      </c>
      <c r="E136" s="5">
        <f t="shared" si="8"/>
        <v>1776</v>
      </c>
      <c r="F136">
        <v>-0.45022000000000001</v>
      </c>
      <c r="G136">
        <f t="shared" si="9"/>
        <v>0.28513000000000005</v>
      </c>
      <c r="H136">
        <f t="shared" si="10"/>
        <v>0.28513000000000005</v>
      </c>
      <c r="I136" s="5">
        <f t="shared" si="11"/>
        <v>1776</v>
      </c>
      <c r="J136">
        <f t="shared" si="12"/>
        <v>-0.17283354433143133</v>
      </c>
      <c r="K136">
        <f t="shared" si="13"/>
        <v>8.3244369236852328E-2</v>
      </c>
      <c r="L136">
        <f t="shared" si="14"/>
        <v>0.25607791356828369</v>
      </c>
      <c r="P136">
        <f t="shared" si="15"/>
        <v>0</v>
      </c>
    </row>
    <row r="137" spans="1:16" x14ac:dyDescent="0.25">
      <c r="A137" s="1"/>
      <c r="B137" t="s">
        <v>151</v>
      </c>
      <c r="C137" t="s">
        <v>24</v>
      </c>
      <c r="D137" s="3">
        <v>5.333333333333333</v>
      </c>
      <c r="E137" s="5">
        <f t="shared" si="8"/>
        <v>1777</v>
      </c>
      <c r="F137">
        <v>-0.54706999999999995</v>
      </c>
      <c r="G137">
        <f t="shared" si="9"/>
        <v>-0.23581000000000013</v>
      </c>
      <c r="H137">
        <f t="shared" si="10"/>
        <v>-0.23581000000000013</v>
      </c>
      <c r="I137" s="5">
        <f t="shared" si="11"/>
        <v>1777</v>
      </c>
      <c r="J137">
        <f t="shared" si="12"/>
        <v>-1.1185428867246263</v>
      </c>
      <c r="K137">
        <f t="shared" si="13"/>
        <v>-0.24548008708024652</v>
      </c>
      <c r="L137">
        <f t="shared" si="14"/>
        <v>0.87306279964437983</v>
      </c>
      <c r="P137">
        <f t="shared" si="15"/>
        <v>1</v>
      </c>
    </row>
    <row r="138" spans="1:16" x14ac:dyDescent="0.25">
      <c r="A138" s="1"/>
      <c r="B138" t="s">
        <v>152</v>
      </c>
      <c r="C138" t="s">
        <v>24</v>
      </c>
      <c r="D138" s="3">
        <v>5.375</v>
      </c>
      <c r="E138" s="5">
        <f t="shared" si="8"/>
        <v>1778</v>
      </c>
      <c r="F138">
        <v>-0.87973000000000001</v>
      </c>
      <c r="G138">
        <f t="shared" si="9"/>
        <v>0.59026000000000012</v>
      </c>
      <c r="H138">
        <f t="shared" si="10"/>
        <v>0.59026000000000012</v>
      </c>
      <c r="I138" s="5">
        <f t="shared" si="11"/>
        <v>1778</v>
      </c>
      <c r="J138">
        <f t="shared" si="12"/>
        <v>-0.35002735378599636</v>
      </c>
      <c r="K138">
        <f t="shared" si="13"/>
        <v>0.41242982170211745</v>
      </c>
      <c r="L138">
        <f t="shared" si="14"/>
        <v>0.76245717548811376</v>
      </c>
      <c r="P138">
        <f t="shared" si="15"/>
        <v>0</v>
      </c>
    </row>
    <row r="139" spans="1:16" x14ac:dyDescent="0.25">
      <c r="A139" s="1"/>
      <c r="B139" t="s">
        <v>153</v>
      </c>
      <c r="C139" t="s">
        <v>24</v>
      </c>
      <c r="D139" s="3">
        <v>5.416666666666667</v>
      </c>
      <c r="E139" s="5">
        <f t="shared" si="8"/>
        <v>1779</v>
      </c>
      <c r="F139">
        <v>-0.62212999999999996</v>
      </c>
      <c r="G139">
        <f t="shared" si="9"/>
        <v>0.30409999999999993</v>
      </c>
      <c r="H139">
        <f t="shared" si="10"/>
        <v>0.30409999999999993</v>
      </c>
      <c r="I139" s="5">
        <f t="shared" si="11"/>
        <v>1779</v>
      </c>
      <c r="J139">
        <f t="shared" si="12"/>
        <v>-0.45718791822475541</v>
      </c>
      <c r="K139">
        <f t="shared" si="13"/>
        <v>-0.55948321756846209</v>
      </c>
      <c r="L139">
        <f t="shared" si="14"/>
        <v>0.10229529934370668</v>
      </c>
      <c r="P139">
        <f t="shared" si="15"/>
        <v>1</v>
      </c>
    </row>
    <row r="140" spans="1:16" x14ac:dyDescent="0.25">
      <c r="A140" s="1"/>
      <c r="B140" t="s">
        <v>154</v>
      </c>
      <c r="C140" t="s">
        <v>24</v>
      </c>
      <c r="D140" s="3">
        <v>5.458333333333333</v>
      </c>
      <c r="E140" s="5">
        <f t="shared" ref="E140:E203" si="16">+E139+1</f>
        <v>1780</v>
      </c>
      <c r="F140">
        <v>-6.0429999999999998E-2</v>
      </c>
      <c r="G140">
        <f t="shared" ref="G140:G203" si="17">+(F141-F140)-(F140-F139)</f>
        <v>-1.3107199999999999</v>
      </c>
      <c r="H140">
        <f t="shared" ref="H140:H203" si="18">+G140</f>
        <v>-1.3107199999999999</v>
      </c>
      <c r="I140" s="5">
        <f t="shared" si="11"/>
        <v>1780</v>
      </c>
      <c r="J140">
        <f t="shared" si="12"/>
        <v>-1.4060509066152738</v>
      </c>
      <c r="K140">
        <f t="shared" si="13"/>
        <v>0.62687327191832809</v>
      </c>
      <c r="L140">
        <f t="shared" si="14"/>
        <v>2.0329241785336016</v>
      </c>
      <c r="P140">
        <f t="shared" si="15"/>
        <v>0</v>
      </c>
    </row>
    <row r="141" spans="1:16" x14ac:dyDescent="0.25">
      <c r="A141" s="1"/>
      <c r="B141" t="s">
        <v>155</v>
      </c>
      <c r="C141" t="s">
        <v>24</v>
      </c>
      <c r="D141" s="3">
        <v>5.5</v>
      </c>
      <c r="E141" s="5">
        <f t="shared" si="16"/>
        <v>1781</v>
      </c>
      <c r="F141">
        <v>-0.80945</v>
      </c>
      <c r="G141">
        <f t="shared" si="17"/>
        <v>0.48418000000000005</v>
      </c>
      <c r="H141">
        <f t="shared" si="18"/>
        <v>0.48418000000000005</v>
      </c>
      <c r="I141" s="5">
        <f t="shared" ref="I141:I204" si="19">+E141</f>
        <v>1781</v>
      </c>
      <c r="J141">
        <f t="shared" ref="J141:J204" si="20">+$J$6*F141+F141*$J$7*COS(2*PI()*$I141/$K$6+$K$5*COS($J$5*$I141+$K$8)+$J$9)+H141+F141*$J$3*COS(2*PI()*$I141/$J$8+$K$3)</f>
        <v>-0.24414688133214871</v>
      </c>
      <c r="K141">
        <f t="shared" ref="K141:K204" si="21">+$K$8*COS(2*PI()*$I141/$K$6+$K$5*COS($J$5*$I141+$K$8)+$K$7) +$K$4*COS(2*PI()*$I141/$J$8+$J$4)</f>
        <v>-0.56450173159409434</v>
      </c>
      <c r="L141">
        <f t="shared" ref="L141:L204" si="22">+ABS(J141-K141)</f>
        <v>0.32035485026194566</v>
      </c>
      <c r="P141">
        <f t="shared" ref="P141:P204" si="23">+IF(J141*K141&gt;0,1, 0)</f>
        <v>1</v>
      </c>
    </row>
    <row r="142" spans="1:16" x14ac:dyDescent="0.25">
      <c r="A142" s="1"/>
      <c r="B142" t="s">
        <v>156</v>
      </c>
      <c r="C142" t="s">
        <v>24</v>
      </c>
      <c r="D142" s="3">
        <v>5.541666666666667</v>
      </c>
      <c r="E142" s="5">
        <f t="shared" si="16"/>
        <v>1782</v>
      </c>
      <c r="F142">
        <v>-1.07429</v>
      </c>
      <c r="G142">
        <f t="shared" si="17"/>
        <v>2.16337</v>
      </c>
      <c r="H142">
        <f t="shared" si="18"/>
        <v>2.16337</v>
      </c>
      <c r="I142" s="5">
        <f t="shared" si="19"/>
        <v>1782</v>
      </c>
      <c r="J142">
        <f t="shared" si="20"/>
        <v>0.51451031007083281</v>
      </c>
      <c r="K142">
        <f t="shared" si="21"/>
        <v>0.38018284818523046</v>
      </c>
      <c r="L142">
        <f t="shared" si="22"/>
        <v>0.13432746188560235</v>
      </c>
      <c r="P142">
        <f t="shared" si="23"/>
        <v>1</v>
      </c>
    </row>
    <row r="143" spans="1:16" x14ac:dyDescent="0.25">
      <c r="A143" s="1"/>
      <c r="B143" t="s">
        <v>157</v>
      </c>
      <c r="C143" t="s">
        <v>24</v>
      </c>
      <c r="D143" s="3">
        <v>5.583333333333333</v>
      </c>
      <c r="E143" s="5">
        <f t="shared" si="16"/>
        <v>1783</v>
      </c>
      <c r="F143">
        <v>0.82423999999999997</v>
      </c>
      <c r="G143">
        <f t="shared" si="17"/>
        <v>-1.2054200000000002</v>
      </c>
      <c r="H143">
        <f t="shared" si="18"/>
        <v>-1.2054200000000002</v>
      </c>
      <c r="I143" s="5">
        <f t="shared" si="19"/>
        <v>1783</v>
      </c>
      <c r="J143">
        <f t="shared" si="20"/>
        <v>-0.18033590371713748</v>
      </c>
      <c r="K143">
        <f t="shared" si="21"/>
        <v>-0.14746678732020857</v>
      </c>
      <c r="L143">
        <f t="shared" si="22"/>
        <v>3.286911639692891E-2</v>
      </c>
      <c r="P143">
        <f t="shared" si="23"/>
        <v>1</v>
      </c>
    </row>
    <row r="144" spans="1:16" x14ac:dyDescent="0.25">
      <c r="A144" s="1"/>
      <c r="B144" t="s">
        <v>158</v>
      </c>
      <c r="C144" t="s">
        <v>24</v>
      </c>
      <c r="D144" s="3">
        <v>5.625</v>
      </c>
      <c r="E144" s="5">
        <f t="shared" si="16"/>
        <v>1784</v>
      </c>
      <c r="F144">
        <v>1.51735</v>
      </c>
      <c r="G144">
        <f t="shared" si="17"/>
        <v>-2.7677499999999999</v>
      </c>
      <c r="H144">
        <f t="shared" si="18"/>
        <v>-2.7677499999999999</v>
      </c>
      <c r="I144" s="5">
        <f t="shared" si="19"/>
        <v>1784</v>
      </c>
      <c r="J144">
        <f t="shared" si="20"/>
        <v>-1.0137971315780336</v>
      </c>
      <c r="K144">
        <f t="shared" si="21"/>
        <v>-3.7403245638570948E-2</v>
      </c>
      <c r="L144">
        <f t="shared" si="22"/>
        <v>0.97639388593946275</v>
      </c>
      <c r="P144">
        <f t="shared" si="23"/>
        <v>1</v>
      </c>
    </row>
    <row r="145" spans="1:16" x14ac:dyDescent="0.25">
      <c r="A145" s="1"/>
      <c r="B145" t="s">
        <v>159</v>
      </c>
      <c r="C145" t="s">
        <v>24</v>
      </c>
      <c r="D145" s="3">
        <v>5.666666666666667</v>
      </c>
      <c r="E145" s="5">
        <f t="shared" si="16"/>
        <v>1785</v>
      </c>
      <c r="F145">
        <v>-0.55728999999999995</v>
      </c>
      <c r="G145">
        <f t="shared" si="17"/>
        <v>1.5596000000000001</v>
      </c>
      <c r="H145">
        <f t="shared" si="18"/>
        <v>1.5596000000000001</v>
      </c>
      <c r="I145" s="5">
        <f t="shared" si="19"/>
        <v>1785</v>
      </c>
      <c r="J145">
        <f t="shared" si="20"/>
        <v>0.79134351149984228</v>
      </c>
      <c r="K145">
        <f t="shared" si="21"/>
        <v>0.1193730046437306</v>
      </c>
      <c r="L145">
        <f t="shared" si="22"/>
        <v>0.6719705068561117</v>
      </c>
      <c r="P145">
        <f t="shared" si="23"/>
        <v>1</v>
      </c>
    </row>
    <row r="146" spans="1:16" x14ac:dyDescent="0.25">
      <c r="A146" s="1"/>
      <c r="B146" t="s">
        <v>160</v>
      </c>
      <c r="C146" t="s">
        <v>24</v>
      </c>
      <c r="D146" s="3">
        <v>5.708333333333333</v>
      </c>
      <c r="E146" s="5">
        <f t="shared" si="16"/>
        <v>1786</v>
      </c>
      <c r="F146">
        <v>-1.07233</v>
      </c>
      <c r="G146">
        <f t="shared" si="17"/>
        <v>1.5132400000000001</v>
      </c>
      <c r="H146">
        <f t="shared" si="18"/>
        <v>1.5132400000000001</v>
      </c>
      <c r="I146" s="5">
        <f t="shared" si="19"/>
        <v>1786</v>
      </c>
      <c r="J146">
        <f t="shared" si="20"/>
        <v>5.5502097467017189E-2</v>
      </c>
      <c r="K146">
        <f t="shared" si="21"/>
        <v>-0.12202062220170429</v>
      </c>
      <c r="L146">
        <f t="shared" si="22"/>
        <v>0.17752271966872146</v>
      </c>
      <c r="P146">
        <f t="shared" si="23"/>
        <v>0</v>
      </c>
    </row>
    <row r="147" spans="1:16" x14ac:dyDescent="0.25">
      <c r="A147" s="1"/>
      <c r="B147" t="s">
        <v>161</v>
      </c>
      <c r="C147" t="s">
        <v>24</v>
      </c>
      <c r="D147" s="3">
        <v>5.75</v>
      </c>
      <c r="E147" s="5">
        <f t="shared" si="16"/>
        <v>1787</v>
      </c>
      <c r="F147">
        <v>-7.4130000000000001E-2</v>
      </c>
      <c r="G147">
        <f t="shared" si="17"/>
        <v>-0.81238999999999995</v>
      </c>
      <c r="H147">
        <f t="shared" si="18"/>
        <v>-0.81238999999999995</v>
      </c>
      <c r="I147" s="5">
        <f t="shared" si="19"/>
        <v>1787</v>
      </c>
      <c r="J147">
        <f t="shared" si="20"/>
        <v>-0.88611608130808595</v>
      </c>
      <c r="K147">
        <f t="shared" si="21"/>
        <v>0.12901956197141404</v>
      </c>
      <c r="L147">
        <f t="shared" si="22"/>
        <v>1.0151356432795</v>
      </c>
      <c r="P147">
        <f t="shared" si="23"/>
        <v>0</v>
      </c>
    </row>
    <row r="148" spans="1:16" x14ac:dyDescent="0.25">
      <c r="A148" s="1"/>
      <c r="B148" t="s">
        <v>162</v>
      </c>
      <c r="C148" t="s">
        <v>24</v>
      </c>
      <c r="D148" s="3">
        <v>5.791666666666667</v>
      </c>
      <c r="E148" s="5">
        <f t="shared" si="16"/>
        <v>1788</v>
      </c>
      <c r="F148">
        <v>0.11168</v>
      </c>
      <c r="G148">
        <f t="shared" si="17"/>
        <v>-1.2239200000000001</v>
      </c>
      <c r="H148">
        <f t="shared" si="18"/>
        <v>-1.2239200000000001</v>
      </c>
      <c r="I148" s="5">
        <f t="shared" si="19"/>
        <v>1788</v>
      </c>
      <c r="J148">
        <f t="shared" si="20"/>
        <v>-1.042474874492537</v>
      </c>
      <c r="K148">
        <f t="shared" si="21"/>
        <v>-0.2195295166299718</v>
      </c>
      <c r="L148">
        <f t="shared" si="22"/>
        <v>0.82294535786256517</v>
      </c>
      <c r="P148">
        <f t="shared" si="23"/>
        <v>1</v>
      </c>
    </row>
    <row r="149" spans="1:16" x14ac:dyDescent="0.25">
      <c r="A149" s="1"/>
      <c r="B149" t="s">
        <v>163</v>
      </c>
      <c r="C149" t="s">
        <v>24</v>
      </c>
      <c r="D149" s="3">
        <v>5.833333333333333</v>
      </c>
      <c r="E149" s="5">
        <f t="shared" si="16"/>
        <v>1789</v>
      </c>
      <c r="F149">
        <v>-0.92642999999999998</v>
      </c>
      <c r="G149">
        <f t="shared" si="17"/>
        <v>0.5069800000000001</v>
      </c>
      <c r="H149">
        <f t="shared" si="18"/>
        <v>0.5069800000000001</v>
      </c>
      <c r="I149" s="5">
        <f t="shared" si="19"/>
        <v>1789</v>
      </c>
      <c r="J149">
        <f t="shared" si="20"/>
        <v>-0.49091417763058898</v>
      </c>
      <c r="K149">
        <f t="shared" si="21"/>
        <v>0.40070223111621439</v>
      </c>
      <c r="L149">
        <f t="shared" si="22"/>
        <v>0.89161640874680337</v>
      </c>
      <c r="P149">
        <f t="shared" si="23"/>
        <v>0</v>
      </c>
    </row>
    <row r="150" spans="1:16" x14ac:dyDescent="0.25">
      <c r="A150" s="1"/>
      <c r="B150" t="s">
        <v>164</v>
      </c>
      <c r="C150" t="s">
        <v>24</v>
      </c>
      <c r="D150" s="3">
        <v>5.875</v>
      </c>
      <c r="E150" s="5">
        <f t="shared" si="16"/>
        <v>1790</v>
      </c>
      <c r="F150">
        <v>-1.45756</v>
      </c>
      <c r="G150">
        <f t="shared" si="17"/>
        <v>3.2947699999999998</v>
      </c>
      <c r="H150">
        <f t="shared" si="18"/>
        <v>3.2947699999999998</v>
      </c>
      <c r="I150" s="5">
        <f t="shared" si="19"/>
        <v>1790</v>
      </c>
      <c r="J150">
        <f t="shared" si="20"/>
        <v>1.546533999312323</v>
      </c>
      <c r="K150">
        <f t="shared" si="21"/>
        <v>-0.58499319816937423</v>
      </c>
      <c r="L150">
        <f t="shared" si="22"/>
        <v>2.1315271974816974</v>
      </c>
      <c r="P150">
        <f t="shared" si="23"/>
        <v>0</v>
      </c>
    </row>
    <row r="151" spans="1:16" x14ac:dyDescent="0.25">
      <c r="A151" s="1"/>
      <c r="B151" t="s">
        <v>165</v>
      </c>
      <c r="C151" t="s">
        <v>24</v>
      </c>
      <c r="D151" s="3">
        <v>5.916666666666667</v>
      </c>
      <c r="E151" s="5">
        <f t="shared" si="16"/>
        <v>1791</v>
      </c>
      <c r="F151">
        <v>1.3060799999999999</v>
      </c>
      <c r="G151">
        <f t="shared" si="17"/>
        <v>-1.8857299999999995</v>
      </c>
      <c r="H151">
        <f t="shared" si="18"/>
        <v>-1.8857299999999995</v>
      </c>
      <c r="I151" s="5">
        <f t="shared" si="19"/>
        <v>1791</v>
      </c>
      <c r="J151">
        <f t="shared" si="20"/>
        <v>0.20763697864852737</v>
      </c>
      <c r="K151">
        <f t="shared" si="21"/>
        <v>0.63336878874992331</v>
      </c>
      <c r="L151">
        <f t="shared" si="22"/>
        <v>0.42573181010139594</v>
      </c>
      <c r="P151">
        <f t="shared" si="23"/>
        <v>1</v>
      </c>
    </row>
    <row r="152" spans="1:16" x14ac:dyDescent="0.25">
      <c r="A152" s="1"/>
      <c r="B152" t="s">
        <v>166</v>
      </c>
      <c r="C152" t="s">
        <v>24</v>
      </c>
      <c r="D152" s="3">
        <v>5.958333333333333</v>
      </c>
      <c r="E152" s="5">
        <f t="shared" si="16"/>
        <v>1792</v>
      </c>
      <c r="F152">
        <v>2.1839900000000001</v>
      </c>
      <c r="G152">
        <f t="shared" si="17"/>
        <v>-1.3871000000000002</v>
      </c>
      <c r="H152">
        <f t="shared" si="18"/>
        <v>-1.3871000000000002</v>
      </c>
      <c r="I152" s="5">
        <f t="shared" si="19"/>
        <v>1792</v>
      </c>
      <c r="J152">
        <f t="shared" si="20"/>
        <v>0.56362375189592306</v>
      </c>
      <c r="K152">
        <f t="shared" si="21"/>
        <v>-0.4449381774177803</v>
      </c>
      <c r="L152">
        <f t="shared" si="22"/>
        <v>1.0085619293137034</v>
      </c>
      <c r="P152">
        <f t="shared" si="23"/>
        <v>0</v>
      </c>
    </row>
    <row r="153" spans="1:16" x14ac:dyDescent="0.25">
      <c r="A153" s="1"/>
      <c r="B153" t="s">
        <v>167</v>
      </c>
      <c r="C153" t="s">
        <v>24</v>
      </c>
      <c r="D153" s="3">
        <v>6</v>
      </c>
      <c r="E153" s="5">
        <f t="shared" si="16"/>
        <v>1793</v>
      </c>
      <c r="F153">
        <v>1.6748000000000001</v>
      </c>
      <c r="G153">
        <f t="shared" si="17"/>
        <v>-0.90332000000000012</v>
      </c>
      <c r="H153">
        <f t="shared" si="18"/>
        <v>-0.90332000000000012</v>
      </c>
      <c r="I153" s="5">
        <f t="shared" si="19"/>
        <v>1793</v>
      </c>
      <c r="J153">
        <f t="shared" si="20"/>
        <v>1.6155844529516799</v>
      </c>
      <c r="K153">
        <f t="shared" si="21"/>
        <v>4.1620463453434495E-2</v>
      </c>
      <c r="L153">
        <f t="shared" si="22"/>
        <v>1.5739639894982453</v>
      </c>
      <c r="P153">
        <f t="shared" si="23"/>
        <v>1</v>
      </c>
    </row>
    <row r="154" spans="1:16" x14ac:dyDescent="0.25">
      <c r="A154" s="1"/>
      <c r="B154" t="s">
        <v>168</v>
      </c>
      <c r="C154" t="s">
        <v>24</v>
      </c>
      <c r="D154" s="3">
        <v>6.041666666666667</v>
      </c>
      <c r="E154" s="5">
        <f t="shared" si="16"/>
        <v>1794</v>
      </c>
      <c r="F154">
        <v>0.26229000000000002</v>
      </c>
      <c r="G154">
        <f t="shared" si="17"/>
        <v>1.7649700000000001</v>
      </c>
      <c r="H154">
        <f t="shared" si="18"/>
        <v>1.7649700000000001</v>
      </c>
      <c r="I154" s="5">
        <f t="shared" si="19"/>
        <v>1794</v>
      </c>
      <c r="J154">
        <f t="shared" si="20"/>
        <v>2.1130715229825445</v>
      </c>
      <c r="K154">
        <f t="shared" si="21"/>
        <v>0.41087116806968998</v>
      </c>
      <c r="L154">
        <f t="shared" si="22"/>
        <v>1.7022003549128546</v>
      </c>
      <c r="P154">
        <f t="shared" si="23"/>
        <v>1</v>
      </c>
    </row>
    <row r="155" spans="1:16" x14ac:dyDescent="0.25">
      <c r="A155" s="1"/>
      <c r="B155" t="s">
        <v>169</v>
      </c>
      <c r="C155" t="s">
        <v>24</v>
      </c>
      <c r="D155" s="3">
        <v>6.083333333333333</v>
      </c>
      <c r="E155" s="5">
        <f t="shared" si="16"/>
        <v>1795</v>
      </c>
      <c r="F155">
        <v>0.61475000000000002</v>
      </c>
      <c r="G155">
        <f t="shared" si="17"/>
        <v>-0.77715000000000001</v>
      </c>
      <c r="H155">
        <f t="shared" si="18"/>
        <v>-0.77715000000000001</v>
      </c>
      <c r="I155" s="5">
        <f t="shared" si="19"/>
        <v>1795</v>
      </c>
      <c r="J155">
        <f t="shared" si="20"/>
        <v>-0.15471497395300612</v>
      </c>
      <c r="K155">
        <f t="shared" si="21"/>
        <v>-0.6780680993265128</v>
      </c>
      <c r="L155">
        <f t="shared" si="22"/>
        <v>0.52335312537350664</v>
      </c>
      <c r="P155">
        <f t="shared" si="23"/>
        <v>1</v>
      </c>
    </row>
    <row r="156" spans="1:16" x14ac:dyDescent="0.25">
      <c r="A156" s="1"/>
      <c r="B156" t="s">
        <v>170</v>
      </c>
      <c r="C156" t="s">
        <v>24</v>
      </c>
      <c r="D156" s="3">
        <v>6.125</v>
      </c>
      <c r="E156" s="5">
        <f t="shared" si="16"/>
        <v>1796</v>
      </c>
      <c r="F156">
        <v>0.19006000000000001</v>
      </c>
      <c r="G156">
        <f t="shared" si="17"/>
        <v>-0.57364000000000004</v>
      </c>
      <c r="H156">
        <f t="shared" si="18"/>
        <v>-0.57364000000000004</v>
      </c>
      <c r="I156" s="5">
        <f t="shared" si="19"/>
        <v>1796</v>
      </c>
      <c r="J156">
        <f t="shared" si="20"/>
        <v>-0.27461587677911031</v>
      </c>
      <c r="K156">
        <f t="shared" si="21"/>
        <v>0.5998372509276898</v>
      </c>
      <c r="L156">
        <f t="shared" si="22"/>
        <v>0.87445312770680017</v>
      </c>
      <c r="P156">
        <f t="shared" si="23"/>
        <v>0</v>
      </c>
    </row>
    <row r="157" spans="1:16" x14ac:dyDescent="0.25">
      <c r="A157" s="1"/>
      <c r="B157" t="s">
        <v>171</v>
      </c>
      <c r="C157" t="s">
        <v>24</v>
      </c>
      <c r="D157" s="3">
        <v>6.166666666666667</v>
      </c>
      <c r="E157" s="5">
        <f t="shared" si="16"/>
        <v>1797</v>
      </c>
      <c r="F157">
        <v>-0.80827000000000004</v>
      </c>
      <c r="G157">
        <f t="shared" si="17"/>
        <v>0.9987100000000001</v>
      </c>
      <c r="H157">
        <f t="shared" si="18"/>
        <v>0.9987100000000001</v>
      </c>
      <c r="I157" s="5">
        <f t="shared" si="19"/>
        <v>1797</v>
      </c>
      <c r="J157">
        <f t="shared" si="20"/>
        <v>7.5114462899300627E-2</v>
      </c>
      <c r="K157">
        <f t="shared" si="21"/>
        <v>-0.20841919471746326</v>
      </c>
      <c r="L157">
        <f t="shared" si="22"/>
        <v>0.28353365761676386</v>
      </c>
      <c r="P157">
        <f t="shared" si="23"/>
        <v>0</v>
      </c>
    </row>
    <row r="158" spans="1:16" x14ac:dyDescent="0.25">
      <c r="A158" s="1"/>
      <c r="B158" t="s">
        <v>172</v>
      </c>
      <c r="C158" t="s">
        <v>24</v>
      </c>
      <c r="D158" s="3">
        <v>6.208333333333333</v>
      </c>
      <c r="E158" s="5">
        <f t="shared" si="16"/>
        <v>1798</v>
      </c>
      <c r="F158">
        <v>-0.80789</v>
      </c>
      <c r="G158">
        <f t="shared" si="17"/>
        <v>1.6793199999999999</v>
      </c>
      <c r="H158">
        <f t="shared" si="18"/>
        <v>1.6793199999999999</v>
      </c>
      <c r="I158" s="5">
        <f t="shared" si="19"/>
        <v>1798</v>
      </c>
      <c r="J158">
        <f t="shared" si="20"/>
        <v>0.71890296378907115</v>
      </c>
      <c r="K158">
        <f t="shared" si="21"/>
        <v>-0.27777210335476898</v>
      </c>
      <c r="L158">
        <f t="shared" si="22"/>
        <v>0.99667506714384013</v>
      </c>
      <c r="P158">
        <f t="shared" si="23"/>
        <v>0</v>
      </c>
    </row>
    <row r="159" spans="1:16" x14ac:dyDescent="0.25">
      <c r="A159" s="1"/>
      <c r="B159" t="s">
        <v>173</v>
      </c>
      <c r="C159" t="s">
        <v>24</v>
      </c>
      <c r="D159" s="3">
        <v>6.25</v>
      </c>
      <c r="E159" s="5">
        <f t="shared" si="16"/>
        <v>1799</v>
      </c>
      <c r="F159">
        <v>0.87180999999999997</v>
      </c>
      <c r="G159">
        <f t="shared" si="17"/>
        <v>-1.5446</v>
      </c>
      <c r="H159">
        <f t="shared" si="18"/>
        <v>-1.5446</v>
      </c>
      <c r="I159" s="5">
        <f t="shared" si="19"/>
        <v>1799</v>
      </c>
      <c r="J159">
        <f t="shared" si="20"/>
        <v>-0.23801800975178211</v>
      </c>
      <c r="K159">
        <f t="shared" si="21"/>
        <v>0.59505342471847378</v>
      </c>
      <c r="L159">
        <f t="shared" si="22"/>
        <v>0.83307143447025589</v>
      </c>
      <c r="P159">
        <f t="shared" si="23"/>
        <v>0</v>
      </c>
    </row>
    <row r="160" spans="1:16" x14ac:dyDescent="0.25">
      <c r="A160" s="1"/>
      <c r="B160" t="s">
        <v>174</v>
      </c>
      <c r="C160" t="s">
        <v>24</v>
      </c>
      <c r="D160" s="3">
        <v>6.291666666666667</v>
      </c>
      <c r="E160" s="5">
        <f t="shared" si="16"/>
        <v>1800</v>
      </c>
      <c r="F160">
        <v>1.00691</v>
      </c>
      <c r="G160">
        <f t="shared" si="17"/>
        <v>-2.2700099999999996</v>
      </c>
      <c r="H160">
        <f t="shared" si="18"/>
        <v>-2.2700099999999996</v>
      </c>
      <c r="I160" s="5">
        <f t="shared" si="19"/>
        <v>1800</v>
      </c>
      <c r="J160">
        <f t="shared" si="20"/>
        <v>-1.1620226030860861</v>
      </c>
      <c r="K160">
        <f t="shared" si="21"/>
        <v>-0.60421444897232091</v>
      </c>
      <c r="L160">
        <f t="shared" si="22"/>
        <v>0.55780815411376516</v>
      </c>
      <c r="P160">
        <f t="shared" si="23"/>
        <v>1</v>
      </c>
    </row>
    <row r="161" spans="1:16" x14ac:dyDescent="0.25">
      <c r="A161" s="1"/>
      <c r="B161" t="s">
        <v>175</v>
      </c>
      <c r="C161" t="s">
        <v>24</v>
      </c>
      <c r="D161" s="3">
        <v>6.333333333333333</v>
      </c>
      <c r="E161" s="5">
        <f t="shared" si="16"/>
        <v>1801</v>
      </c>
      <c r="F161">
        <v>-1.1279999999999999</v>
      </c>
      <c r="G161">
        <f t="shared" si="17"/>
        <v>2.4182199999999994</v>
      </c>
      <c r="H161">
        <f t="shared" si="18"/>
        <v>2.4182199999999994</v>
      </c>
      <c r="I161" s="5">
        <f t="shared" si="19"/>
        <v>1801</v>
      </c>
      <c r="J161">
        <f t="shared" si="20"/>
        <v>0.95768943597133893</v>
      </c>
      <c r="K161">
        <f t="shared" si="21"/>
        <v>0.35865419139227839</v>
      </c>
      <c r="L161">
        <f t="shared" si="22"/>
        <v>0.59903524457906054</v>
      </c>
      <c r="P161">
        <f t="shared" si="23"/>
        <v>1</v>
      </c>
    </row>
    <row r="162" spans="1:16" x14ac:dyDescent="0.25">
      <c r="A162" s="1"/>
      <c r="B162" t="s">
        <v>176</v>
      </c>
      <c r="C162" t="s">
        <v>24</v>
      </c>
      <c r="D162" s="3">
        <v>6.375</v>
      </c>
      <c r="E162" s="5">
        <f t="shared" si="16"/>
        <v>1802</v>
      </c>
      <c r="F162">
        <v>-0.84469000000000005</v>
      </c>
      <c r="G162">
        <f t="shared" si="17"/>
        <v>0.33026000000000022</v>
      </c>
      <c r="H162">
        <f t="shared" si="18"/>
        <v>0.33026000000000022</v>
      </c>
      <c r="I162" s="5">
        <f t="shared" si="19"/>
        <v>1802</v>
      </c>
      <c r="J162">
        <f t="shared" si="20"/>
        <v>-0.85050873564653484</v>
      </c>
      <c r="K162">
        <f t="shared" si="21"/>
        <v>-3.3770714113721761E-2</v>
      </c>
      <c r="L162">
        <f t="shared" si="22"/>
        <v>0.81673802153281305</v>
      </c>
      <c r="P162">
        <f t="shared" si="23"/>
        <v>1</v>
      </c>
    </row>
    <row r="163" spans="1:16" x14ac:dyDescent="0.25">
      <c r="A163" s="1"/>
      <c r="B163" t="s">
        <v>177</v>
      </c>
      <c r="C163" t="s">
        <v>24</v>
      </c>
      <c r="D163" s="3">
        <v>6.416666666666667</v>
      </c>
      <c r="E163" s="5">
        <f t="shared" si="16"/>
        <v>1803</v>
      </c>
      <c r="F163">
        <v>-0.23111999999999999</v>
      </c>
      <c r="G163">
        <f t="shared" si="17"/>
        <v>0.74812999999999985</v>
      </c>
      <c r="H163">
        <f t="shared" si="18"/>
        <v>0.74812999999999985</v>
      </c>
      <c r="I163" s="5">
        <f t="shared" si="19"/>
        <v>1803</v>
      </c>
      <c r="J163">
        <f t="shared" si="20"/>
        <v>0.47861694983975106</v>
      </c>
      <c r="K163">
        <f t="shared" si="21"/>
        <v>-0.20799063919934196</v>
      </c>
      <c r="L163">
        <f t="shared" si="22"/>
        <v>0.68660758903909302</v>
      </c>
      <c r="P163">
        <f t="shared" si="23"/>
        <v>0</v>
      </c>
    </row>
    <row r="164" spans="1:16" x14ac:dyDescent="0.25">
      <c r="A164" s="1"/>
      <c r="B164" t="s">
        <v>178</v>
      </c>
      <c r="C164" t="s">
        <v>24</v>
      </c>
      <c r="D164" s="3">
        <v>6.458333333333333</v>
      </c>
      <c r="E164" s="5">
        <f t="shared" si="16"/>
        <v>1804</v>
      </c>
      <c r="F164">
        <v>1.1305799999999999</v>
      </c>
      <c r="G164">
        <f t="shared" si="17"/>
        <v>-3.59389</v>
      </c>
      <c r="H164">
        <f t="shared" si="18"/>
        <v>-3.59389</v>
      </c>
      <c r="I164" s="5">
        <f t="shared" si="19"/>
        <v>1804</v>
      </c>
      <c r="J164">
        <f t="shared" si="20"/>
        <v>-2.1948646698879664</v>
      </c>
      <c r="K164">
        <f t="shared" si="21"/>
        <v>0.31167240128477269</v>
      </c>
      <c r="L164">
        <f t="shared" si="22"/>
        <v>2.5065370711727391</v>
      </c>
      <c r="P164">
        <f t="shared" si="23"/>
        <v>0</v>
      </c>
    </row>
    <row r="165" spans="1:16" x14ac:dyDescent="0.25">
      <c r="A165" s="1"/>
      <c r="B165" t="s">
        <v>179</v>
      </c>
      <c r="C165" t="s">
        <v>24</v>
      </c>
      <c r="D165" s="3">
        <v>6.5</v>
      </c>
      <c r="E165" s="5">
        <f t="shared" si="16"/>
        <v>1805</v>
      </c>
      <c r="F165">
        <v>-1.10161</v>
      </c>
      <c r="G165">
        <f t="shared" si="17"/>
        <v>2.3978600000000001</v>
      </c>
      <c r="H165">
        <f t="shared" si="18"/>
        <v>2.3978600000000001</v>
      </c>
      <c r="I165" s="5">
        <f t="shared" si="19"/>
        <v>1805</v>
      </c>
      <c r="J165">
        <f t="shared" si="20"/>
        <v>0.74636229642092045</v>
      </c>
      <c r="K165">
        <f t="shared" si="21"/>
        <v>-0.33156525839538681</v>
      </c>
      <c r="L165">
        <f t="shared" si="22"/>
        <v>1.0779275548163072</v>
      </c>
      <c r="P165">
        <f t="shared" si="23"/>
        <v>0</v>
      </c>
    </row>
    <row r="166" spans="1:16" x14ac:dyDescent="0.25">
      <c r="A166" s="1"/>
      <c r="B166" t="s">
        <v>180</v>
      </c>
      <c r="C166" t="s">
        <v>24</v>
      </c>
      <c r="D166" s="3">
        <v>6.541666666666667</v>
      </c>
      <c r="E166" s="5">
        <f t="shared" si="16"/>
        <v>1806</v>
      </c>
      <c r="F166">
        <v>-0.93593999999999999</v>
      </c>
      <c r="G166">
        <f t="shared" si="17"/>
        <v>1.1355599999999999</v>
      </c>
      <c r="H166">
        <f t="shared" si="18"/>
        <v>1.1355599999999999</v>
      </c>
      <c r="I166" s="5">
        <f t="shared" si="19"/>
        <v>1806</v>
      </c>
      <c r="J166">
        <f t="shared" si="20"/>
        <v>0.200939025682422</v>
      </c>
      <c r="K166">
        <f t="shared" si="21"/>
        <v>0.36052675465961881</v>
      </c>
      <c r="L166">
        <f t="shared" si="22"/>
        <v>0.15958772897719681</v>
      </c>
      <c r="P166">
        <f t="shared" si="23"/>
        <v>1</v>
      </c>
    </row>
    <row r="167" spans="1:16" x14ac:dyDescent="0.25">
      <c r="A167" s="1"/>
      <c r="B167" t="s">
        <v>181</v>
      </c>
      <c r="C167" t="s">
        <v>24</v>
      </c>
      <c r="D167" s="3">
        <v>6.583333333333333</v>
      </c>
      <c r="E167" s="5">
        <f t="shared" si="16"/>
        <v>1807</v>
      </c>
      <c r="F167">
        <v>0.36529</v>
      </c>
      <c r="G167">
        <f t="shared" si="17"/>
        <v>-2.5386899999999999</v>
      </c>
      <c r="H167">
        <f t="shared" si="18"/>
        <v>-2.5386899999999999</v>
      </c>
      <c r="I167" s="5">
        <f t="shared" si="19"/>
        <v>1807</v>
      </c>
      <c r="J167">
        <f t="shared" si="20"/>
        <v>-2.0172085153965935</v>
      </c>
      <c r="K167">
        <f t="shared" si="21"/>
        <v>-0.44828606104846969</v>
      </c>
      <c r="L167">
        <f t="shared" si="22"/>
        <v>1.5689224543481237</v>
      </c>
      <c r="P167">
        <f t="shared" si="23"/>
        <v>1</v>
      </c>
    </row>
    <row r="168" spans="1:16" x14ac:dyDescent="0.25">
      <c r="A168" s="1"/>
      <c r="B168" t="s">
        <v>182</v>
      </c>
      <c r="C168" t="s">
        <v>24</v>
      </c>
      <c r="D168" s="3">
        <v>6.625</v>
      </c>
      <c r="E168" s="5">
        <f t="shared" si="16"/>
        <v>1808</v>
      </c>
      <c r="F168">
        <v>-0.87217</v>
      </c>
      <c r="G168">
        <f t="shared" si="17"/>
        <v>1.8944000000000001</v>
      </c>
      <c r="H168">
        <f t="shared" si="18"/>
        <v>1.8944000000000001</v>
      </c>
      <c r="I168" s="5">
        <f t="shared" si="19"/>
        <v>1808</v>
      </c>
      <c r="J168">
        <f t="shared" si="20"/>
        <v>0.6900404767677375</v>
      </c>
      <c r="K168">
        <f t="shared" si="21"/>
        <v>0.5652022696309118</v>
      </c>
      <c r="L168">
        <f t="shared" si="22"/>
        <v>0.1248382071368257</v>
      </c>
      <c r="P168">
        <f t="shared" si="23"/>
        <v>1</v>
      </c>
    </row>
    <row r="169" spans="1:16" x14ac:dyDescent="0.25">
      <c r="A169" s="1"/>
      <c r="B169" t="s">
        <v>183</v>
      </c>
      <c r="C169" t="s">
        <v>24</v>
      </c>
      <c r="D169" s="3">
        <v>6.666666666666667</v>
      </c>
      <c r="E169" s="5">
        <f t="shared" si="16"/>
        <v>1809</v>
      </c>
      <c r="F169">
        <v>-0.21523</v>
      </c>
      <c r="G169">
        <f t="shared" si="17"/>
        <v>-0.44238</v>
      </c>
      <c r="H169">
        <f t="shared" si="18"/>
        <v>-0.44238</v>
      </c>
      <c r="I169" s="5">
        <f t="shared" si="19"/>
        <v>1809</v>
      </c>
      <c r="J169">
        <f t="shared" si="20"/>
        <v>-0.64865713900757238</v>
      </c>
      <c r="K169">
        <f t="shared" si="21"/>
        <v>-0.62985956953640887</v>
      </c>
      <c r="L169">
        <f t="shared" si="22"/>
        <v>1.8797569471163511E-2</v>
      </c>
      <c r="P169">
        <f t="shared" si="23"/>
        <v>1</v>
      </c>
    </row>
    <row r="170" spans="1:16" x14ac:dyDescent="0.25">
      <c r="A170" s="1"/>
      <c r="B170" t="s">
        <v>184</v>
      </c>
      <c r="C170" t="s">
        <v>24</v>
      </c>
      <c r="D170" s="3">
        <v>6.708333333333333</v>
      </c>
      <c r="E170" s="5">
        <f t="shared" si="16"/>
        <v>1810</v>
      </c>
      <c r="F170">
        <v>-6.7000000000000002E-4</v>
      </c>
      <c r="G170">
        <f t="shared" si="17"/>
        <v>-0.71382000000000001</v>
      </c>
      <c r="H170">
        <f t="shared" si="18"/>
        <v>-0.71382000000000001</v>
      </c>
      <c r="I170" s="5">
        <f t="shared" si="19"/>
        <v>1810</v>
      </c>
      <c r="J170">
        <f t="shared" si="20"/>
        <v>-0.71492182774972257</v>
      </c>
      <c r="K170">
        <f t="shared" si="21"/>
        <v>0.57426077248185114</v>
      </c>
      <c r="L170">
        <f t="shared" si="22"/>
        <v>1.2891826002315736</v>
      </c>
      <c r="P170">
        <f t="shared" si="23"/>
        <v>0</v>
      </c>
    </row>
    <row r="171" spans="1:16" x14ac:dyDescent="0.25">
      <c r="A171" s="1"/>
      <c r="B171" t="s">
        <v>185</v>
      </c>
      <c r="C171" t="s">
        <v>24</v>
      </c>
      <c r="D171" s="3">
        <v>6.75</v>
      </c>
      <c r="E171" s="5">
        <f t="shared" si="16"/>
        <v>1811</v>
      </c>
      <c r="F171">
        <v>-0.49992999999999999</v>
      </c>
      <c r="G171">
        <f t="shared" si="17"/>
        <v>0.46398</v>
      </c>
      <c r="H171">
        <f t="shared" si="18"/>
        <v>0.46398</v>
      </c>
      <c r="I171" s="5">
        <f t="shared" si="19"/>
        <v>1811</v>
      </c>
      <c r="J171">
        <f t="shared" si="20"/>
        <v>-6.3141165370738134E-2</v>
      </c>
      <c r="K171">
        <f t="shared" si="21"/>
        <v>-0.39681781815649331</v>
      </c>
      <c r="L171">
        <f t="shared" si="22"/>
        <v>0.3336766527857552</v>
      </c>
      <c r="P171">
        <f t="shared" si="23"/>
        <v>1</v>
      </c>
    </row>
    <row r="172" spans="1:16" x14ac:dyDescent="0.25">
      <c r="A172" s="1"/>
      <c r="B172" t="s">
        <v>186</v>
      </c>
      <c r="C172" t="s">
        <v>24</v>
      </c>
      <c r="D172" s="3">
        <v>6.791666666666667</v>
      </c>
      <c r="E172" s="5">
        <f t="shared" si="16"/>
        <v>1812</v>
      </c>
      <c r="F172">
        <v>-0.53520999999999996</v>
      </c>
      <c r="G172">
        <f t="shared" si="17"/>
        <v>-0.15298</v>
      </c>
      <c r="H172">
        <f t="shared" si="18"/>
        <v>-0.15298</v>
      </c>
      <c r="I172" s="5">
        <f t="shared" si="19"/>
        <v>1812</v>
      </c>
      <c r="J172">
        <f t="shared" si="20"/>
        <v>-0.83938845091695558</v>
      </c>
      <c r="K172">
        <f t="shared" si="21"/>
        <v>0.16487290522294501</v>
      </c>
      <c r="L172">
        <f t="shared" si="22"/>
        <v>1.0042613561399005</v>
      </c>
      <c r="P172">
        <f t="shared" si="23"/>
        <v>0</v>
      </c>
    </row>
    <row r="173" spans="1:16" x14ac:dyDescent="0.25">
      <c r="A173" s="1"/>
      <c r="B173" t="s">
        <v>187</v>
      </c>
      <c r="C173" t="s">
        <v>24</v>
      </c>
      <c r="D173" s="3">
        <v>6.833333333333333</v>
      </c>
      <c r="E173" s="5">
        <f t="shared" si="16"/>
        <v>1813</v>
      </c>
      <c r="F173">
        <v>-0.72346999999999995</v>
      </c>
      <c r="G173">
        <f t="shared" si="17"/>
        <v>1.4404699999999999</v>
      </c>
      <c r="H173">
        <f t="shared" si="18"/>
        <v>1.4404699999999999</v>
      </c>
      <c r="I173" s="5">
        <f t="shared" si="19"/>
        <v>1813</v>
      </c>
      <c r="J173">
        <f t="shared" si="20"/>
        <v>0.42131551067716599</v>
      </c>
      <c r="K173">
        <f t="shared" si="21"/>
        <v>3.3630913971361573E-2</v>
      </c>
      <c r="L173">
        <f t="shared" si="22"/>
        <v>0.38768459670580441</v>
      </c>
      <c r="P173">
        <f t="shared" si="23"/>
        <v>1</v>
      </c>
    </row>
    <row r="174" spans="1:16" x14ac:dyDescent="0.25">
      <c r="A174" s="1"/>
      <c r="B174" t="s">
        <v>188</v>
      </c>
      <c r="C174" t="s">
        <v>24</v>
      </c>
      <c r="D174" s="3">
        <v>6.875</v>
      </c>
      <c r="E174" s="5">
        <f t="shared" si="16"/>
        <v>1814</v>
      </c>
      <c r="F174">
        <v>0.52873999999999999</v>
      </c>
      <c r="G174">
        <f t="shared" si="17"/>
        <v>-0.60739999999999972</v>
      </c>
      <c r="H174">
        <f t="shared" si="18"/>
        <v>-0.60739999999999972</v>
      </c>
      <c r="I174" s="5">
        <f t="shared" si="19"/>
        <v>1814</v>
      </c>
      <c r="J174">
        <f t="shared" si="20"/>
        <v>2.3122451006126518E-2</v>
      </c>
      <c r="K174">
        <f t="shared" si="21"/>
        <v>-0.15201169852832247</v>
      </c>
      <c r="L174">
        <f t="shared" si="22"/>
        <v>0.175134149534449</v>
      </c>
      <c r="P174">
        <f t="shared" si="23"/>
        <v>0</v>
      </c>
    </row>
    <row r="175" spans="1:16" x14ac:dyDescent="0.25">
      <c r="A175" s="1"/>
      <c r="B175" t="s">
        <v>189</v>
      </c>
      <c r="C175" t="s">
        <v>24</v>
      </c>
      <c r="D175" s="3">
        <v>6.916666666666667</v>
      </c>
      <c r="E175" s="5">
        <f t="shared" si="16"/>
        <v>1815</v>
      </c>
      <c r="F175">
        <v>1.1735500000000001</v>
      </c>
      <c r="G175">
        <f t="shared" si="17"/>
        <v>-0.10818000000000016</v>
      </c>
      <c r="H175">
        <f t="shared" si="18"/>
        <v>-0.10818000000000016</v>
      </c>
      <c r="I175" s="5">
        <f t="shared" si="19"/>
        <v>1815</v>
      </c>
      <c r="J175">
        <f t="shared" si="20"/>
        <v>1.2782530223581263</v>
      </c>
      <c r="K175">
        <f t="shared" si="21"/>
        <v>0.21213584484734724</v>
      </c>
      <c r="L175">
        <f t="shared" si="22"/>
        <v>1.0661171775107792</v>
      </c>
      <c r="P175">
        <f t="shared" si="23"/>
        <v>1</v>
      </c>
    </row>
    <row r="176" spans="1:16" x14ac:dyDescent="0.25">
      <c r="A176" s="1"/>
      <c r="B176" t="s">
        <v>190</v>
      </c>
      <c r="C176" t="s">
        <v>24</v>
      </c>
      <c r="D176" s="3">
        <v>6.958333333333333</v>
      </c>
      <c r="E176" s="5">
        <f t="shared" si="16"/>
        <v>1816</v>
      </c>
      <c r="F176">
        <v>1.71018</v>
      </c>
      <c r="G176">
        <f t="shared" si="17"/>
        <v>-1.95078</v>
      </c>
      <c r="H176">
        <f t="shared" si="18"/>
        <v>-1.95078</v>
      </c>
      <c r="I176" s="5">
        <f t="shared" si="19"/>
        <v>1816</v>
      </c>
      <c r="J176">
        <f t="shared" si="20"/>
        <v>0.69155979520411515</v>
      </c>
      <c r="K176">
        <f t="shared" si="21"/>
        <v>-0.27384176189276727</v>
      </c>
      <c r="L176">
        <f t="shared" si="22"/>
        <v>0.96540155709688236</v>
      </c>
      <c r="P176">
        <f t="shared" si="23"/>
        <v>0</v>
      </c>
    </row>
    <row r="177" spans="1:16" x14ac:dyDescent="0.25">
      <c r="A177" s="1"/>
      <c r="B177" t="s">
        <v>191</v>
      </c>
      <c r="C177" t="s">
        <v>24</v>
      </c>
      <c r="D177" s="3">
        <v>7</v>
      </c>
      <c r="E177" s="5">
        <f t="shared" si="16"/>
        <v>1817</v>
      </c>
      <c r="F177">
        <v>0.29603000000000002</v>
      </c>
      <c r="G177">
        <f t="shared" si="17"/>
        <v>-8.0999999999999961E-3</v>
      </c>
      <c r="H177">
        <f t="shared" si="18"/>
        <v>-8.0999999999999961E-3</v>
      </c>
      <c r="I177" s="5">
        <f t="shared" si="19"/>
        <v>1817</v>
      </c>
      <c r="J177">
        <f t="shared" si="20"/>
        <v>0.28919087689547351</v>
      </c>
      <c r="K177">
        <f t="shared" si="21"/>
        <v>0.36798003150988989</v>
      </c>
      <c r="L177">
        <f t="shared" si="22"/>
        <v>7.8789154614416379E-2</v>
      </c>
      <c r="P177">
        <f t="shared" si="23"/>
        <v>1</v>
      </c>
    </row>
    <row r="178" spans="1:16" x14ac:dyDescent="0.25">
      <c r="A178" s="1"/>
      <c r="B178" t="s">
        <v>192</v>
      </c>
      <c r="C178" t="s">
        <v>24</v>
      </c>
      <c r="D178" s="3">
        <v>7.041666666666667</v>
      </c>
      <c r="E178" s="5">
        <f t="shared" si="16"/>
        <v>1818</v>
      </c>
      <c r="F178">
        <v>-1.12622</v>
      </c>
      <c r="G178">
        <f t="shared" si="17"/>
        <v>1.1086400000000001</v>
      </c>
      <c r="H178">
        <f t="shared" si="18"/>
        <v>1.1086400000000001</v>
      </c>
      <c r="I178" s="5">
        <f t="shared" si="19"/>
        <v>1818</v>
      </c>
      <c r="J178">
        <f t="shared" si="20"/>
        <v>-0.42117117510983926</v>
      </c>
      <c r="K178">
        <f t="shared" si="21"/>
        <v>-0.44827473445147009</v>
      </c>
      <c r="L178">
        <f t="shared" si="22"/>
        <v>2.7103559341630834E-2</v>
      </c>
      <c r="P178">
        <f t="shared" si="23"/>
        <v>1</v>
      </c>
    </row>
    <row r="179" spans="1:16" x14ac:dyDescent="0.25">
      <c r="A179" s="1"/>
      <c r="B179" t="s">
        <v>193</v>
      </c>
      <c r="C179" t="s">
        <v>24</v>
      </c>
      <c r="D179" s="3">
        <v>7.083333333333333</v>
      </c>
      <c r="E179" s="5">
        <f t="shared" si="16"/>
        <v>1819</v>
      </c>
      <c r="F179">
        <v>-1.4398299999999999</v>
      </c>
      <c r="G179">
        <f t="shared" si="17"/>
        <v>-0.21862000000000004</v>
      </c>
      <c r="H179">
        <f t="shared" si="18"/>
        <v>-0.21862000000000004</v>
      </c>
      <c r="I179" s="5">
        <f t="shared" si="19"/>
        <v>1819</v>
      </c>
      <c r="J179">
        <f t="shared" si="20"/>
        <v>-2.3520751611818818</v>
      </c>
      <c r="K179">
        <f t="shared" si="21"/>
        <v>0.41174901427830785</v>
      </c>
      <c r="L179">
        <f t="shared" si="22"/>
        <v>2.7638241754601895</v>
      </c>
      <c r="P179">
        <f t="shared" si="23"/>
        <v>0</v>
      </c>
    </row>
    <row r="180" spans="1:16" x14ac:dyDescent="0.25">
      <c r="A180" s="1"/>
      <c r="B180" t="s">
        <v>194</v>
      </c>
      <c r="C180" t="s">
        <v>24</v>
      </c>
      <c r="D180" s="3">
        <v>7.125</v>
      </c>
      <c r="E180" s="5">
        <f t="shared" si="16"/>
        <v>1820</v>
      </c>
      <c r="F180">
        <v>-1.9720599999999999</v>
      </c>
      <c r="G180">
        <f t="shared" si="17"/>
        <v>2.8971200000000001</v>
      </c>
      <c r="H180">
        <f t="shared" si="18"/>
        <v>2.8971200000000001</v>
      </c>
      <c r="I180" s="5">
        <f t="shared" si="19"/>
        <v>1820</v>
      </c>
      <c r="J180">
        <f t="shared" si="20"/>
        <v>1.1400500755442295</v>
      </c>
      <c r="K180">
        <f t="shared" si="21"/>
        <v>-0.18693219376628001</v>
      </c>
      <c r="L180">
        <f t="shared" si="22"/>
        <v>1.3269822693105096</v>
      </c>
      <c r="P180">
        <f t="shared" si="23"/>
        <v>0</v>
      </c>
    </row>
    <row r="181" spans="1:16" x14ac:dyDescent="0.25">
      <c r="A181" s="1"/>
      <c r="B181" t="s">
        <v>195</v>
      </c>
      <c r="C181" t="s">
        <v>24</v>
      </c>
      <c r="D181" s="3">
        <v>7.166666666666667</v>
      </c>
      <c r="E181" s="5">
        <f t="shared" si="16"/>
        <v>1821</v>
      </c>
      <c r="F181">
        <v>0.39283000000000001</v>
      </c>
      <c r="G181">
        <f t="shared" si="17"/>
        <v>-3.3246099999999998</v>
      </c>
      <c r="H181">
        <f t="shared" si="18"/>
        <v>-3.3246099999999998</v>
      </c>
      <c r="I181" s="5">
        <f t="shared" si="19"/>
        <v>1821</v>
      </c>
      <c r="J181">
        <f t="shared" si="20"/>
        <v>-2.6910005041508787</v>
      </c>
      <c r="K181">
        <f t="shared" si="21"/>
        <v>-0.17621108709705033</v>
      </c>
      <c r="L181">
        <f t="shared" si="22"/>
        <v>2.5147894170538283</v>
      </c>
      <c r="P181">
        <f t="shared" si="23"/>
        <v>1</v>
      </c>
    </row>
    <row r="182" spans="1:16" x14ac:dyDescent="0.25">
      <c r="A182" s="1"/>
      <c r="B182" t="s">
        <v>196</v>
      </c>
      <c r="C182" t="s">
        <v>24</v>
      </c>
      <c r="D182" s="3">
        <v>7.208333333333333</v>
      </c>
      <c r="E182" s="5">
        <f t="shared" si="16"/>
        <v>1822</v>
      </c>
      <c r="F182">
        <v>-0.56689000000000001</v>
      </c>
      <c r="G182">
        <f t="shared" si="17"/>
        <v>0.88999000000000006</v>
      </c>
      <c r="H182">
        <f t="shared" si="18"/>
        <v>0.88999000000000006</v>
      </c>
      <c r="I182" s="5">
        <f t="shared" si="19"/>
        <v>1822</v>
      </c>
      <c r="J182">
        <f t="shared" si="20"/>
        <v>0.20252955201036457</v>
      </c>
      <c r="K182">
        <f t="shared" si="21"/>
        <v>0.50175223720865869</v>
      </c>
      <c r="L182">
        <f t="shared" si="22"/>
        <v>0.29922268519829409</v>
      </c>
      <c r="P182">
        <f t="shared" si="23"/>
        <v>1</v>
      </c>
    </row>
    <row r="183" spans="1:16" x14ac:dyDescent="0.25">
      <c r="A183" s="1"/>
      <c r="B183" t="s">
        <v>197</v>
      </c>
      <c r="C183" t="s">
        <v>24</v>
      </c>
      <c r="D183" s="3">
        <v>7.25</v>
      </c>
      <c r="E183" s="5">
        <f t="shared" si="16"/>
        <v>1823</v>
      </c>
      <c r="F183">
        <v>-0.63661999999999996</v>
      </c>
      <c r="G183">
        <f t="shared" si="17"/>
        <v>0.91339999999999988</v>
      </c>
      <c r="H183">
        <f t="shared" si="18"/>
        <v>0.91339999999999988</v>
      </c>
      <c r="I183" s="5">
        <f t="shared" si="19"/>
        <v>1823</v>
      </c>
      <c r="J183">
        <f t="shared" si="20"/>
        <v>0.25921871469614649</v>
      </c>
      <c r="K183">
        <f t="shared" si="21"/>
        <v>-0.59390916718363607</v>
      </c>
      <c r="L183">
        <f t="shared" si="22"/>
        <v>0.8531278818797825</v>
      </c>
      <c r="P183">
        <f t="shared" si="23"/>
        <v>0</v>
      </c>
    </row>
    <row r="184" spans="1:16" x14ac:dyDescent="0.25">
      <c r="A184" s="1"/>
      <c r="B184" t="s">
        <v>198</v>
      </c>
      <c r="C184" t="s">
        <v>24</v>
      </c>
      <c r="D184" s="3">
        <v>7.291666666666667</v>
      </c>
      <c r="E184" s="5">
        <f t="shared" si="16"/>
        <v>1824</v>
      </c>
      <c r="F184">
        <v>0.20705000000000001</v>
      </c>
      <c r="G184">
        <f t="shared" si="17"/>
        <v>-0.43204999999999988</v>
      </c>
      <c r="H184">
        <f t="shared" si="18"/>
        <v>-0.43204999999999988</v>
      </c>
      <c r="I184" s="5">
        <f t="shared" si="19"/>
        <v>1824</v>
      </c>
      <c r="J184">
        <f t="shared" si="20"/>
        <v>-8.2863685637147466E-2</v>
      </c>
      <c r="K184">
        <f t="shared" si="21"/>
        <v>0.37681294294112744</v>
      </c>
      <c r="L184">
        <f t="shared" si="22"/>
        <v>0.4596766285782749</v>
      </c>
      <c r="P184">
        <f t="shared" si="23"/>
        <v>0</v>
      </c>
    </row>
    <row r="185" spans="1:16" x14ac:dyDescent="0.25">
      <c r="A185" s="1"/>
      <c r="B185" t="s">
        <v>199</v>
      </c>
      <c r="C185" t="s">
        <v>24</v>
      </c>
      <c r="D185" s="3">
        <v>7.333333333333333</v>
      </c>
      <c r="E185" s="5">
        <f t="shared" si="16"/>
        <v>1825</v>
      </c>
      <c r="F185">
        <v>0.61867000000000005</v>
      </c>
      <c r="G185">
        <f t="shared" si="17"/>
        <v>-1.02498</v>
      </c>
      <c r="H185">
        <f t="shared" si="18"/>
        <v>-1.02498</v>
      </c>
      <c r="I185" s="5">
        <f t="shared" si="19"/>
        <v>1825</v>
      </c>
      <c r="J185">
        <f t="shared" si="20"/>
        <v>-0.42499589494477147</v>
      </c>
      <c r="K185">
        <f t="shared" si="21"/>
        <v>4.7274431217752447E-2</v>
      </c>
      <c r="L185">
        <f t="shared" si="22"/>
        <v>0.4722703261625239</v>
      </c>
      <c r="P185">
        <f t="shared" si="23"/>
        <v>0</v>
      </c>
    </row>
    <row r="186" spans="1:16" x14ac:dyDescent="0.25">
      <c r="A186" s="1"/>
      <c r="B186" t="s">
        <v>200</v>
      </c>
      <c r="C186" t="s">
        <v>24</v>
      </c>
      <c r="D186" s="3">
        <v>7.375</v>
      </c>
      <c r="E186" s="5">
        <f t="shared" si="16"/>
        <v>1826</v>
      </c>
      <c r="F186">
        <v>5.3099999999999996E-3</v>
      </c>
      <c r="G186">
        <f t="shared" si="17"/>
        <v>1.6189200000000001</v>
      </c>
      <c r="H186">
        <f t="shared" si="18"/>
        <v>1.6189200000000001</v>
      </c>
      <c r="I186" s="5">
        <f t="shared" si="19"/>
        <v>1826</v>
      </c>
      <c r="J186">
        <f t="shared" si="20"/>
        <v>1.6258360398023139</v>
      </c>
      <c r="K186">
        <f t="shared" si="21"/>
        <v>-0.46444279423248774</v>
      </c>
      <c r="L186">
        <f t="shared" si="22"/>
        <v>2.0902788340348017</v>
      </c>
      <c r="P186">
        <f t="shared" si="23"/>
        <v>0</v>
      </c>
    </row>
    <row r="187" spans="1:16" x14ac:dyDescent="0.25">
      <c r="A187" s="1"/>
      <c r="B187" t="s">
        <v>201</v>
      </c>
      <c r="C187" t="s">
        <v>24</v>
      </c>
      <c r="D187" s="3">
        <v>7.416666666666667</v>
      </c>
      <c r="E187" s="5">
        <f t="shared" si="16"/>
        <v>1827</v>
      </c>
      <c r="F187">
        <v>1.0108699999999999</v>
      </c>
      <c r="G187">
        <f t="shared" si="17"/>
        <v>-0.80272999999999994</v>
      </c>
      <c r="H187">
        <f t="shared" si="18"/>
        <v>-0.80272999999999994</v>
      </c>
      <c r="I187" s="5">
        <f t="shared" si="19"/>
        <v>1827</v>
      </c>
      <c r="J187">
        <f t="shared" si="20"/>
        <v>0.74719954403663646</v>
      </c>
      <c r="K187">
        <f t="shared" si="21"/>
        <v>0.67927197486078827</v>
      </c>
      <c r="L187">
        <f t="shared" si="22"/>
        <v>6.792756917584819E-2</v>
      </c>
      <c r="P187">
        <f t="shared" si="23"/>
        <v>1</v>
      </c>
    </row>
    <row r="188" spans="1:16" x14ac:dyDescent="0.25">
      <c r="A188" s="1"/>
      <c r="B188" t="s">
        <v>202</v>
      </c>
      <c r="C188" t="s">
        <v>24</v>
      </c>
      <c r="D188" s="3">
        <v>7.458333333333333</v>
      </c>
      <c r="E188" s="5">
        <f t="shared" si="16"/>
        <v>1828</v>
      </c>
      <c r="F188">
        <v>1.2137</v>
      </c>
      <c r="G188">
        <f t="shared" si="17"/>
        <v>-0.55542000000000002</v>
      </c>
      <c r="H188">
        <f t="shared" si="18"/>
        <v>-0.55542000000000002</v>
      </c>
      <c r="I188" s="5">
        <f t="shared" si="19"/>
        <v>1828</v>
      </c>
      <c r="J188">
        <f t="shared" si="20"/>
        <v>0.56208589735261438</v>
      </c>
      <c r="K188">
        <f t="shared" si="21"/>
        <v>-0.61455630890460744</v>
      </c>
      <c r="L188">
        <f t="shared" si="22"/>
        <v>1.1766422062572217</v>
      </c>
      <c r="P188">
        <f t="shared" si="23"/>
        <v>0</v>
      </c>
    </row>
    <row r="189" spans="1:16" x14ac:dyDescent="0.25">
      <c r="A189" s="1"/>
      <c r="B189" t="s">
        <v>203</v>
      </c>
      <c r="C189" t="s">
        <v>24</v>
      </c>
      <c r="D189" s="3">
        <v>7.5</v>
      </c>
      <c r="E189" s="5">
        <f t="shared" si="16"/>
        <v>1829</v>
      </c>
      <c r="F189">
        <v>0.86111000000000004</v>
      </c>
      <c r="G189">
        <f t="shared" si="17"/>
        <v>-0.45816000000000012</v>
      </c>
      <c r="H189">
        <f t="shared" si="18"/>
        <v>-0.45816000000000012</v>
      </c>
      <c r="I189" s="5">
        <f t="shared" si="19"/>
        <v>1829</v>
      </c>
      <c r="J189">
        <f t="shared" si="20"/>
        <v>0.85088078461529615</v>
      </c>
      <c r="K189">
        <f t="shared" si="21"/>
        <v>0.33135145190449028</v>
      </c>
      <c r="L189">
        <f t="shared" si="22"/>
        <v>0.51952933271080592</v>
      </c>
      <c r="P189">
        <f t="shared" si="23"/>
        <v>1</v>
      </c>
    </row>
    <row r="190" spans="1:16" x14ac:dyDescent="0.25">
      <c r="A190" s="1"/>
      <c r="B190" t="s">
        <v>204</v>
      </c>
      <c r="C190" t="s">
        <v>24</v>
      </c>
      <c r="D190" s="3">
        <v>7.541666666666667</v>
      </c>
      <c r="E190" s="5">
        <f t="shared" si="16"/>
        <v>1830</v>
      </c>
      <c r="F190">
        <v>5.0360000000000002E-2</v>
      </c>
      <c r="G190">
        <f t="shared" si="17"/>
        <v>0.28301000000000009</v>
      </c>
      <c r="H190">
        <f t="shared" si="18"/>
        <v>0.28301000000000009</v>
      </c>
      <c r="I190" s="5">
        <f t="shared" si="19"/>
        <v>1830</v>
      </c>
      <c r="J190">
        <f t="shared" si="20"/>
        <v>0.34653966281371229</v>
      </c>
      <c r="K190">
        <f t="shared" si="21"/>
        <v>2.2439396260527329E-2</v>
      </c>
      <c r="L190">
        <f t="shared" si="22"/>
        <v>0.32410026655318497</v>
      </c>
      <c r="P190">
        <f t="shared" si="23"/>
        <v>1</v>
      </c>
    </row>
    <row r="191" spans="1:16" x14ac:dyDescent="0.25">
      <c r="A191" s="1"/>
      <c r="B191" t="s">
        <v>205</v>
      </c>
      <c r="C191" t="s">
        <v>24</v>
      </c>
      <c r="D191" s="3">
        <v>7.583333333333333</v>
      </c>
      <c r="E191" s="5">
        <f t="shared" si="16"/>
        <v>1831</v>
      </c>
      <c r="F191">
        <v>-0.47738000000000003</v>
      </c>
      <c r="G191">
        <f t="shared" si="17"/>
        <v>1.6845300000000001</v>
      </c>
      <c r="H191">
        <f t="shared" si="18"/>
        <v>1.6845300000000001</v>
      </c>
      <c r="I191" s="5">
        <f t="shared" si="19"/>
        <v>1831</v>
      </c>
      <c r="J191">
        <f t="shared" si="20"/>
        <v>1.1436166794189475</v>
      </c>
      <c r="K191">
        <f t="shared" si="21"/>
        <v>-0.29716943724893102</v>
      </c>
      <c r="L191">
        <f t="shared" si="22"/>
        <v>1.4407861166678786</v>
      </c>
      <c r="P191">
        <f t="shared" si="23"/>
        <v>0</v>
      </c>
    </row>
    <row r="192" spans="1:16" x14ac:dyDescent="0.25">
      <c r="A192" s="1"/>
      <c r="B192" t="s">
        <v>206</v>
      </c>
      <c r="C192" t="s">
        <v>24</v>
      </c>
      <c r="D192" s="3">
        <v>7.625</v>
      </c>
      <c r="E192" s="5">
        <f t="shared" si="16"/>
        <v>1832</v>
      </c>
      <c r="F192">
        <v>0.67940999999999996</v>
      </c>
      <c r="G192">
        <f t="shared" si="17"/>
        <v>0.30939000000000005</v>
      </c>
      <c r="H192">
        <f t="shared" si="18"/>
        <v>0.30939000000000005</v>
      </c>
      <c r="I192" s="5">
        <f t="shared" si="19"/>
        <v>1832</v>
      </c>
      <c r="J192">
        <f t="shared" si="20"/>
        <v>1.2657770082607778</v>
      </c>
      <c r="K192">
        <f t="shared" si="21"/>
        <v>0.41625503889043769</v>
      </c>
      <c r="L192">
        <f t="shared" si="22"/>
        <v>0.84952196937034008</v>
      </c>
      <c r="P192">
        <f t="shared" si="23"/>
        <v>1</v>
      </c>
    </row>
    <row r="193" spans="1:16" x14ac:dyDescent="0.25">
      <c r="A193" s="1"/>
      <c r="B193" t="s">
        <v>207</v>
      </c>
      <c r="C193" t="s">
        <v>24</v>
      </c>
      <c r="D193" s="3">
        <v>7.666666666666667</v>
      </c>
      <c r="E193" s="5">
        <f t="shared" si="16"/>
        <v>1833</v>
      </c>
      <c r="F193">
        <v>2.1455899999999999</v>
      </c>
      <c r="G193">
        <f t="shared" si="17"/>
        <v>-2.7098499999999999</v>
      </c>
      <c r="H193">
        <f t="shared" si="18"/>
        <v>-2.7098499999999999</v>
      </c>
      <c r="I193" s="5">
        <f t="shared" si="19"/>
        <v>1833</v>
      </c>
      <c r="J193">
        <f t="shared" si="20"/>
        <v>0.12016137973709018</v>
      </c>
      <c r="K193">
        <f t="shared" si="21"/>
        <v>-0.40445028955353779</v>
      </c>
      <c r="L193">
        <f t="shared" si="22"/>
        <v>0.52461166929062797</v>
      </c>
      <c r="P193">
        <f t="shared" si="23"/>
        <v>0</v>
      </c>
    </row>
    <row r="194" spans="1:16" x14ac:dyDescent="0.25">
      <c r="A194" s="1"/>
      <c r="B194" t="s">
        <v>208</v>
      </c>
      <c r="C194" t="s">
        <v>24</v>
      </c>
      <c r="D194" s="3">
        <v>7.708333333333333</v>
      </c>
      <c r="E194" s="5">
        <f t="shared" si="16"/>
        <v>1834</v>
      </c>
      <c r="F194">
        <v>0.90192000000000005</v>
      </c>
      <c r="G194">
        <f t="shared" si="17"/>
        <v>0.3685299999999998</v>
      </c>
      <c r="H194">
        <f t="shared" si="18"/>
        <v>0.3685299999999998</v>
      </c>
      <c r="I194" s="5">
        <f t="shared" si="19"/>
        <v>1834</v>
      </c>
      <c r="J194">
        <f t="shared" si="20"/>
        <v>1.3170017601649031</v>
      </c>
      <c r="K194">
        <f t="shared" si="21"/>
        <v>0.35647462407443775</v>
      </c>
      <c r="L194">
        <f t="shared" si="22"/>
        <v>0.96052713609046536</v>
      </c>
      <c r="P194">
        <f t="shared" si="23"/>
        <v>1</v>
      </c>
    </row>
    <row r="195" spans="1:16" x14ac:dyDescent="0.25">
      <c r="A195" s="1"/>
      <c r="B195" t="s">
        <v>209</v>
      </c>
      <c r="C195" t="s">
        <v>24</v>
      </c>
      <c r="D195" s="3">
        <v>7.75</v>
      </c>
      <c r="E195" s="5">
        <f t="shared" si="16"/>
        <v>1835</v>
      </c>
      <c r="F195">
        <v>2.6780000000000002E-2</v>
      </c>
      <c r="G195">
        <f t="shared" si="17"/>
        <v>0.85698000000000008</v>
      </c>
      <c r="H195">
        <f t="shared" si="18"/>
        <v>0.85698000000000008</v>
      </c>
      <c r="I195" s="5">
        <f t="shared" si="19"/>
        <v>1835</v>
      </c>
      <c r="J195">
        <f t="shared" si="20"/>
        <v>0.89858534876017093</v>
      </c>
      <c r="K195">
        <f t="shared" si="21"/>
        <v>-0.36639264247573988</v>
      </c>
      <c r="L195">
        <f t="shared" si="22"/>
        <v>1.2649779912359107</v>
      </c>
      <c r="P195">
        <f t="shared" si="23"/>
        <v>0</v>
      </c>
    </row>
    <row r="196" spans="1:16" x14ac:dyDescent="0.25">
      <c r="A196" s="1"/>
      <c r="B196" t="s">
        <v>210</v>
      </c>
      <c r="C196" t="s">
        <v>24</v>
      </c>
      <c r="D196" s="3">
        <v>7.791666666666667</v>
      </c>
      <c r="E196" s="5">
        <f t="shared" si="16"/>
        <v>1836</v>
      </c>
      <c r="F196">
        <v>8.6199999999999992E-3</v>
      </c>
      <c r="G196">
        <f t="shared" si="17"/>
        <v>1.0293399999999999</v>
      </c>
      <c r="H196">
        <f t="shared" si="18"/>
        <v>1.0293399999999999</v>
      </c>
      <c r="I196" s="5">
        <f t="shared" si="19"/>
        <v>1836</v>
      </c>
      <c r="J196">
        <f t="shared" si="20"/>
        <v>1.0392242588604896</v>
      </c>
      <c r="K196">
        <f t="shared" si="21"/>
        <v>0.46268337455916142</v>
      </c>
      <c r="L196">
        <f t="shared" si="22"/>
        <v>0.57654088430132822</v>
      </c>
      <c r="P196">
        <f t="shared" si="23"/>
        <v>1</v>
      </c>
    </row>
    <row r="197" spans="1:16" x14ac:dyDescent="0.25">
      <c r="A197" s="1"/>
      <c r="B197" t="s">
        <v>211</v>
      </c>
      <c r="C197" t="s">
        <v>24</v>
      </c>
      <c r="D197" s="3">
        <v>7.833333333333333</v>
      </c>
      <c r="E197" s="5">
        <f t="shared" si="16"/>
        <v>1837</v>
      </c>
      <c r="F197">
        <v>1.0198</v>
      </c>
      <c r="G197">
        <f t="shared" si="17"/>
        <v>-1.1686000000000001</v>
      </c>
      <c r="H197">
        <f t="shared" si="18"/>
        <v>-1.1686000000000001</v>
      </c>
      <c r="I197" s="5">
        <f t="shared" si="19"/>
        <v>1837</v>
      </c>
      <c r="J197">
        <f t="shared" si="20"/>
        <v>9.3431564940352485E-3</v>
      </c>
      <c r="K197">
        <f t="shared" si="21"/>
        <v>-0.5905115467921993</v>
      </c>
      <c r="L197">
        <f t="shared" si="22"/>
        <v>0.59985470328623458</v>
      </c>
      <c r="P197">
        <f t="shared" si="23"/>
        <v>0</v>
      </c>
    </row>
    <row r="198" spans="1:16" x14ac:dyDescent="0.25">
      <c r="A198" s="1"/>
      <c r="B198" t="s">
        <v>212</v>
      </c>
      <c r="C198" t="s">
        <v>24</v>
      </c>
      <c r="D198" s="3">
        <v>7.875</v>
      </c>
      <c r="E198" s="5">
        <f t="shared" si="16"/>
        <v>1838</v>
      </c>
      <c r="F198">
        <v>0.86238000000000004</v>
      </c>
      <c r="G198">
        <f t="shared" si="17"/>
        <v>1.4644500000000003</v>
      </c>
      <c r="H198">
        <f t="shared" si="18"/>
        <v>1.4644500000000003</v>
      </c>
      <c r="I198" s="5">
        <f t="shared" si="19"/>
        <v>1838</v>
      </c>
      <c r="J198">
        <f t="shared" si="20"/>
        <v>2.848986385877732</v>
      </c>
      <c r="K198">
        <f t="shared" si="21"/>
        <v>0.65109762534079518</v>
      </c>
      <c r="L198">
        <f t="shared" si="22"/>
        <v>2.1978887605369368</v>
      </c>
      <c r="P198">
        <f t="shared" si="23"/>
        <v>1</v>
      </c>
    </row>
    <row r="199" spans="1:16" x14ac:dyDescent="0.25">
      <c r="A199" s="1"/>
      <c r="B199" t="s">
        <v>213</v>
      </c>
      <c r="C199" t="s">
        <v>24</v>
      </c>
      <c r="D199" s="3">
        <v>7.916666666666667</v>
      </c>
      <c r="E199" s="5">
        <f t="shared" si="16"/>
        <v>1839</v>
      </c>
      <c r="F199">
        <v>2.1694100000000001</v>
      </c>
      <c r="G199">
        <f t="shared" si="17"/>
        <v>-3.0995699999999999</v>
      </c>
      <c r="H199">
        <f t="shared" si="18"/>
        <v>-3.0995699999999999</v>
      </c>
      <c r="I199" s="5">
        <f t="shared" si="19"/>
        <v>1839</v>
      </c>
      <c r="J199">
        <f t="shared" si="20"/>
        <v>-1.0944476857000875</v>
      </c>
      <c r="K199">
        <f t="shared" si="21"/>
        <v>-0.56944611131035849</v>
      </c>
      <c r="L199">
        <f t="shared" si="22"/>
        <v>0.52500157438972905</v>
      </c>
      <c r="P199">
        <f t="shared" si="23"/>
        <v>1</v>
      </c>
    </row>
    <row r="200" spans="1:16" x14ac:dyDescent="0.25">
      <c r="A200" s="1"/>
      <c r="B200" t="s">
        <v>214</v>
      </c>
      <c r="C200" t="s">
        <v>24</v>
      </c>
      <c r="D200" s="3">
        <v>7.958333333333333</v>
      </c>
      <c r="E200" s="5">
        <f t="shared" si="16"/>
        <v>1840</v>
      </c>
      <c r="F200">
        <v>0.37686999999999998</v>
      </c>
      <c r="G200">
        <f t="shared" si="17"/>
        <v>1.48078</v>
      </c>
      <c r="H200">
        <f t="shared" si="18"/>
        <v>1.48078</v>
      </c>
      <c r="I200" s="5">
        <f t="shared" si="19"/>
        <v>1840</v>
      </c>
      <c r="J200">
        <f t="shared" si="20"/>
        <v>2.0375804118561645</v>
      </c>
      <c r="K200">
        <f t="shared" si="21"/>
        <v>0.34350536276676236</v>
      </c>
      <c r="L200">
        <f t="shared" si="22"/>
        <v>1.6940750490894021</v>
      </c>
      <c r="P200">
        <f t="shared" si="23"/>
        <v>1</v>
      </c>
    </row>
    <row r="201" spans="1:16" x14ac:dyDescent="0.25">
      <c r="A201" s="1"/>
      <c r="B201" t="s">
        <v>215</v>
      </c>
      <c r="C201" t="s">
        <v>24</v>
      </c>
      <c r="D201" s="3">
        <v>8</v>
      </c>
      <c r="E201" s="5">
        <f t="shared" si="16"/>
        <v>1841</v>
      </c>
      <c r="F201">
        <v>6.5110000000000001E-2</v>
      </c>
      <c r="G201">
        <f t="shared" si="17"/>
        <v>-0.61817000000000011</v>
      </c>
      <c r="H201">
        <f t="shared" si="18"/>
        <v>-0.61817000000000011</v>
      </c>
      <c r="I201" s="5">
        <f t="shared" si="19"/>
        <v>1841</v>
      </c>
      <c r="J201">
        <f t="shared" si="20"/>
        <v>-0.53376641310539286</v>
      </c>
      <c r="K201">
        <f t="shared" si="21"/>
        <v>-4.3354573288750836E-2</v>
      </c>
      <c r="L201">
        <f t="shared" si="22"/>
        <v>0.49041183981664205</v>
      </c>
      <c r="P201">
        <f t="shared" si="23"/>
        <v>1</v>
      </c>
    </row>
    <row r="202" spans="1:16" x14ac:dyDescent="0.25">
      <c r="A202" s="1"/>
      <c r="B202" t="s">
        <v>216</v>
      </c>
      <c r="C202" t="s">
        <v>24</v>
      </c>
      <c r="D202" s="3">
        <v>8.0416666666666661</v>
      </c>
      <c r="E202" s="5">
        <f t="shared" si="16"/>
        <v>1842</v>
      </c>
      <c r="F202">
        <v>-0.86482000000000003</v>
      </c>
      <c r="G202">
        <f t="shared" si="17"/>
        <v>1.83446</v>
      </c>
      <c r="H202">
        <f t="shared" si="18"/>
        <v>1.83446</v>
      </c>
      <c r="I202" s="5">
        <f t="shared" si="19"/>
        <v>1842</v>
      </c>
      <c r="J202">
        <f t="shared" si="20"/>
        <v>0.85444464572212997</v>
      </c>
      <c r="K202">
        <f t="shared" si="21"/>
        <v>-0.23330318719208881</v>
      </c>
      <c r="L202">
        <f t="shared" si="22"/>
        <v>1.0877478329142187</v>
      </c>
      <c r="P202">
        <f t="shared" si="23"/>
        <v>0</v>
      </c>
    </row>
    <row r="203" spans="1:16" x14ac:dyDescent="0.25">
      <c r="A203" s="1"/>
      <c r="B203" t="s">
        <v>217</v>
      </c>
      <c r="C203" t="s">
        <v>24</v>
      </c>
      <c r="D203" s="3">
        <v>8.0833333333333339</v>
      </c>
      <c r="E203" s="5">
        <f t="shared" si="16"/>
        <v>1843</v>
      </c>
      <c r="F203">
        <v>3.9710000000000002E-2</v>
      </c>
      <c r="G203">
        <f t="shared" si="17"/>
        <v>-0.38485000000000003</v>
      </c>
      <c r="H203">
        <f t="shared" si="18"/>
        <v>-0.38485000000000003</v>
      </c>
      <c r="I203" s="5">
        <f t="shared" si="19"/>
        <v>1843</v>
      </c>
      <c r="J203">
        <f t="shared" si="20"/>
        <v>-0.32988713601615438</v>
      </c>
      <c r="K203">
        <f t="shared" si="21"/>
        <v>0.41224195448441414</v>
      </c>
      <c r="L203">
        <f t="shared" si="22"/>
        <v>0.74212909050056852</v>
      </c>
      <c r="P203">
        <f t="shared" si="23"/>
        <v>0</v>
      </c>
    </row>
    <row r="204" spans="1:16" x14ac:dyDescent="0.25">
      <c r="A204" s="1"/>
      <c r="B204" t="s">
        <v>218</v>
      </c>
      <c r="C204" t="s">
        <v>24</v>
      </c>
      <c r="D204" s="3">
        <v>8.125</v>
      </c>
      <c r="E204" s="5">
        <f t="shared" ref="E204:E267" si="24">+E203+1</f>
        <v>1844</v>
      </c>
      <c r="F204">
        <v>0.55939000000000005</v>
      </c>
      <c r="G204">
        <f t="shared" ref="G204:G267" si="25">+(F205-F204)-(F204-F203)</f>
        <v>-0.66176000000000013</v>
      </c>
      <c r="H204">
        <f t="shared" ref="H204:H267" si="26">+G204</f>
        <v>-0.66176000000000013</v>
      </c>
      <c r="I204" s="5">
        <f t="shared" si="19"/>
        <v>1844</v>
      </c>
      <c r="J204">
        <f t="shared" si="20"/>
        <v>7.8155359665288832E-2</v>
      </c>
      <c r="K204">
        <f t="shared" si="21"/>
        <v>-0.46440490395627482</v>
      </c>
      <c r="L204">
        <f t="shared" si="22"/>
        <v>0.54256026362156362</v>
      </c>
      <c r="P204">
        <f t="shared" si="23"/>
        <v>0</v>
      </c>
    </row>
    <row r="205" spans="1:16" x14ac:dyDescent="0.25">
      <c r="A205" s="1"/>
      <c r="B205" t="s">
        <v>219</v>
      </c>
      <c r="C205" t="s">
        <v>24</v>
      </c>
      <c r="D205" s="3">
        <v>8.1666666666666661</v>
      </c>
      <c r="E205" s="5">
        <f t="shared" si="24"/>
        <v>1845</v>
      </c>
      <c r="F205">
        <v>0.41731000000000001</v>
      </c>
      <c r="G205">
        <f t="shared" si="25"/>
        <v>0.73028999999999988</v>
      </c>
      <c r="H205">
        <f t="shared" si="26"/>
        <v>0.73028999999999988</v>
      </c>
      <c r="I205" s="5">
        <f t="shared" ref="I205:I268" si="27">+E205</f>
        <v>1845</v>
      </c>
      <c r="J205">
        <f t="shared" ref="J205:J268" si="28">+$J$6*F205+F205*$J$7*COS(2*PI()*$I205/$K$6+$K$5*COS($J$5*$I205+$K$8)+$J$9)+H205+F205*$J$3*COS(2*PI()*$I205/$J$8+$K$3)</f>
        <v>1.1940966048888244</v>
      </c>
      <c r="K205">
        <f t="shared" ref="K205:K268" si="29">+$K$8*COS(2*PI()*$I205/$K$6+$K$5*COS($J$5*$I205+$K$8)+$K$7) +$K$4*COS(2*PI()*$I205/$J$8+$J$4)</f>
        <v>0.39430502909507714</v>
      </c>
      <c r="L205">
        <f t="shared" ref="L205:L268" si="30">+ABS(J205-K205)</f>
        <v>0.79979157579374727</v>
      </c>
      <c r="P205">
        <f t="shared" ref="P205:P268" si="31">+IF(J205*K205&gt;0,1, 0)</f>
        <v>1</v>
      </c>
    </row>
    <row r="206" spans="1:16" x14ac:dyDescent="0.25">
      <c r="A206" s="1"/>
      <c r="B206" t="s">
        <v>220</v>
      </c>
      <c r="C206" t="s">
        <v>24</v>
      </c>
      <c r="D206" s="3">
        <v>8.2083333333333339</v>
      </c>
      <c r="E206" s="5">
        <f t="shared" si="24"/>
        <v>1846</v>
      </c>
      <c r="F206">
        <v>1.00552</v>
      </c>
      <c r="G206">
        <f t="shared" si="25"/>
        <v>-2.6277099999999995</v>
      </c>
      <c r="H206">
        <f t="shared" si="26"/>
        <v>-2.6277099999999995</v>
      </c>
      <c r="I206" s="5">
        <f t="shared" si="27"/>
        <v>1846</v>
      </c>
      <c r="J206">
        <f t="shared" si="28"/>
        <v>-1.1949465743290846</v>
      </c>
      <c r="K206">
        <f t="shared" si="29"/>
        <v>-0.2231853158127782</v>
      </c>
      <c r="L206">
        <f t="shared" si="30"/>
        <v>0.97176125851630635</v>
      </c>
      <c r="P206">
        <f t="shared" si="31"/>
        <v>1</v>
      </c>
    </row>
    <row r="207" spans="1:16" x14ac:dyDescent="0.25">
      <c r="A207" s="1"/>
      <c r="B207" t="s">
        <v>221</v>
      </c>
      <c r="C207" t="s">
        <v>24</v>
      </c>
      <c r="D207" s="3">
        <v>8.25</v>
      </c>
      <c r="E207" s="5">
        <f t="shared" si="24"/>
        <v>1847</v>
      </c>
      <c r="F207">
        <v>-1.0339799999999999</v>
      </c>
      <c r="G207">
        <f t="shared" si="25"/>
        <v>3.3584299999999998</v>
      </c>
      <c r="H207">
        <f t="shared" si="26"/>
        <v>3.3584299999999998</v>
      </c>
      <c r="I207" s="5">
        <f t="shared" si="27"/>
        <v>1847</v>
      </c>
      <c r="J207">
        <f t="shared" si="28"/>
        <v>2.0215277662467157</v>
      </c>
      <c r="K207">
        <f t="shared" si="29"/>
        <v>-8.714482712976368E-3</v>
      </c>
      <c r="L207">
        <f t="shared" si="30"/>
        <v>2.0302422489596923</v>
      </c>
      <c r="P207">
        <f t="shared" si="31"/>
        <v>0</v>
      </c>
    </row>
    <row r="208" spans="1:16" x14ac:dyDescent="0.25">
      <c r="A208" s="1"/>
      <c r="B208" t="s">
        <v>222</v>
      </c>
      <c r="C208" t="s">
        <v>24</v>
      </c>
      <c r="D208" s="3">
        <v>8.2916666666666661</v>
      </c>
      <c r="E208" s="5">
        <f t="shared" si="24"/>
        <v>1848</v>
      </c>
      <c r="F208">
        <v>0.28494999999999998</v>
      </c>
      <c r="G208">
        <f t="shared" si="25"/>
        <v>-1.40743</v>
      </c>
      <c r="H208">
        <f t="shared" si="26"/>
        <v>-1.40743</v>
      </c>
      <c r="I208" s="5">
        <f t="shared" si="27"/>
        <v>1848</v>
      </c>
      <c r="J208">
        <f t="shared" si="28"/>
        <v>-1.1002098254276882</v>
      </c>
      <c r="K208">
        <f t="shared" si="29"/>
        <v>0.23280191553562851</v>
      </c>
      <c r="L208">
        <f t="shared" si="30"/>
        <v>1.3330117409633166</v>
      </c>
      <c r="P208">
        <f t="shared" si="31"/>
        <v>0</v>
      </c>
    </row>
    <row r="209" spans="1:16" x14ac:dyDescent="0.25">
      <c r="A209" s="1"/>
      <c r="B209" t="s">
        <v>223</v>
      </c>
      <c r="C209" t="s">
        <v>24</v>
      </c>
      <c r="D209" s="3">
        <v>8.3333333333333339</v>
      </c>
      <c r="E209" s="5">
        <f t="shared" si="24"/>
        <v>1849</v>
      </c>
      <c r="F209">
        <v>0.19645000000000001</v>
      </c>
      <c r="G209">
        <f t="shared" si="25"/>
        <v>-9.4840000000000035E-2</v>
      </c>
      <c r="H209">
        <f t="shared" si="26"/>
        <v>-9.4840000000000035E-2</v>
      </c>
      <c r="I209" s="5">
        <f t="shared" si="27"/>
        <v>1849</v>
      </c>
      <c r="J209">
        <f t="shared" si="28"/>
        <v>0.20800963095253899</v>
      </c>
      <c r="K209">
        <f t="shared" si="29"/>
        <v>-0.36773633733475275</v>
      </c>
      <c r="L209">
        <f t="shared" si="30"/>
        <v>0.57574596828729174</v>
      </c>
      <c r="P209">
        <f t="shared" si="31"/>
        <v>0</v>
      </c>
    </row>
    <row r="210" spans="1:16" x14ac:dyDescent="0.25">
      <c r="A210" s="1"/>
      <c r="B210" t="s">
        <v>224</v>
      </c>
      <c r="C210" t="s">
        <v>24</v>
      </c>
      <c r="D210" s="3">
        <v>8.375</v>
      </c>
      <c r="E210" s="5">
        <f t="shared" si="24"/>
        <v>1850</v>
      </c>
      <c r="F210">
        <v>1.311E-2</v>
      </c>
      <c r="G210">
        <f t="shared" si="25"/>
        <v>-0.64488999999999996</v>
      </c>
      <c r="H210">
        <f t="shared" si="26"/>
        <v>-0.64488999999999996</v>
      </c>
      <c r="I210" s="5">
        <f t="shared" si="27"/>
        <v>1850</v>
      </c>
      <c r="J210">
        <f t="shared" si="28"/>
        <v>-0.62996932288210805</v>
      </c>
      <c r="K210">
        <f t="shared" si="29"/>
        <v>0.36163808751383975</v>
      </c>
      <c r="L210">
        <f t="shared" si="30"/>
        <v>0.9916074103959478</v>
      </c>
      <c r="P210">
        <f t="shared" si="31"/>
        <v>0</v>
      </c>
    </row>
    <row r="211" spans="1:16" x14ac:dyDescent="0.25">
      <c r="A211" s="1"/>
      <c r="B211" t="s">
        <v>225</v>
      </c>
      <c r="C211" t="s">
        <v>24</v>
      </c>
      <c r="D211" s="3">
        <v>8.4166666666666661</v>
      </c>
      <c r="E211" s="5">
        <f t="shared" si="24"/>
        <v>1851</v>
      </c>
      <c r="F211">
        <v>-0.81511999999999996</v>
      </c>
      <c r="G211">
        <f t="shared" si="25"/>
        <v>3.0331700000000001</v>
      </c>
      <c r="H211">
        <f t="shared" si="26"/>
        <v>3.0331700000000001</v>
      </c>
      <c r="I211" s="5">
        <f t="shared" si="27"/>
        <v>1851</v>
      </c>
      <c r="J211">
        <f t="shared" si="28"/>
        <v>2.0752861710260873</v>
      </c>
      <c r="K211">
        <f t="shared" si="29"/>
        <v>-0.2210924015612758</v>
      </c>
      <c r="L211">
        <f t="shared" si="30"/>
        <v>2.2963785725873631</v>
      </c>
      <c r="P211">
        <f t="shared" si="31"/>
        <v>0</v>
      </c>
    </row>
    <row r="212" spans="1:16" x14ac:dyDescent="0.25">
      <c r="A212" s="1"/>
      <c r="B212" t="s">
        <v>226</v>
      </c>
      <c r="C212" t="s">
        <v>24</v>
      </c>
      <c r="D212" s="3">
        <v>8.4583333333333339</v>
      </c>
      <c r="E212" s="5">
        <f t="shared" si="24"/>
        <v>1852</v>
      </c>
      <c r="F212">
        <v>1.3898200000000001</v>
      </c>
      <c r="G212">
        <f t="shared" si="25"/>
        <v>-2.8027600000000001</v>
      </c>
      <c r="H212">
        <f t="shared" si="26"/>
        <v>-2.8027600000000001</v>
      </c>
      <c r="I212" s="5">
        <f t="shared" si="27"/>
        <v>1852</v>
      </c>
      <c r="J212">
        <f t="shared" si="28"/>
        <v>-0.59555141534218459</v>
      </c>
      <c r="K212">
        <f t="shared" si="29"/>
        <v>-2.0277350045223297E-3</v>
      </c>
      <c r="L212">
        <f t="shared" si="30"/>
        <v>0.59352368033766223</v>
      </c>
      <c r="P212">
        <f t="shared" si="31"/>
        <v>1</v>
      </c>
    </row>
    <row r="213" spans="1:16" x14ac:dyDescent="0.25">
      <c r="A213" s="1"/>
      <c r="B213" t="s">
        <v>227</v>
      </c>
      <c r="C213" t="s">
        <v>24</v>
      </c>
      <c r="D213" s="3">
        <v>8.5</v>
      </c>
      <c r="E213" s="5">
        <f t="shared" si="24"/>
        <v>1853</v>
      </c>
      <c r="F213">
        <v>0.79200000000000004</v>
      </c>
      <c r="G213">
        <f t="shared" si="25"/>
        <v>-0.41556999999999999</v>
      </c>
      <c r="H213">
        <f t="shared" si="26"/>
        <v>-0.41556999999999999</v>
      </c>
      <c r="I213" s="5">
        <f t="shared" si="27"/>
        <v>1853</v>
      </c>
      <c r="J213">
        <f t="shared" si="28"/>
        <v>0.3287676277247511</v>
      </c>
      <c r="K213">
        <f t="shared" si="29"/>
        <v>0.24473171077965516</v>
      </c>
      <c r="L213">
        <f t="shared" si="30"/>
        <v>8.4035916945095934E-2</v>
      </c>
      <c r="P213">
        <f t="shared" si="31"/>
        <v>1</v>
      </c>
    </row>
    <row r="214" spans="1:16" x14ac:dyDescent="0.25">
      <c r="A214" s="1"/>
      <c r="B214" t="s">
        <v>228</v>
      </c>
      <c r="C214" t="s">
        <v>24</v>
      </c>
      <c r="D214" s="3">
        <v>8.5416666666666661</v>
      </c>
      <c r="E214" s="5">
        <f t="shared" si="24"/>
        <v>1854</v>
      </c>
      <c r="F214">
        <v>-0.22139</v>
      </c>
      <c r="G214">
        <f t="shared" si="25"/>
        <v>0.86353000000000002</v>
      </c>
      <c r="H214">
        <f t="shared" si="26"/>
        <v>0.86353000000000002</v>
      </c>
      <c r="I214" s="5">
        <f t="shared" si="27"/>
        <v>1854</v>
      </c>
      <c r="J214">
        <f t="shared" si="28"/>
        <v>0.54594664199229681</v>
      </c>
      <c r="K214">
        <f t="shared" si="29"/>
        <v>-0.44993654732330524</v>
      </c>
      <c r="L214">
        <f t="shared" si="30"/>
        <v>0.99588318931560205</v>
      </c>
      <c r="P214">
        <f t="shared" si="31"/>
        <v>0</v>
      </c>
    </row>
    <row r="215" spans="1:16" x14ac:dyDescent="0.25">
      <c r="A215" s="1"/>
      <c r="B215" t="s">
        <v>229</v>
      </c>
      <c r="C215" t="s">
        <v>24</v>
      </c>
      <c r="D215" s="3">
        <v>8.5833333333333339</v>
      </c>
      <c r="E215" s="5">
        <f t="shared" si="24"/>
        <v>1855</v>
      </c>
      <c r="F215">
        <v>-0.37125000000000002</v>
      </c>
      <c r="G215">
        <f t="shared" si="25"/>
        <v>2.0419100000000001</v>
      </c>
      <c r="H215">
        <f t="shared" si="26"/>
        <v>2.0419100000000001</v>
      </c>
      <c r="I215" s="5">
        <f t="shared" si="27"/>
        <v>1855</v>
      </c>
      <c r="J215">
        <f t="shared" si="28"/>
        <v>1.5177119007977329</v>
      </c>
      <c r="K215">
        <f t="shared" si="29"/>
        <v>0.56356519120902637</v>
      </c>
      <c r="L215">
        <f t="shared" si="30"/>
        <v>0.95414670958870651</v>
      </c>
      <c r="P215">
        <f t="shared" si="31"/>
        <v>1</v>
      </c>
    </row>
    <row r="216" spans="1:16" x14ac:dyDescent="0.25">
      <c r="A216" s="1"/>
      <c r="B216" t="s">
        <v>230</v>
      </c>
      <c r="C216" t="s">
        <v>24</v>
      </c>
      <c r="D216" s="3">
        <v>8.625</v>
      </c>
      <c r="E216" s="5">
        <f t="shared" si="24"/>
        <v>1856</v>
      </c>
      <c r="F216">
        <v>1.5207999999999999</v>
      </c>
      <c r="G216">
        <f t="shared" si="25"/>
        <v>-3.7130200000000002</v>
      </c>
      <c r="H216">
        <f t="shared" si="26"/>
        <v>-3.7130200000000002</v>
      </c>
      <c r="I216" s="5">
        <f t="shared" si="27"/>
        <v>1856</v>
      </c>
      <c r="J216">
        <f t="shared" si="28"/>
        <v>-2.3143186912888423</v>
      </c>
      <c r="K216">
        <f t="shared" si="29"/>
        <v>-0.53977114762647216</v>
      </c>
      <c r="L216">
        <f t="shared" si="30"/>
        <v>1.7745475436623701</v>
      </c>
      <c r="P216">
        <f t="shared" si="31"/>
        <v>1</v>
      </c>
    </row>
    <row r="217" spans="1:16" x14ac:dyDescent="0.25">
      <c r="A217" s="1"/>
      <c r="B217" t="s">
        <v>231</v>
      </c>
      <c r="C217" t="s">
        <v>24</v>
      </c>
      <c r="D217" s="3">
        <v>8.6666666666666661</v>
      </c>
      <c r="E217" s="5">
        <f t="shared" si="24"/>
        <v>1857</v>
      </c>
      <c r="F217">
        <v>-0.30016999999999999</v>
      </c>
      <c r="G217">
        <f t="shared" si="25"/>
        <v>2.5389900000000001</v>
      </c>
      <c r="H217">
        <f t="shared" si="26"/>
        <v>2.5389900000000001</v>
      </c>
      <c r="I217" s="5">
        <f t="shared" si="27"/>
        <v>1857</v>
      </c>
      <c r="J217">
        <f t="shared" si="28"/>
        <v>2.0390848546637188</v>
      </c>
      <c r="K217">
        <f t="shared" si="29"/>
        <v>0.36723864578424181</v>
      </c>
      <c r="L217">
        <f t="shared" si="30"/>
        <v>1.671846208879477</v>
      </c>
      <c r="P217">
        <f t="shared" si="31"/>
        <v>1</v>
      </c>
    </row>
    <row r="218" spans="1:16" x14ac:dyDescent="0.25">
      <c r="A218" s="1"/>
      <c r="B218" t="s">
        <v>232</v>
      </c>
      <c r="C218" t="s">
        <v>24</v>
      </c>
      <c r="D218" s="3">
        <v>8.7083333333333339</v>
      </c>
      <c r="E218" s="5">
        <f t="shared" si="24"/>
        <v>1858</v>
      </c>
      <c r="F218">
        <v>0.41785</v>
      </c>
      <c r="G218">
        <f t="shared" si="25"/>
        <v>-1.84158</v>
      </c>
      <c r="H218">
        <f t="shared" si="26"/>
        <v>-1.84158</v>
      </c>
      <c r="I218" s="5">
        <f t="shared" si="27"/>
        <v>1858</v>
      </c>
      <c r="J218">
        <f t="shared" si="28"/>
        <v>-1.3987721025720112</v>
      </c>
      <c r="K218">
        <f t="shared" si="29"/>
        <v>-9.3829231708883395E-2</v>
      </c>
      <c r="L218">
        <f t="shared" si="30"/>
        <v>1.3049428708631279</v>
      </c>
      <c r="P218">
        <f t="shared" si="31"/>
        <v>1</v>
      </c>
    </row>
    <row r="219" spans="1:16" x14ac:dyDescent="0.25">
      <c r="A219" s="1"/>
      <c r="B219" t="s">
        <v>233</v>
      </c>
      <c r="C219" t="s">
        <v>24</v>
      </c>
      <c r="D219" s="3">
        <v>8.75</v>
      </c>
      <c r="E219" s="5">
        <f t="shared" si="24"/>
        <v>1859</v>
      </c>
      <c r="F219">
        <v>-0.70570999999999995</v>
      </c>
      <c r="G219">
        <f t="shared" si="25"/>
        <v>0.71167999999999976</v>
      </c>
      <c r="H219">
        <f t="shared" si="26"/>
        <v>0.71167999999999976</v>
      </c>
      <c r="I219" s="5">
        <f t="shared" si="27"/>
        <v>1859</v>
      </c>
      <c r="J219">
        <f t="shared" si="28"/>
        <v>-0.17621837854034123</v>
      </c>
      <c r="K219">
        <f t="shared" si="29"/>
        <v>-0.18294823305631241</v>
      </c>
      <c r="L219">
        <f t="shared" si="30"/>
        <v>6.7298545159711898E-3</v>
      </c>
      <c r="P219">
        <f t="shared" si="31"/>
        <v>1</v>
      </c>
    </row>
    <row r="220" spans="1:16" x14ac:dyDescent="0.25">
      <c r="A220" s="1"/>
      <c r="B220" t="s">
        <v>234</v>
      </c>
      <c r="C220" t="s">
        <v>24</v>
      </c>
      <c r="D220" s="3">
        <v>8.7916666666666661</v>
      </c>
      <c r="E220" s="5">
        <f t="shared" si="24"/>
        <v>1860</v>
      </c>
      <c r="F220">
        <v>-1.1175900000000001</v>
      </c>
      <c r="G220">
        <f t="shared" si="25"/>
        <v>0.52851000000000015</v>
      </c>
      <c r="H220">
        <f t="shared" si="26"/>
        <v>0.52851000000000015</v>
      </c>
      <c r="I220" s="5">
        <f t="shared" si="27"/>
        <v>1860</v>
      </c>
      <c r="J220">
        <f t="shared" si="28"/>
        <v>-1.0795723886499093</v>
      </c>
      <c r="K220">
        <f t="shared" si="29"/>
        <v>0.36518451257180229</v>
      </c>
      <c r="L220">
        <f t="shared" si="30"/>
        <v>1.4447569012217116</v>
      </c>
      <c r="P220">
        <f t="shared" si="31"/>
        <v>0</v>
      </c>
    </row>
    <row r="221" spans="1:16" x14ac:dyDescent="0.25">
      <c r="A221" s="1"/>
      <c r="B221" t="s">
        <v>235</v>
      </c>
      <c r="C221" t="s">
        <v>24</v>
      </c>
      <c r="D221" s="3">
        <v>8.8333333333333339</v>
      </c>
      <c r="E221" s="5">
        <f t="shared" si="24"/>
        <v>1861</v>
      </c>
      <c r="F221">
        <v>-1.0009600000000001</v>
      </c>
      <c r="G221">
        <f t="shared" si="25"/>
        <v>-0.15195000000000003</v>
      </c>
      <c r="H221">
        <f t="shared" si="26"/>
        <v>-0.15195000000000003</v>
      </c>
      <c r="I221" s="5">
        <f t="shared" si="27"/>
        <v>1861</v>
      </c>
      <c r="J221">
        <f t="shared" si="28"/>
        <v>-1.3192212239696051</v>
      </c>
      <c r="K221">
        <f t="shared" si="29"/>
        <v>-0.41286403905345892</v>
      </c>
      <c r="L221">
        <f t="shared" si="30"/>
        <v>0.90635718491614614</v>
      </c>
      <c r="P221">
        <f t="shared" si="31"/>
        <v>1</v>
      </c>
    </row>
    <row r="222" spans="1:16" x14ac:dyDescent="0.25">
      <c r="A222" s="1"/>
      <c r="B222" t="s">
        <v>236</v>
      </c>
      <c r="C222" t="s">
        <v>24</v>
      </c>
      <c r="D222" s="3">
        <v>8.875</v>
      </c>
      <c r="E222" s="5">
        <f t="shared" si="24"/>
        <v>1862</v>
      </c>
      <c r="F222">
        <v>-1.0362800000000001</v>
      </c>
      <c r="G222">
        <f t="shared" si="25"/>
        <v>-0.14271999999999996</v>
      </c>
      <c r="H222">
        <f t="shared" si="26"/>
        <v>-0.14271999999999996</v>
      </c>
      <c r="I222" s="5">
        <f t="shared" si="27"/>
        <v>1862</v>
      </c>
      <c r="J222">
        <f t="shared" si="28"/>
        <v>-1.3864735758947901</v>
      </c>
      <c r="K222">
        <f t="shared" si="29"/>
        <v>0.36818136969757048</v>
      </c>
      <c r="L222">
        <f t="shared" si="30"/>
        <v>1.7546549455923606</v>
      </c>
      <c r="P222">
        <f t="shared" si="31"/>
        <v>0</v>
      </c>
    </row>
    <row r="223" spans="1:16" x14ac:dyDescent="0.25">
      <c r="A223" s="1"/>
      <c r="B223" t="s">
        <v>237</v>
      </c>
      <c r="C223" t="s">
        <v>24</v>
      </c>
      <c r="D223" s="3">
        <v>8.9166666666666661</v>
      </c>
      <c r="E223" s="5">
        <f t="shared" si="24"/>
        <v>1863</v>
      </c>
      <c r="F223">
        <v>-1.2143200000000001</v>
      </c>
      <c r="G223">
        <f t="shared" si="25"/>
        <v>-0.2688299999999999</v>
      </c>
      <c r="H223">
        <f t="shared" si="26"/>
        <v>-0.2688299999999999</v>
      </c>
      <c r="I223" s="5">
        <f t="shared" si="27"/>
        <v>1863</v>
      </c>
      <c r="J223">
        <f t="shared" si="28"/>
        <v>-2.1339925257435031</v>
      </c>
      <c r="K223">
        <f t="shared" si="29"/>
        <v>-0.32484665249631339</v>
      </c>
      <c r="L223">
        <f t="shared" si="30"/>
        <v>1.8091458732471897</v>
      </c>
      <c r="P223">
        <f t="shared" si="31"/>
        <v>1</v>
      </c>
    </row>
    <row r="224" spans="1:16" x14ac:dyDescent="0.25">
      <c r="A224" s="1"/>
      <c r="B224" t="s">
        <v>238</v>
      </c>
      <c r="C224" t="s">
        <v>24</v>
      </c>
      <c r="D224" s="3">
        <v>8.9583333333333339</v>
      </c>
      <c r="E224" s="5">
        <f t="shared" si="24"/>
        <v>1864</v>
      </c>
      <c r="F224">
        <v>-1.6611899999999999</v>
      </c>
      <c r="G224">
        <f t="shared" si="25"/>
        <v>2.6381399999999999</v>
      </c>
      <c r="H224">
        <f t="shared" si="26"/>
        <v>2.6381399999999999</v>
      </c>
      <c r="I224" s="5">
        <f t="shared" si="27"/>
        <v>1864</v>
      </c>
      <c r="J224">
        <f t="shared" si="28"/>
        <v>0.97966819162846974</v>
      </c>
      <c r="K224">
        <f t="shared" si="29"/>
        <v>0.360635643249135</v>
      </c>
      <c r="L224">
        <f t="shared" si="30"/>
        <v>0.61903254837933475</v>
      </c>
      <c r="P224">
        <f t="shared" si="31"/>
        <v>1</v>
      </c>
    </row>
    <row r="225" spans="1:16" x14ac:dyDescent="0.25">
      <c r="A225" s="1"/>
      <c r="B225" t="s">
        <v>239</v>
      </c>
      <c r="C225" t="s">
        <v>24</v>
      </c>
      <c r="D225" s="3">
        <v>9</v>
      </c>
      <c r="E225" s="5">
        <f t="shared" si="24"/>
        <v>1865</v>
      </c>
      <c r="F225">
        <v>0.53008</v>
      </c>
      <c r="G225">
        <f t="shared" si="25"/>
        <v>-2.5571199999999998</v>
      </c>
      <c r="H225">
        <f t="shared" si="26"/>
        <v>-2.5571199999999998</v>
      </c>
      <c r="I225" s="5">
        <f t="shared" si="27"/>
        <v>1865</v>
      </c>
      <c r="J225">
        <f t="shared" si="28"/>
        <v>-1.8232238556949438</v>
      </c>
      <c r="K225">
        <f t="shared" si="29"/>
        <v>-0.4786104400466582</v>
      </c>
      <c r="L225">
        <f t="shared" si="30"/>
        <v>1.3446134156482856</v>
      </c>
      <c r="P225">
        <f t="shared" si="31"/>
        <v>1</v>
      </c>
    </row>
    <row r="226" spans="1:16" x14ac:dyDescent="0.25">
      <c r="A226" s="1"/>
      <c r="B226" t="s">
        <v>240</v>
      </c>
      <c r="C226" t="s">
        <v>24</v>
      </c>
      <c r="D226" s="3">
        <v>9.0416666666666661</v>
      </c>
      <c r="E226" s="5">
        <f t="shared" si="24"/>
        <v>1866</v>
      </c>
      <c r="F226">
        <v>0.16422999999999999</v>
      </c>
      <c r="G226">
        <f t="shared" si="25"/>
        <v>0.22108000000000003</v>
      </c>
      <c r="H226">
        <f t="shared" si="26"/>
        <v>0.22108000000000003</v>
      </c>
      <c r="I226" s="5">
        <f t="shared" si="27"/>
        <v>1866</v>
      </c>
      <c r="J226">
        <f t="shared" si="28"/>
        <v>0.45786060891167801</v>
      </c>
      <c r="K226">
        <f t="shared" si="29"/>
        <v>0.59776614141083428</v>
      </c>
      <c r="L226">
        <f t="shared" si="30"/>
        <v>0.13990553249915627</v>
      </c>
      <c r="P226">
        <f t="shared" si="31"/>
        <v>1</v>
      </c>
    </row>
    <row r="227" spans="1:16" x14ac:dyDescent="0.25">
      <c r="A227" s="1"/>
      <c r="B227" t="s">
        <v>241</v>
      </c>
      <c r="C227" t="s">
        <v>24</v>
      </c>
      <c r="D227" s="3">
        <v>9.0833333333333339</v>
      </c>
      <c r="E227" s="5">
        <f t="shared" si="24"/>
        <v>1867</v>
      </c>
      <c r="F227">
        <v>1.9460000000000002E-2</v>
      </c>
      <c r="G227">
        <f t="shared" si="25"/>
        <v>0.33774999999999999</v>
      </c>
      <c r="H227">
        <f t="shared" si="26"/>
        <v>0.33774999999999999</v>
      </c>
      <c r="I227" s="5">
        <f t="shared" si="27"/>
        <v>1867</v>
      </c>
      <c r="J227">
        <f t="shared" si="28"/>
        <v>0.35559584648152232</v>
      </c>
      <c r="K227">
        <f t="shared" si="29"/>
        <v>-0.60109872919264951</v>
      </c>
      <c r="L227">
        <f t="shared" si="30"/>
        <v>0.95669457567417182</v>
      </c>
      <c r="P227">
        <f t="shared" si="31"/>
        <v>0</v>
      </c>
    </row>
    <row r="228" spans="1:16" x14ac:dyDescent="0.25">
      <c r="A228" s="1"/>
      <c r="B228" t="s">
        <v>242</v>
      </c>
      <c r="C228" t="s">
        <v>24</v>
      </c>
      <c r="D228" s="3">
        <v>9.125</v>
      </c>
      <c r="E228" s="5">
        <f t="shared" si="24"/>
        <v>1868</v>
      </c>
      <c r="F228">
        <v>0.21243999999999999</v>
      </c>
      <c r="G228">
        <f t="shared" si="25"/>
        <v>1.2817400000000001</v>
      </c>
      <c r="H228">
        <f t="shared" si="26"/>
        <v>1.2817400000000001</v>
      </c>
      <c r="I228" s="5">
        <f t="shared" si="27"/>
        <v>1868</v>
      </c>
      <c r="J228">
        <f t="shared" si="28"/>
        <v>1.6306419860790724</v>
      </c>
      <c r="K228">
        <f t="shared" si="29"/>
        <v>0.41180259469842617</v>
      </c>
      <c r="L228">
        <f t="shared" si="30"/>
        <v>1.2188393913806461</v>
      </c>
      <c r="P228">
        <f t="shared" si="31"/>
        <v>1</v>
      </c>
    </row>
    <row r="229" spans="1:16" x14ac:dyDescent="0.25">
      <c r="A229" s="1"/>
      <c r="B229" t="s">
        <v>243</v>
      </c>
      <c r="C229" t="s">
        <v>24</v>
      </c>
      <c r="D229" s="3">
        <v>9.1666666666666661</v>
      </c>
      <c r="E229" s="5">
        <f t="shared" si="24"/>
        <v>1869</v>
      </c>
      <c r="F229">
        <v>1.68716</v>
      </c>
      <c r="G229">
        <f t="shared" si="25"/>
        <v>-3.8360799999999999</v>
      </c>
      <c r="H229">
        <f t="shared" si="26"/>
        <v>-3.8360799999999999</v>
      </c>
      <c r="I229" s="5">
        <f t="shared" si="27"/>
        <v>1869</v>
      </c>
      <c r="J229">
        <f t="shared" si="28"/>
        <v>-1.9789818141790267</v>
      </c>
      <c r="K229">
        <f t="shared" si="29"/>
        <v>-5.1583845677389939E-2</v>
      </c>
      <c r="L229">
        <f t="shared" si="30"/>
        <v>1.9273979685016367</v>
      </c>
      <c r="P229">
        <f t="shared" si="31"/>
        <v>1</v>
      </c>
    </row>
    <row r="230" spans="1:16" x14ac:dyDescent="0.25">
      <c r="A230" s="1"/>
      <c r="B230" t="s">
        <v>244</v>
      </c>
      <c r="C230" t="s">
        <v>24</v>
      </c>
      <c r="D230" s="3">
        <v>9.2083333333333339</v>
      </c>
      <c r="E230" s="5">
        <f t="shared" si="24"/>
        <v>1870</v>
      </c>
      <c r="F230">
        <v>-0.67420000000000002</v>
      </c>
      <c r="G230">
        <f t="shared" si="25"/>
        <v>1.8069799999999998</v>
      </c>
      <c r="H230">
        <f t="shared" si="26"/>
        <v>1.8069799999999998</v>
      </c>
      <c r="I230" s="5">
        <f t="shared" si="27"/>
        <v>1870</v>
      </c>
      <c r="J230">
        <f t="shared" si="28"/>
        <v>0.9953605938638852</v>
      </c>
      <c r="K230">
        <f t="shared" si="29"/>
        <v>-0.35322027162411918</v>
      </c>
      <c r="L230">
        <f t="shared" si="30"/>
        <v>1.3485808654880045</v>
      </c>
      <c r="P230">
        <f t="shared" si="31"/>
        <v>0</v>
      </c>
    </row>
    <row r="231" spans="1:16" x14ac:dyDescent="0.25">
      <c r="A231" s="1"/>
      <c r="B231" t="s">
        <v>245</v>
      </c>
      <c r="C231" t="s">
        <v>24</v>
      </c>
      <c r="D231" s="3">
        <v>9.25</v>
      </c>
      <c r="E231" s="5">
        <f t="shared" si="24"/>
        <v>1871</v>
      </c>
      <c r="F231">
        <v>-1.22858</v>
      </c>
      <c r="G231">
        <f t="shared" si="25"/>
        <v>0.84607999999999994</v>
      </c>
      <c r="H231">
        <f t="shared" si="26"/>
        <v>0.84607999999999994</v>
      </c>
      <c r="I231" s="5">
        <f t="shared" si="27"/>
        <v>1871</v>
      </c>
      <c r="J231">
        <f t="shared" si="28"/>
        <v>-1.0133757459345232</v>
      </c>
      <c r="K231">
        <f t="shared" si="29"/>
        <v>0.6242823697875437</v>
      </c>
      <c r="L231">
        <f t="shared" si="30"/>
        <v>1.6376581157220669</v>
      </c>
      <c r="P231">
        <f t="shared" si="31"/>
        <v>0</v>
      </c>
    </row>
    <row r="232" spans="1:16" x14ac:dyDescent="0.25">
      <c r="A232" s="1"/>
      <c r="B232" t="s">
        <v>246</v>
      </c>
      <c r="C232" t="s">
        <v>24</v>
      </c>
      <c r="D232" s="3">
        <v>9.2916666666666661</v>
      </c>
      <c r="E232" s="5">
        <f t="shared" si="24"/>
        <v>1872</v>
      </c>
      <c r="F232">
        <v>-0.93688000000000005</v>
      </c>
      <c r="G232">
        <f t="shared" si="25"/>
        <v>-0.18365999999999993</v>
      </c>
      <c r="H232">
        <f t="shared" si="26"/>
        <v>-0.18365999999999993</v>
      </c>
      <c r="I232" s="5">
        <f t="shared" si="27"/>
        <v>1872</v>
      </c>
      <c r="J232">
        <f t="shared" si="28"/>
        <v>-1.1743658439893725</v>
      </c>
      <c r="K232">
        <f t="shared" si="29"/>
        <v>-0.6220788982218739</v>
      </c>
      <c r="L232">
        <f t="shared" si="30"/>
        <v>0.55228694576749859</v>
      </c>
      <c r="P232">
        <f t="shared" si="31"/>
        <v>1</v>
      </c>
    </row>
    <row r="233" spans="1:16" x14ac:dyDescent="0.25">
      <c r="A233" s="1"/>
      <c r="B233" t="s">
        <v>247</v>
      </c>
      <c r="C233" t="s">
        <v>24</v>
      </c>
      <c r="D233" s="3">
        <v>9.3333333333333339</v>
      </c>
      <c r="E233" s="5">
        <f t="shared" si="24"/>
        <v>1873</v>
      </c>
      <c r="F233">
        <v>-0.82884000000000002</v>
      </c>
      <c r="G233">
        <f t="shared" si="25"/>
        <v>0.55813000000000001</v>
      </c>
      <c r="H233">
        <f t="shared" si="26"/>
        <v>0.55813000000000001</v>
      </c>
      <c r="I233" s="5">
        <f t="shared" si="27"/>
        <v>1873</v>
      </c>
      <c r="J233">
        <f t="shared" si="28"/>
        <v>-0.55680858239420938</v>
      </c>
      <c r="K233">
        <f t="shared" si="29"/>
        <v>0.33277734537448905</v>
      </c>
      <c r="L233">
        <f t="shared" si="30"/>
        <v>0.88958592776869838</v>
      </c>
      <c r="P233">
        <f t="shared" si="31"/>
        <v>0</v>
      </c>
    </row>
    <row r="234" spans="1:16" x14ac:dyDescent="0.25">
      <c r="A234" s="1"/>
      <c r="B234" t="s">
        <v>248</v>
      </c>
      <c r="C234" t="s">
        <v>24</v>
      </c>
      <c r="D234" s="3">
        <v>9.375</v>
      </c>
      <c r="E234" s="5">
        <f t="shared" si="24"/>
        <v>1874</v>
      </c>
      <c r="F234">
        <v>-0.16267000000000001</v>
      </c>
      <c r="G234">
        <f t="shared" si="25"/>
        <v>-0.27478000000000002</v>
      </c>
      <c r="H234">
        <f t="shared" si="26"/>
        <v>-0.27478000000000002</v>
      </c>
      <c r="I234" s="5">
        <f t="shared" si="27"/>
        <v>1874</v>
      </c>
      <c r="J234">
        <f t="shared" si="28"/>
        <v>-0.49946839688893402</v>
      </c>
      <c r="K234">
        <f t="shared" si="29"/>
        <v>0.10347725414854553</v>
      </c>
      <c r="L234">
        <f t="shared" si="30"/>
        <v>0.60294565103747955</v>
      </c>
      <c r="P234">
        <f t="shared" si="31"/>
        <v>0</v>
      </c>
    </row>
    <row r="235" spans="1:16" x14ac:dyDescent="0.25">
      <c r="A235" s="1"/>
      <c r="B235" t="s">
        <v>249</v>
      </c>
      <c r="C235" t="s">
        <v>24</v>
      </c>
      <c r="D235" s="3">
        <v>9.4166666666666661</v>
      </c>
      <c r="E235" s="5">
        <f t="shared" si="24"/>
        <v>1875</v>
      </c>
      <c r="F235">
        <v>0.22872000000000001</v>
      </c>
      <c r="G235">
        <f t="shared" si="25"/>
        <v>-1.0702400000000001</v>
      </c>
      <c r="H235">
        <f t="shared" si="26"/>
        <v>-1.0702400000000001</v>
      </c>
      <c r="I235" s="5">
        <f t="shared" si="27"/>
        <v>1875</v>
      </c>
      <c r="J235">
        <f t="shared" si="28"/>
        <v>-0.8163613919799122</v>
      </c>
      <c r="K235">
        <f t="shared" si="29"/>
        <v>-0.46030193883460446</v>
      </c>
      <c r="L235">
        <f t="shared" si="30"/>
        <v>0.35605945314530774</v>
      </c>
      <c r="P235">
        <f t="shared" si="31"/>
        <v>1</v>
      </c>
    </row>
    <row r="236" spans="1:16" x14ac:dyDescent="0.25">
      <c r="A236" s="1"/>
      <c r="B236" t="s">
        <v>250</v>
      </c>
      <c r="C236" t="s">
        <v>24</v>
      </c>
      <c r="D236" s="3">
        <v>9.4583333333333339</v>
      </c>
      <c r="E236" s="5">
        <f t="shared" si="24"/>
        <v>1876</v>
      </c>
      <c r="F236">
        <v>-0.45012999999999997</v>
      </c>
      <c r="G236">
        <f t="shared" si="25"/>
        <v>2.2897299999999996</v>
      </c>
      <c r="H236">
        <f t="shared" si="26"/>
        <v>2.2897299999999996</v>
      </c>
      <c r="I236" s="5">
        <f t="shared" si="27"/>
        <v>1876</v>
      </c>
      <c r="J236">
        <f t="shared" si="28"/>
        <v>1.6725409857312563</v>
      </c>
      <c r="K236">
        <f t="shared" si="29"/>
        <v>0.56182920674973724</v>
      </c>
      <c r="L236">
        <f t="shared" si="30"/>
        <v>1.1107117789815191</v>
      </c>
      <c r="P236">
        <f t="shared" si="31"/>
        <v>1</v>
      </c>
    </row>
    <row r="237" spans="1:16" x14ac:dyDescent="0.25">
      <c r="A237" s="1"/>
      <c r="B237" t="s">
        <v>251</v>
      </c>
      <c r="C237" t="s">
        <v>24</v>
      </c>
      <c r="D237" s="3">
        <v>9.5</v>
      </c>
      <c r="E237" s="5">
        <f t="shared" si="24"/>
        <v>1877</v>
      </c>
      <c r="F237">
        <v>1.1607499999999999</v>
      </c>
      <c r="G237">
        <f t="shared" si="25"/>
        <v>-1.5945399999999998</v>
      </c>
      <c r="H237">
        <f t="shared" si="26"/>
        <v>-1.5945399999999998</v>
      </c>
      <c r="I237" s="5">
        <f t="shared" si="27"/>
        <v>1877</v>
      </c>
      <c r="J237">
        <f t="shared" si="28"/>
        <v>-5.2451513270914657E-2</v>
      </c>
      <c r="K237">
        <f t="shared" si="29"/>
        <v>-0.39161301375274604</v>
      </c>
      <c r="L237">
        <f t="shared" si="30"/>
        <v>0.33916150048183136</v>
      </c>
      <c r="P237">
        <f t="shared" si="31"/>
        <v>1</v>
      </c>
    </row>
    <row r="238" spans="1:16" x14ac:dyDescent="0.25">
      <c r="A238" s="1"/>
      <c r="B238" t="s">
        <v>252</v>
      </c>
      <c r="C238" t="s">
        <v>24</v>
      </c>
      <c r="D238" s="3">
        <v>9.5416666666666661</v>
      </c>
      <c r="E238" s="5">
        <f t="shared" si="24"/>
        <v>1878</v>
      </c>
      <c r="F238">
        <v>1.17709</v>
      </c>
      <c r="G238">
        <f t="shared" si="25"/>
        <v>-2.12297</v>
      </c>
      <c r="H238">
        <f t="shared" si="26"/>
        <v>-2.12297</v>
      </c>
      <c r="I238" s="5">
        <f t="shared" si="27"/>
        <v>1878</v>
      </c>
      <c r="J238">
        <f t="shared" si="28"/>
        <v>-0.77849763284113949</v>
      </c>
      <c r="K238">
        <f t="shared" si="29"/>
        <v>8.4880352118191033E-2</v>
      </c>
      <c r="L238">
        <f t="shared" si="30"/>
        <v>0.86337798495933049</v>
      </c>
      <c r="P238">
        <f t="shared" si="31"/>
        <v>0</v>
      </c>
    </row>
    <row r="239" spans="1:16" x14ac:dyDescent="0.25">
      <c r="A239" s="1"/>
      <c r="B239" t="s">
        <v>253</v>
      </c>
      <c r="C239" t="s">
        <v>24</v>
      </c>
      <c r="D239" s="3">
        <v>9.5833333333333339</v>
      </c>
      <c r="E239" s="5">
        <f t="shared" si="24"/>
        <v>1879</v>
      </c>
      <c r="F239">
        <v>-0.92954000000000003</v>
      </c>
      <c r="G239">
        <f t="shared" si="25"/>
        <v>1.21221</v>
      </c>
      <c r="H239">
        <f t="shared" si="26"/>
        <v>1.21221</v>
      </c>
      <c r="I239" s="5">
        <f t="shared" si="27"/>
        <v>1879</v>
      </c>
      <c r="J239">
        <f t="shared" si="28"/>
        <v>-5.2564583868177694E-2</v>
      </c>
      <c r="K239">
        <f t="shared" si="29"/>
        <v>0.18573459513501028</v>
      </c>
      <c r="L239">
        <f t="shared" si="30"/>
        <v>0.23829917900318798</v>
      </c>
      <c r="P239">
        <f t="shared" si="31"/>
        <v>0</v>
      </c>
    </row>
    <row r="240" spans="1:16" x14ac:dyDescent="0.25">
      <c r="A240" s="1"/>
      <c r="B240" t="s">
        <v>254</v>
      </c>
      <c r="C240" t="s">
        <v>24</v>
      </c>
      <c r="D240" s="3">
        <v>9.625</v>
      </c>
      <c r="E240" s="5">
        <f t="shared" si="24"/>
        <v>1880</v>
      </c>
      <c r="F240">
        <v>-1.82396</v>
      </c>
      <c r="G240">
        <f t="shared" si="25"/>
        <v>3.1040900000000002</v>
      </c>
      <c r="H240">
        <f t="shared" si="26"/>
        <v>3.1040900000000002</v>
      </c>
      <c r="I240" s="5">
        <f t="shared" si="27"/>
        <v>1880</v>
      </c>
      <c r="J240">
        <f t="shared" si="28"/>
        <v>0.62557137774016802</v>
      </c>
      <c r="K240">
        <f t="shared" si="29"/>
        <v>-0.32961021791511641</v>
      </c>
      <c r="L240">
        <f t="shared" si="30"/>
        <v>0.95518159565528449</v>
      </c>
      <c r="P240">
        <f t="shared" si="31"/>
        <v>0</v>
      </c>
    </row>
    <row r="241" spans="1:16" x14ac:dyDescent="0.25">
      <c r="A241" s="1"/>
      <c r="B241" t="s">
        <v>255</v>
      </c>
      <c r="C241" t="s">
        <v>24</v>
      </c>
      <c r="D241" s="3">
        <v>9.6666666666666661</v>
      </c>
      <c r="E241" s="5">
        <f t="shared" si="24"/>
        <v>1881</v>
      </c>
      <c r="F241">
        <v>0.38571</v>
      </c>
      <c r="G241">
        <f t="shared" si="25"/>
        <v>-2.3247300000000002</v>
      </c>
      <c r="H241">
        <f t="shared" si="26"/>
        <v>-2.3247300000000002</v>
      </c>
      <c r="I241" s="5">
        <f t="shared" si="27"/>
        <v>1881</v>
      </c>
      <c r="J241">
        <f t="shared" si="28"/>
        <v>-1.9195928557698758</v>
      </c>
      <c r="K241">
        <f t="shared" si="29"/>
        <v>0.37048120417211883</v>
      </c>
      <c r="L241">
        <f t="shared" si="30"/>
        <v>2.2900740599419946</v>
      </c>
      <c r="P241">
        <f t="shared" si="31"/>
        <v>0</v>
      </c>
    </row>
    <row r="242" spans="1:16" x14ac:dyDescent="0.25">
      <c r="A242" s="1"/>
      <c r="B242" t="s">
        <v>256</v>
      </c>
      <c r="C242" t="s">
        <v>24</v>
      </c>
      <c r="D242" s="3">
        <v>9.7083333333333339</v>
      </c>
      <c r="E242" s="5">
        <f t="shared" si="24"/>
        <v>1882</v>
      </c>
      <c r="F242">
        <v>0.27065</v>
      </c>
      <c r="G242">
        <f t="shared" si="25"/>
        <v>-0.93714000000000008</v>
      </c>
      <c r="H242">
        <f t="shared" si="26"/>
        <v>-0.93714000000000008</v>
      </c>
      <c r="I242" s="5">
        <f t="shared" si="27"/>
        <v>1882</v>
      </c>
      <c r="J242">
        <f t="shared" si="28"/>
        <v>-0.52898509170130392</v>
      </c>
      <c r="K242">
        <f t="shared" si="29"/>
        <v>-0.38643267994684782</v>
      </c>
      <c r="L242">
        <f t="shared" si="30"/>
        <v>0.1425524117544561</v>
      </c>
      <c r="P242">
        <f t="shared" si="31"/>
        <v>1</v>
      </c>
    </row>
    <row r="243" spans="1:16" x14ac:dyDescent="0.25">
      <c r="A243" s="1"/>
      <c r="B243" t="s">
        <v>257</v>
      </c>
      <c r="C243" t="s">
        <v>24</v>
      </c>
      <c r="D243" s="3">
        <v>9.75</v>
      </c>
      <c r="E243" s="5">
        <f t="shared" si="24"/>
        <v>1883</v>
      </c>
      <c r="F243">
        <v>-0.78154999999999997</v>
      </c>
      <c r="G243">
        <f t="shared" si="25"/>
        <v>2.1461699999999997</v>
      </c>
      <c r="H243">
        <f t="shared" si="26"/>
        <v>2.1461699999999997</v>
      </c>
      <c r="I243" s="5">
        <f t="shared" si="27"/>
        <v>1883</v>
      </c>
      <c r="J243">
        <f t="shared" si="28"/>
        <v>1.1890939911620086</v>
      </c>
      <c r="K243">
        <f t="shared" si="29"/>
        <v>0.42471660070102563</v>
      </c>
      <c r="L243">
        <f t="shared" si="30"/>
        <v>0.76437739046098296</v>
      </c>
      <c r="P243">
        <f t="shared" si="31"/>
        <v>1</v>
      </c>
    </row>
    <row r="244" spans="1:16" x14ac:dyDescent="0.25">
      <c r="A244" s="1"/>
      <c r="B244" t="s">
        <v>258</v>
      </c>
      <c r="C244" t="s">
        <v>24</v>
      </c>
      <c r="D244" s="3">
        <v>9.7916666666666661</v>
      </c>
      <c r="E244" s="5">
        <f t="shared" si="24"/>
        <v>1884</v>
      </c>
      <c r="F244">
        <v>0.31241999999999998</v>
      </c>
      <c r="G244">
        <f t="shared" si="25"/>
        <v>0.26290000000000013</v>
      </c>
      <c r="H244">
        <f t="shared" si="26"/>
        <v>0.26290000000000013</v>
      </c>
      <c r="I244" s="5">
        <f t="shared" si="27"/>
        <v>1884</v>
      </c>
      <c r="J244">
        <f t="shared" si="28"/>
        <v>0.59800628613371043</v>
      </c>
      <c r="K244">
        <f t="shared" si="29"/>
        <v>-0.4621897543353703</v>
      </c>
      <c r="L244">
        <f t="shared" si="30"/>
        <v>1.0601960404690807</v>
      </c>
      <c r="P244">
        <f t="shared" si="31"/>
        <v>0</v>
      </c>
    </row>
    <row r="245" spans="1:16" x14ac:dyDescent="0.25">
      <c r="A245" s="1"/>
      <c r="B245" t="s">
        <v>259</v>
      </c>
      <c r="C245" t="s">
        <v>24</v>
      </c>
      <c r="D245" s="3">
        <v>9.8333333333333339</v>
      </c>
      <c r="E245" s="5">
        <f t="shared" si="24"/>
        <v>1885</v>
      </c>
      <c r="F245">
        <v>1.6692899999999999</v>
      </c>
      <c r="G245">
        <f t="shared" si="25"/>
        <v>-3.0097399999999999</v>
      </c>
      <c r="H245">
        <f t="shared" si="26"/>
        <v>-3.0097399999999999</v>
      </c>
      <c r="I245" s="5">
        <f t="shared" si="27"/>
        <v>1885</v>
      </c>
      <c r="J245">
        <f t="shared" si="28"/>
        <v>-0.23039502894106562</v>
      </c>
      <c r="K245">
        <f t="shared" si="29"/>
        <v>0.43329122053912061</v>
      </c>
      <c r="L245">
        <f t="shared" si="30"/>
        <v>0.66368624948018629</v>
      </c>
      <c r="P245">
        <f t="shared" si="31"/>
        <v>0</v>
      </c>
    </row>
    <row r="246" spans="1:16" x14ac:dyDescent="0.25">
      <c r="A246" s="1"/>
      <c r="B246" t="s">
        <v>260</v>
      </c>
      <c r="C246" t="s">
        <v>24</v>
      </c>
      <c r="D246" s="3">
        <v>9.875</v>
      </c>
      <c r="E246" s="5">
        <f t="shared" si="24"/>
        <v>1886</v>
      </c>
      <c r="F246">
        <v>1.6420000000000001E-2</v>
      </c>
      <c r="G246">
        <f t="shared" si="25"/>
        <v>-0.11202000000000023</v>
      </c>
      <c r="H246">
        <f t="shared" si="26"/>
        <v>-0.11202000000000023</v>
      </c>
      <c r="I246" s="5">
        <f t="shared" si="27"/>
        <v>1886</v>
      </c>
      <c r="J246">
        <f t="shared" si="28"/>
        <v>-9.7205049560529333E-2</v>
      </c>
      <c r="K246">
        <f t="shared" si="29"/>
        <v>-0.29370853667631625</v>
      </c>
      <c r="L246">
        <f t="shared" si="30"/>
        <v>0.19650348711578691</v>
      </c>
      <c r="P246">
        <f t="shared" si="31"/>
        <v>1</v>
      </c>
    </row>
    <row r="247" spans="1:16" x14ac:dyDescent="0.25">
      <c r="A247" s="1"/>
      <c r="B247" t="s">
        <v>261</v>
      </c>
      <c r="C247" t="s">
        <v>24</v>
      </c>
      <c r="D247" s="3">
        <v>9.9166666666666661</v>
      </c>
      <c r="E247" s="5">
        <f t="shared" si="24"/>
        <v>1887</v>
      </c>
      <c r="F247">
        <v>-1.74847</v>
      </c>
      <c r="G247">
        <f t="shared" si="25"/>
        <v>4.7467000000000006</v>
      </c>
      <c r="H247">
        <f t="shared" si="26"/>
        <v>4.7467000000000006</v>
      </c>
      <c r="I247" s="5">
        <f t="shared" si="27"/>
        <v>1887</v>
      </c>
      <c r="J247">
        <f t="shared" si="28"/>
        <v>2.1831026537550842</v>
      </c>
      <c r="K247">
        <f t="shared" si="29"/>
        <v>6.5914698891493234E-2</v>
      </c>
      <c r="L247">
        <f t="shared" si="30"/>
        <v>2.1171879548635908</v>
      </c>
      <c r="P247">
        <f t="shared" si="31"/>
        <v>1</v>
      </c>
    </row>
    <row r="248" spans="1:16" x14ac:dyDescent="0.25">
      <c r="A248" s="1"/>
      <c r="B248" t="s">
        <v>262</v>
      </c>
      <c r="C248" t="s">
        <v>24</v>
      </c>
      <c r="D248" s="3">
        <v>9.9583333333333339</v>
      </c>
      <c r="E248" s="5">
        <f t="shared" si="24"/>
        <v>1888</v>
      </c>
      <c r="F248">
        <v>1.2333400000000001</v>
      </c>
      <c r="G248">
        <f t="shared" si="25"/>
        <v>-2.8604800000000004</v>
      </c>
      <c r="H248">
        <f t="shared" si="26"/>
        <v>-2.8604800000000004</v>
      </c>
      <c r="I248" s="5">
        <f t="shared" si="27"/>
        <v>1888</v>
      </c>
      <c r="J248">
        <f t="shared" si="28"/>
        <v>-1.2312743517087521</v>
      </c>
      <c r="K248">
        <f t="shared" si="29"/>
        <v>0.16862689175608564</v>
      </c>
      <c r="L248">
        <f t="shared" si="30"/>
        <v>1.3999012434648377</v>
      </c>
      <c r="P248">
        <f t="shared" si="31"/>
        <v>0</v>
      </c>
    </row>
    <row r="249" spans="1:16" x14ac:dyDescent="0.25">
      <c r="A249" s="1"/>
      <c r="B249" t="s">
        <v>263</v>
      </c>
      <c r="C249" t="s">
        <v>24</v>
      </c>
      <c r="D249" s="3">
        <v>10</v>
      </c>
      <c r="E249" s="5">
        <f t="shared" si="24"/>
        <v>1889</v>
      </c>
      <c r="F249">
        <v>1.35467</v>
      </c>
      <c r="G249">
        <f t="shared" si="25"/>
        <v>-2.9236499999999999</v>
      </c>
      <c r="H249">
        <f t="shared" si="26"/>
        <v>-2.9236499999999999</v>
      </c>
      <c r="I249" s="5">
        <f t="shared" si="27"/>
        <v>1889</v>
      </c>
      <c r="J249">
        <f t="shared" si="28"/>
        <v>-1.4046945052476612</v>
      </c>
      <c r="K249">
        <f t="shared" si="29"/>
        <v>-0.32393880079536519</v>
      </c>
      <c r="L249">
        <f t="shared" si="30"/>
        <v>1.080755704452296</v>
      </c>
      <c r="P249">
        <f t="shared" si="31"/>
        <v>1</v>
      </c>
    </row>
    <row r="250" spans="1:16" x14ac:dyDescent="0.25">
      <c r="A250" s="1"/>
      <c r="B250" t="s">
        <v>264</v>
      </c>
      <c r="C250" t="s">
        <v>24</v>
      </c>
      <c r="D250" s="3">
        <v>10.041666666666666</v>
      </c>
      <c r="E250" s="5">
        <f t="shared" si="24"/>
        <v>1890</v>
      </c>
      <c r="F250">
        <v>-1.4476500000000001</v>
      </c>
      <c r="G250">
        <f t="shared" si="25"/>
        <v>4.2313499999999999</v>
      </c>
      <c r="H250">
        <f t="shared" si="26"/>
        <v>4.2313499999999999</v>
      </c>
      <c r="I250" s="5">
        <f t="shared" si="27"/>
        <v>1890</v>
      </c>
      <c r="J250">
        <f t="shared" si="28"/>
        <v>2.2602286128190534</v>
      </c>
      <c r="K250">
        <f t="shared" si="29"/>
        <v>0.36916273462168198</v>
      </c>
      <c r="L250">
        <f t="shared" si="30"/>
        <v>1.8910658781973715</v>
      </c>
      <c r="P250">
        <f t="shared" si="31"/>
        <v>1</v>
      </c>
    </row>
    <row r="251" spans="1:16" x14ac:dyDescent="0.25">
      <c r="A251" s="1"/>
      <c r="B251" t="s">
        <v>265</v>
      </c>
      <c r="C251" t="s">
        <v>24</v>
      </c>
      <c r="D251" s="3">
        <v>10.083333333333334</v>
      </c>
      <c r="E251" s="5">
        <f t="shared" si="24"/>
        <v>1891</v>
      </c>
      <c r="F251">
        <v>-1.8620000000000001E-2</v>
      </c>
      <c r="G251">
        <f t="shared" si="25"/>
        <v>-1.7558</v>
      </c>
      <c r="H251">
        <f t="shared" si="26"/>
        <v>-1.7558</v>
      </c>
      <c r="I251" s="5">
        <f t="shared" si="27"/>
        <v>1891</v>
      </c>
      <c r="J251">
        <f t="shared" si="28"/>
        <v>-1.781646047397677</v>
      </c>
      <c r="K251">
        <f t="shared" si="29"/>
        <v>-0.34777020765870992</v>
      </c>
      <c r="L251">
        <f t="shared" si="30"/>
        <v>1.433875839738967</v>
      </c>
      <c r="P251">
        <f t="shared" si="31"/>
        <v>1</v>
      </c>
    </row>
    <row r="252" spans="1:16" x14ac:dyDescent="0.25">
      <c r="A252" s="1"/>
      <c r="B252" t="s">
        <v>266</v>
      </c>
      <c r="C252" t="s">
        <v>24</v>
      </c>
      <c r="D252" s="3">
        <v>10.125</v>
      </c>
      <c r="E252" s="5">
        <f t="shared" si="24"/>
        <v>1892</v>
      </c>
      <c r="F252">
        <v>-0.34538999999999997</v>
      </c>
      <c r="G252">
        <f t="shared" si="25"/>
        <v>-1.5630200000000001</v>
      </c>
      <c r="H252">
        <f t="shared" si="26"/>
        <v>-1.5630200000000001</v>
      </c>
      <c r="I252" s="5">
        <f t="shared" si="27"/>
        <v>1892</v>
      </c>
      <c r="J252">
        <f t="shared" si="28"/>
        <v>-1.913439299668992</v>
      </c>
      <c r="K252">
        <f t="shared" si="29"/>
        <v>0.33981942529982578</v>
      </c>
      <c r="L252">
        <f t="shared" si="30"/>
        <v>2.2532587249688176</v>
      </c>
      <c r="P252">
        <f t="shared" si="31"/>
        <v>0</v>
      </c>
    </row>
    <row r="253" spans="1:16" x14ac:dyDescent="0.25">
      <c r="A253" s="1"/>
      <c r="B253" t="s">
        <v>267</v>
      </c>
      <c r="C253" t="s">
        <v>24</v>
      </c>
      <c r="D253" s="3">
        <v>10.166666666666666</v>
      </c>
      <c r="E253" s="5">
        <f t="shared" si="24"/>
        <v>1893</v>
      </c>
      <c r="F253">
        <v>-2.2351800000000002</v>
      </c>
      <c r="G253">
        <f t="shared" si="25"/>
        <v>2.3824900000000002</v>
      </c>
      <c r="H253">
        <f t="shared" si="26"/>
        <v>2.3824900000000002</v>
      </c>
      <c r="I253" s="5">
        <f t="shared" si="27"/>
        <v>1893</v>
      </c>
      <c r="J253">
        <f t="shared" si="28"/>
        <v>-1.0143621048891864</v>
      </c>
      <c r="K253">
        <f t="shared" si="29"/>
        <v>-0.39257565202425104</v>
      </c>
      <c r="L253">
        <f t="shared" si="30"/>
        <v>0.62178645286493539</v>
      </c>
      <c r="P253">
        <f t="shared" si="31"/>
        <v>1</v>
      </c>
    </row>
    <row r="254" spans="1:16" x14ac:dyDescent="0.25">
      <c r="A254" s="1"/>
      <c r="B254" t="s">
        <v>268</v>
      </c>
      <c r="C254" t="s">
        <v>24</v>
      </c>
      <c r="D254" s="3">
        <v>10.208333333333334</v>
      </c>
      <c r="E254" s="5">
        <f t="shared" si="24"/>
        <v>1894</v>
      </c>
      <c r="F254">
        <v>-1.74248</v>
      </c>
      <c r="G254">
        <f t="shared" si="25"/>
        <v>0.96674999999999978</v>
      </c>
      <c r="H254">
        <f t="shared" si="26"/>
        <v>0.96674999999999978</v>
      </c>
      <c r="I254" s="5">
        <f t="shared" si="27"/>
        <v>1894</v>
      </c>
      <c r="J254">
        <f t="shared" si="28"/>
        <v>-1.2084859848066158</v>
      </c>
      <c r="K254">
        <f t="shared" si="29"/>
        <v>0.47063754890872994</v>
      </c>
      <c r="L254">
        <f t="shared" si="30"/>
        <v>1.6791235337153458</v>
      </c>
      <c r="P254">
        <f t="shared" si="31"/>
        <v>0</v>
      </c>
    </row>
    <row r="255" spans="1:16" x14ac:dyDescent="0.25">
      <c r="A255" s="1"/>
      <c r="B255" t="s">
        <v>269</v>
      </c>
      <c r="C255" t="s">
        <v>24</v>
      </c>
      <c r="D255" s="3">
        <v>10.25</v>
      </c>
      <c r="E255" s="5">
        <f t="shared" si="24"/>
        <v>1895</v>
      </c>
      <c r="F255">
        <v>-0.28303</v>
      </c>
      <c r="G255">
        <f t="shared" si="25"/>
        <v>-1.5630499999999998</v>
      </c>
      <c r="H255">
        <f t="shared" si="26"/>
        <v>-1.5630499999999998</v>
      </c>
      <c r="I255" s="5">
        <f t="shared" si="27"/>
        <v>1895</v>
      </c>
      <c r="J255">
        <f t="shared" si="28"/>
        <v>-1.8550894131723414</v>
      </c>
      <c r="K255">
        <f t="shared" si="29"/>
        <v>-0.46819721643515294</v>
      </c>
      <c r="L255">
        <f t="shared" si="30"/>
        <v>1.3868921967371886</v>
      </c>
      <c r="P255">
        <f t="shared" si="31"/>
        <v>1</v>
      </c>
    </row>
    <row r="256" spans="1:16" x14ac:dyDescent="0.25">
      <c r="A256" s="1"/>
      <c r="B256" t="s">
        <v>270</v>
      </c>
      <c r="C256" t="s">
        <v>24</v>
      </c>
      <c r="D256" s="3">
        <v>10.291666666666666</v>
      </c>
      <c r="E256" s="5">
        <f t="shared" si="24"/>
        <v>1896</v>
      </c>
      <c r="F256">
        <v>-0.38662999999999997</v>
      </c>
      <c r="G256">
        <f t="shared" si="25"/>
        <v>1.8875199999999999</v>
      </c>
      <c r="H256">
        <f t="shared" si="26"/>
        <v>1.8875199999999999</v>
      </c>
      <c r="I256" s="5">
        <f t="shared" si="27"/>
        <v>1896</v>
      </c>
      <c r="J256">
        <f t="shared" si="28"/>
        <v>1.2367857618136322</v>
      </c>
      <c r="K256">
        <f t="shared" si="29"/>
        <v>0.28617549152179234</v>
      </c>
      <c r="L256">
        <f t="shared" si="30"/>
        <v>0.95061027029183987</v>
      </c>
      <c r="P256">
        <f t="shared" si="31"/>
        <v>1</v>
      </c>
    </row>
    <row r="257" spans="1:16" x14ac:dyDescent="0.25">
      <c r="A257" s="1"/>
      <c r="B257" t="s">
        <v>271</v>
      </c>
      <c r="C257" t="s">
        <v>24</v>
      </c>
      <c r="D257" s="3">
        <v>10.333333333333334</v>
      </c>
      <c r="E257" s="5">
        <f t="shared" si="24"/>
        <v>1897</v>
      </c>
      <c r="F257">
        <v>1.3972899999999999</v>
      </c>
      <c r="G257">
        <f t="shared" si="25"/>
        <v>-3.03003</v>
      </c>
      <c r="H257">
        <f t="shared" si="26"/>
        <v>-3.03003</v>
      </c>
      <c r="I257" s="5">
        <f t="shared" si="27"/>
        <v>1897</v>
      </c>
      <c r="J257">
        <f t="shared" si="28"/>
        <v>-1.7052848092598358</v>
      </c>
      <c r="K257">
        <f t="shared" si="29"/>
        <v>7.2376064002738716E-2</v>
      </c>
      <c r="L257">
        <f t="shared" si="30"/>
        <v>1.7776608732625745</v>
      </c>
      <c r="P257">
        <f t="shared" si="31"/>
        <v>0</v>
      </c>
    </row>
    <row r="258" spans="1:16" x14ac:dyDescent="0.25">
      <c r="A258" s="1"/>
      <c r="B258" t="s">
        <v>272</v>
      </c>
      <c r="C258" t="s">
        <v>24</v>
      </c>
      <c r="D258" s="3">
        <v>10.375</v>
      </c>
      <c r="E258" s="5">
        <f t="shared" si="24"/>
        <v>1898</v>
      </c>
      <c r="F258">
        <v>0.15118000000000001</v>
      </c>
      <c r="G258">
        <f t="shared" si="25"/>
        <v>-0.33862000000000037</v>
      </c>
      <c r="H258">
        <f t="shared" si="26"/>
        <v>-0.33862000000000037</v>
      </c>
      <c r="I258" s="5">
        <f t="shared" si="27"/>
        <v>1898</v>
      </c>
      <c r="J258">
        <f t="shared" si="28"/>
        <v>-0.13682891945852568</v>
      </c>
      <c r="K258">
        <f t="shared" si="29"/>
        <v>-0.46257083499575152</v>
      </c>
      <c r="L258">
        <f t="shared" si="30"/>
        <v>0.32574191553722587</v>
      </c>
      <c r="P258">
        <f t="shared" si="31"/>
        <v>1</v>
      </c>
    </row>
    <row r="259" spans="1:16" x14ac:dyDescent="0.25">
      <c r="A259" s="1"/>
      <c r="B259" t="s">
        <v>273</v>
      </c>
      <c r="C259" t="s">
        <v>24</v>
      </c>
      <c r="D259" s="3">
        <v>10.416666666666666</v>
      </c>
      <c r="E259" s="5">
        <f t="shared" si="24"/>
        <v>1899</v>
      </c>
      <c r="F259">
        <v>-1.4335500000000001</v>
      </c>
      <c r="G259">
        <f t="shared" si="25"/>
        <v>3.4573100000000005</v>
      </c>
      <c r="H259">
        <f t="shared" si="26"/>
        <v>3.4573100000000005</v>
      </c>
      <c r="I259" s="5">
        <f t="shared" si="27"/>
        <v>1899</v>
      </c>
      <c r="J259">
        <f t="shared" si="28"/>
        <v>1.2699147674326285</v>
      </c>
      <c r="K259">
        <f t="shared" si="29"/>
        <v>0.66436043130110645</v>
      </c>
      <c r="L259">
        <f t="shared" si="30"/>
        <v>0.6055543361315221</v>
      </c>
      <c r="P259">
        <f t="shared" si="31"/>
        <v>1</v>
      </c>
    </row>
    <row r="260" spans="1:16" x14ac:dyDescent="0.25">
      <c r="A260" s="1"/>
      <c r="B260" s="4">
        <v>1</v>
      </c>
      <c r="C260" t="s">
        <v>24</v>
      </c>
      <c r="D260" s="3">
        <v>10.458333333333334</v>
      </c>
      <c r="E260" s="5">
        <f t="shared" si="24"/>
        <v>1900</v>
      </c>
      <c r="F260">
        <v>0.43902999999999998</v>
      </c>
      <c r="G260">
        <f t="shared" si="25"/>
        <v>-1.2742800000000001</v>
      </c>
      <c r="H260">
        <f t="shared" si="26"/>
        <v>-1.2742800000000001</v>
      </c>
      <c r="I260" s="5">
        <f t="shared" si="27"/>
        <v>1900</v>
      </c>
      <c r="J260">
        <f t="shared" si="28"/>
        <v>-0.88420054007817073</v>
      </c>
      <c r="K260">
        <f t="shared" si="29"/>
        <v>-0.529581322830738</v>
      </c>
      <c r="L260">
        <f t="shared" si="30"/>
        <v>0.35461921724743273</v>
      </c>
      <c r="P260">
        <f t="shared" si="31"/>
        <v>1</v>
      </c>
    </row>
    <row r="261" spans="1:16" x14ac:dyDescent="0.25">
      <c r="A261" s="1"/>
      <c r="B261" s="4">
        <v>367</v>
      </c>
      <c r="C261" t="s">
        <v>24</v>
      </c>
      <c r="D261" s="3">
        <v>10.5</v>
      </c>
      <c r="E261" s="5">
        <f t="shared" si="24"/>
        <v>1901</v>
      </c>
      <c r="F261">
        <v>1.0373300000000001</v>
      </c>
      <c r="G261">
        <f t="shared" si="25"/>
        <v>-2.6122100000000001</v>
      </c>
      <c r="H261">
        <f t="shared" si="26"/>
        <v>-2.6122100000000001</v>
      </c>
      <c r="I261" s="5">
        <f t="shared" si="27"/>
        <v>1901</v>
      </c>
      <c r="J261">
        <f t="shared" si="28"/>
        <v>-0.99295828896938398</v>
      </c>
      <c r="K261">
        <f t="shared" si="29"/>
        <v>0.10334889366153824</v>
      </c>
      <c r="L261">
        <f t="shared" si="30"/>
        <v>1.0963071826309223</v>
      </c>
      <c r="P261">
        <f t="shared" si="31"/>
        <v>0</v>
      </c>
    </row>
    <row r="262" spans="1:16" x14ac:dyDescent="0.25">
      <c r="A262" s="1"/>
      <c r="B262" s="4">
        <v>732</v>
      </c>
      <c r="C262" t="s">
        <v>24</v>
      </c>
      <c r="D262" s="3">
        <v>10.541666666666666</v>
      </c>
      <c r="E262" s="5">
        <f t="shared" si="24"/>
        <v>1902</v>
      </c>
      <c r="F262">
        <v>-0.97658</v>
      </c>
      <c r="G262">
        <f t="shared" si="25"/>
        <v>4.6636100000000003</v>
      </c>
      <c r="H262">
        <f t="shared" si="26"/>
        <v>4.6636100000000003</v>
      </c>
      <c r="I262" s="5">
        <f t="shared" si="27"/>
        <v>1902</v>
      </c>
      <c r="J262">
        <f t="shared" si="28"/>
        <v>3.4212606714754421</v>
      </c>
      <c r="K262">
        <f t="shared" si="29"/>
        <v>0.38659149774607826</v>
      </c>
      <c r="L262">
        <f t="shared" si="30"/>
        <v>3.0346691737293638</v>
      </c>
      <c r="P262">
        <f t="shared" si="31"/>
        <v>1</v>
      </c>
    </row>
    <row r="263" spans="1:16" x14ac:dyDescent="0.25">
      <c r="A263" s="1"/>
      <c r="B263" s="4">
        <v>1097</v>
      </c>
      <c r="C263" t="s">
        <v>24</v>
      </c>
      <c r="D263" s="3">
        <v>10.583333333333334</v>
      </c>
      <c r="E263" s="5">
        <f t="shared" si="24"/>
        <v>1903</v>
      </c>
      <c r="F263">
        <v>1.6731199999999999</v>
      </c>
      <c r="G263">
        <f t="shared" si="25"/>
        <v>-6.1806000000000001</v>
      </c>
      <c r="H263">
        <f t="shared" si="26"/>
        <v>-6.1806000000000001</v>
      </c>
      <c r="I263" s="5">
        <f t="shared" si="27"/>
        <v>1903</v>
      </c>
      <c r="J263">
        <f t="shared" si="28"/>
        <v>-4.4632353203828199</v>
      </c>
      <c r="K263">
        <f t="shared" si="29"/>
        <v>-0.67521708263811075</v>
      </c>
      <c r="L263">
        <f t="shared" si="30"/>
        <v>3.7880182377447094</v>
      </c>
      <c r="P263">
        <f t="shared" si="31"/>
        <v>1</v>
      </c>
    </row>
    <row r="264" spans="1:16" x14ac:dyDescent="0.25">
      <c r="A264" s="1"/>
      <c r="B264" s="4">
        <v>1462</v>
      </c>
      <c r="C264" t="s">
        <v>24</v>
      </c>
      <c r="D264" s="3">
        <v>10.625</v>
      </c>
      <c r="E264" s="5">
        <f t="shared" si="24"/>
        <v>1904</v>
      </c>
      <c r="F264">
        <v>-1.85778</v>
      </c>
      <c r="G264">
        <f t="shared" si="25"/>
        <v>7.8058199999999998</v>
      </c>
      <c r="H264">
        <f t="shared" si="26"/>
        <v>7.8058199999999998</v>
      </c>
      <c r="I264" s="5">
        <f t="shared" si="27"/>
        <v>1904</v>
      </c>
      <c r="J264">
        <f t="shared" si="28"/>
        <v>4.8239487273287285</v>
      </c>
      <c r="K264">
        <f t="shared" si="29"/>
        <v>0.62740252231735216</v>
      </c>
      <c r="L264">
        <f t="shared" si="30"/>
        <v>4.1965462050113764</v>
      </c>
      <c r="P264">
        <f t="shared" si="31"/>
        <v>1</v>
      </c>
    </row>
    <row r="265" spans="1:16" x14ac:dyDescent="0.25">
      <c r="A265" s="1"/>
      <c r="B265" s="4">
        <v>1828</v>
      </c>
      <c r="C265" t="s">
        <v>24</v>
      </c>
      <c r="D265" s="3">
        <v>10.666666666666666</v>
      </c>
      <c r="E265" s="5">
        <f t="shared" si="24"/>
        <v>1905</v>
      </c>
      <c r="F265">
        <v>2.4171399999999998</v>
      </c>
      <c r="G265">
        <f t="shared" si="25"/>
        <v>-4.6000300000000003</v>
      </c>
      <c r="H265">
        <f t="shared" si="26"/>
        <v>-4.6000300000000003</v>
      </c>
      <c r="I265" s="5">
        <f t="shared" si="27"/>
        <v>1905</v>
      </c>
      <c r="J265">
        <f t="shared" si="28"/>
        <v>-1.9762316518624474</v>
      </c>
      <c r="K265">
        <f t="shared" si="29"/>
        <v>-0.30328123677755731</v>
      </c>
      <c r="L265">
        <f t="shared" si="30"/>
        <v>1.6729504150848902</v>
      </c>
      <c r="P265">
        <f t="shared" si="31"/>
        <v>1</v>
      </c>
    </row>
    <row r="266" spans="1:16" x14ac:dyDescent="0.25">
      <c r="A266" s="1"/>
      <c r="B266" s="4">
        <v>2193</v>
      </c>
      <c r="C266" t="s">
        <v>24</v>
      </c>
      <c r="D266" s="3">
        <v>10.708333333333334</v>
      </c>
      <c r="E266" s="5">
        <f t="shared" si="24"/>
        <v>1906</v>
      </c>
      <c r="F266">
        <v>2.0920299999999998</v>
      </c>
      <c r="G266">
        <f t="shared" si="25"/>
        <v>-1.3063799999999999</v>
      </c>
      <c r="H266">
        <f t="shared" si="26"/>
        <v>-1.3063799999999999</v>
      </c>
      <c r="I266" s="5">
        <f t="shared" si="27"/>
        <v>1906</v>
      </c>
      <c r="J266">
        <f t="shared" si="28"/>
        <v>1.3040359218643165</v>
      </c>
      <c r="K266">
        <f t="shared" si="29"/>
        <v>-0.10729840446624897</v>
      </c>
      <c r="L266">
        <f t="shared" si="30"/>
        <v>1.4113343263305655</v>
      </c>
      <c r="P266">
        <f t="shared" si="31"/>
        <v>0</v>
      </c>
    </row>
    <row r="267" spans="1:16" x14ac:dyDescent="0.25">
      <c r="A267" s="1"/>
      <c r="B267" s="4">
        <v>2558</v>
      </c>
      <c r="C267" t="s">
        <v>24</v>
      </c>
      <c r="D267" s="3">
        <v>10.75</v>
      </c>
      <c r="E267" s="5">
        <f t="shared" si="24"/>
        <v>1907</v>
      </c>
      <c r="F267">
        <v>0.46054</v>
      </c>
      <c r="G267">
        <f t="shared" si="25"/>
        <v>1.47526</v>
      </c>
      <c r="H267">
        <f t="shared" si="26"/>
        <v>1.47526</v>
      </c>
      <c r="I267" s="5">
        <f t="shared" si="27"/>
        <v>1907</v>
      </c>
      <c r="J267">
        <f t="shared" si="28"/>
        <v>2.1428512986985404</v>
      </c>
      <c r="K267">
        <f t="shared" si="29"/>
        <v>0.41389327983512514</v>
      </c>
      <c r="L267">
        <f t="shared" si="30"/>
        <v>1.7289580188634153</v>
      </c>
      <c r="P267">
        <f t="shared" si="31"/>
        <v>1</v>
      </c>
    </row>
    <row r="268" spans="1:16" x14ac:dyDescent="0.25">
      <c r="A268" s="1"/>
      <c r="B268" s="4">
        <v>2923</v>
      </c>
      <c r="C268" t="s">
        <v>24</v>
      </c>
      <c r="D268" s="3">
        <v>10.791666666666666</v>
      </c>
      <c r="E268" s="5">
        <f t="shared" ref="E268:E331" si="32">+E267+1</f>
        <v>1908</v>
      </c>
      <c r="F268">
        <v>0.30431000000000002</v>
      </c>
      <c r="G268">
        <f t="shared" ref="G268:G331" si="33">+(F269-F268)-(F268-F267)</f>
        <v>-1.2863600000000002</v>
      </c>
      <c r="H268">
        <f t="shared" ref="H268:H331" si="34">+G268</f>
        <v>-1.2863600000000002</v>
      </c>
      <c r="I268" s="5">
        <f t="shared" si="27"/>
        <v>1908</v>
      </c>
      <c r="J268">
        <f t="shared" si="28"/>
        <v>-0.93834838464843839</v>
      </c>
      <c r="K268">
        <f t="shared" si="29"/>
        <v>-0.52776916275076569</v>
      </c>
      <c r="L268">
        <f t="shared" si="30"/>
        <v>0.41057922189767271</v>
      </c>
      <c r="P268">
        <f t="shared" si="31"/>
        <v>1</v>
      </c>
    </row>
    <row r="269" spans="1:16" x14ac:dyDescent="0.25">
      <c r="A269" s="1"/>
      <c r="B269" s="4">
        <v>3289</v>
      </c>
      <c r="C269" t="s">
        <v>24</v>
      </c>
      <c r="D269" s="3">
        <v>10.833333333333334</v>
      </c>
      <c r="E269" s="5">
        <f t="shared" si="32"/>
        <v>1909</v>
      </c>
      <c r="F269">
        <v>-1.13828</v>
      </c>
      <c r="G269">
        <f t="shared" si="33"/>
        <v>0.48252000000000006</v>
      </c>
      <c r="H269">
        <f t="shared" si="34"/>
        <v>0.48252000000000006</v>
      </c>
      <c r="I269" s="5">
        <f t="shared" ref="I269:I332" si="35">+E269</f>
        <v>1909</v>
      </c>
      <c r="J269">
        <f t="shared" ref="J269:J332" si="36">+$J$6*F269+F269*$J$7*COS(2*PI()*$I269/$K$6+$K$5*COS($J$5*$I269+$K$8)+$J$9)+H269+F269*$J$3*COS(2*PI()*$I269/$J$8+$K$3)</f>
        <v>-0.93322602691157219</v>
      </c>
      <c r="K269">
        <f t="shared" ref="K269:K332" si="37">+$K$8*COS(2*PI()*$I269/$K$6+$K$5*COS($J$5*$I269+$K$8)+$K$7) +$K$4*COS(2*PI()*$I269/$J$8+$J$4)</f>
        <v>0.48580473531631629</v>
      </c>
      <c r="L269">
        <f t="shared" ref="L269:L332" si="38">+ABS(J269-K269)</f>
        <v>1.4190307622278886</v>
      </c>
      <c r="P269">
        <f t="shared" ref="P269:P332" si="39">+IF(J269*K269&gt;0,1, 0)</f>
        <v>0</v>
      </c>
    </row>
    <row r="270" spans="1:16" x14ac:dyDescent="0.25">
      <c r="A270" s="1"/>
      <c r="B270" s="4">
        <v>3654</v>
      </c>
      <c r="C270" t="s">
        <v>24</v>
      </c>
      <c r="D270" s="3">
        <v>10.875</v>
      </c>
      <c r="E270" s="5">
        <f t="shared" si="32"/>
        <v>1910</v>
      </c>
      <c r="F270">
        <v>-2.0983499999999999</v>
      </c>
      <c r="G270">
        <f t="shared" si="33"/>
        <v>2.6539299999999999</v>
      </c>
      <c r="H270">
        <f t="shared" si="34"/>
        <v>2.6539299999999999</v>
      </c>
      <c r="I270" s="5">
        <f t="shared" si="35"/>
        <v>1910</v>
      </c>
      <c r="J270">
        <f t="shared" si="36"/>
        <v>-0.4237824357904787</v>
      </c>
      <c r="K270">
        <f t="shared" si="37"/>
        <v>-0.39869110942104868</v>
      </c>
      <c r="L270">
        <f t="shared" si="38"/>
        <v>2.5091326369430011E-2</v>
      </c>
      <c r="P270">
        <f t="shared" si="39"/>
        <v>1</v>
      </c>
    </row>
    <row r="271" spans="1:16" x14ac:dyDescent="0.25">
      <c r="A271" s="1"/>
      <c r="B271" s="4">
        <v>4019</v>
      </c>
      <c r="C271" t="s">
        <v>24</v>
      </c>
      <c r="D271" s="3">
        <v>10.916666666666666</v>
      </c>
      <c r="E271" s="5">
        <f t="shared" si="32"/>
        <v>1911</v>
      </c>
      <c r="F271">
        <v>-0.40449000000000002</v>
      </c>
      <c r="G271">
        <f t="shared" si="33"/>
        <v>0.65920000000000023</v>
      </c>
      <c r="H271">
        <f t="shared" si="34"/>
        <v>0.65920000000000023</v>
      </c>
      <c r="I271" s="5">
        <f t="shared" si="35"/>
        <v>1911</v>
      </c>
      <c r="J271">
        <f t="shared" si="36"/>
        <v>0.21903959061100903</v>
      </c>
      <c r="K271">
        <f t="shared" si="37"/>
        <v>0.36555464330017184</v>
      </c>
      <c r="L271">
        <f t="shared" si="38"/>
        <v>0.14651505268916282</v>
      </c>
      <c r="P271">
        <f t="shared" si="39"/>
        <v>1</v>
      </c>
    </row>
    <row r="272" spans="1:16" x14ac:dyDescent="0.25">
      <c r="A272" s="1"/>
      <c r="B272" s="4">
        <v>4384</v>
      </c>
      <c r="C272" t="s">
        <v>24</v>
      </c>
      <c r="D272" s="3">
        <v>10.958333333333334</v>
      </c>
      <c r="E272" s="5">
        <f t="shared" si="32"/>
        <v>1912</v>
      </c>
      <c r="F272">
        <v>1.9485699999999999</v>
      </c>
      <c r="G272">
        <f t="shared" si="33"/>
        <v>-3.4008099999999999</v>
      </c>
      <c r="H272">
        <f t="shared" si="34"/>
        <v>-3.4008099999999999</v>
      </c>
      <c r="I272" s="5">
        <f t="shared" si="35"/>
        <v>1912</v>
      </c>
      <c r="J272">
        <f t="shared" si="36"/>
        <v>-0.88427474298997544</v>
      </c>
      <c r="K272">
        <f t="shared" si="37"/>
        <v>-0.40958239454701595</v>
      </c>
      <c r="L272">
        <f t="shared" si="38"/>
        <v>0.47469234844295949</v>
      </c>
      <c r="P272">
        <f t="shared" si="39"/>
        <v>1</v>
      </c>
    </row>
    <row r="273" spans="1:16" x14ac:dyDescent="0.25">
      <c r="A273" s="1"/>
      <c r="B273" s="4">
        <v>4750</v>
      </c>
      <c r="C273" t="s">
        <v>24</v>
      </c>
      <c r="D273" s="3">
        <v>11</v>
      </c>
      <c r="E273" s="5">
        <f t="shared" si="32"/>
        <v>1913</v>
      </c>
      <c r="F273">
        <v>0.90081999999999995</v>
      </c>
      <c r="G273">
        <f t="shared" si="33"/>
        <v>1.9676</v>
      </c>
      <c r="H273">
        <f t="shared" si="34"/>
        <v>1.9676</v>
      </c>
      <c r="I273" s="5">
        <f t="shared" si="35"/>
        <v>1913</v>
      </c>
      <c r="J273">
        <f t="shared" si="36"/>
        <v>3.3312376680458278</v>
      </c>
      <c r="K273">
        <f t="shared" si="37"/>
        <v>0.4716797393822808</v>
      </c>
      <c r="L273">
        <f t="shared" si="38"/>
        <v>2.8595579286635471</v>
      </c>
      <c r="P273">
        <f t="shared" si="39"/>
        <v>1</v>
      </c>
    </row>
    <row r="274" spans="1:16" x14ac:dyDescent="0.25">
      <c r="A274" s="1"/>
      <c r="B274" s="4">
        <v>5115</v>
      </c>
      <c r="C274" t="s">
        <v>24</v>
      </c>
      <c r="D274" s="3">
        <v>11.041666666666666</v>
      </c>
      <c r="E274" s="5">
        <f t="shared" si="32"/>
        <v>1914</v>
      </c>
      <c r="F274">
        <v>1.82067</v>
      </c>
      <c r="G274">
        <f t="shared" si="33"/>
        <v>-0.67032000000000025</v>
      </c>
      <c r="H274">
        <f t="shared" si="34"/>
        <v>-0.67032000000000025</v>
      </c>
      <c r="I274" s="5">
        <f t="shared" si="35"/>
        <v>1914</v>
      </c>
      <c r="J274">
        <f t="shared" si="36"/>
        <v>0.9399912545455742</v>
      </c>
      <c r="K274">
        <f t="shared" si="37"/>
        <v>-0.4608317313942264</v>
      </c>
      <c r="L274">
        <f t="shared" si="38"/>
        <v>1.4008229859398007</v>
      </c>
      <c r="P274">
        <f t="shared" si="39"/>
        <v>0</v>
      </c>
    </row>
    <row r="275" spans="1:16" x14ac:dyDescent="0.25">
      <c r="A275" s="1"/>
      <c r="B275" s="4">
        <v>5480</v>
      </c>
      <c r="C275" t="s">
        <v>24</v>
      </c>
      <c r="D275" s="3">
        <v>11.083333333333334</v>
      </c>
      <c r="E275" s="5">
        <f t="shared" si="32"/>
        <v>1915</v>
      </c>
      <c r="F275">
        <v>2.0701999999999998</v>
      </c>
      <c r="G275">
        <f t="shared" si="33"/>
        <v>-2.86402</v>
      </c>
      <c r="H275">
        <f t="shared" si="34"/>
        <v>-2.86402</v>
      </c>
      <c r="I275" s="5">
        <f t="shared" si="35"/>
        <v>1915</v>
      </c>
      <c r="J275">
        <f t="shared" si="36"/>
        <v>0.523406865615196</v>
      </c>
      <c r="K275">
        <f t="shared" si="37"/>
        <v>0.32335257891847968</v>
      </c>
      <c r="L275">
        <f t="shared" si="38"/>
        <v>0.20005428669671632</v>
      </c>
      <c r="P275">
        <f t="shared" si="39"/>
        <v>1</v>
      </c>
    </row>
    <row r="276" spans="1:16" x14ac:dyDescent="0.25">
      <c r="A276" s="1"/>
      <c r="B276" s="4">
        <v>5845</v>
      </c>
      <c r="C276" t="s">
        <v>24</v>
      </c>
      <c r="D276" s="3">
        <v>11.125</v>
      </c>
      <c r="E276" s="5">
        <f t="shared" si="32"/>
        <v>1916</v>
      </c>
      <c r="F276">
        <v>-0.54429000000000005</v>
      </c>
      <c r="G276">
        <f t="shared" si="33"/>
        <v>1.9921000000000002</v>
      </c>
      <c r="H276">
        <f t="shared" si="34"/>
        <v>1.9921000000000002</v>
      </c>
      <c r="I276" s="5">
        <f t="shared" si="35"/>
        <v>1916</v>
      </c>
      <c r="J276">
        <f t="shared" si="36"/>
        <v>1.3824462875485715</v>
      </c>
      <c r="K276">
        <f t="shared" si="37"/>
        <v>-8.248115240714253E-2</v>
      </c>
      <c r="L276">
        <f t="shared" si="38"/>
        <v>1.464927439955714</v>
      </c>
      <c r="P276">
        <f t="shared" si="39"/>
        <v>0</v>
      </c>
    </row>
    <row r="277" spans="1:16" x14ac:dyDescent="0.25">
      <c r="A277" s="1"/>
      <c r="B277" s="4">
        <v>6211</v>
      </c>
      <c r="C277" t="s">
        <v>24</v>
      </c>
      <c r="D277" s="3">
        <v>11.166666666666666</v>
      </c>
      <c r="E277" s="5">
        <f t="shared" si="32"/>
        <v>1917</v>
      </c>
      <c r="F277">
        <v>-1.1666799999999999</v>
      </c>
      <c r="G277">
        <f t="shared" si="33"/>
        <v>9.9349999999999716E-2</v>
      </c>
      <c r="H277">
        <f t="shared" si="34"/>
        <v>9.9349999999999716E-2</v>
      </c>
      <c r="I277" s="5">
        <f t="shared" si="35"/>
        <v>1917</v>
      </c>
      <c r="J277">
        <f t="shared" si="36"/>
        <v>-1.3154209267370305</v>
      </c>
      <c r="K277">
        <f t="shared" si="37"/>
        <v>-0.17751915192480505</v>
      </c>
      <c r="L277">
        <f t="shared" si="38"/>
        <v>1.1379017748122253</v>
      </c>
      <c r="P277">
        <f t="shared" si="39"/>
        <v>1</v>
      </c>
    </row>
    <row r="278" spans="1:16" x14ac:dyDescent="0.25">
      <c r="A278" s="1"/>
      <c r="B278" s="4">
        <v>6576</v>
      </c>
      <c r="C278" t="s">
        <v>24</v>
      </c>
      <c r="D278" s="3">
        <v>11.208333333333334</v>
      </c>
      <c r="E278" s="5">
        <f t="shared" si="32"/>
        <v>1918</v>
      </c>
      <c r="F278">
        <v>-1.6897200000000001</v>
      </c>
      <c r="G278">
        <f t="shared" si="33"/>
        <v>4.5624900000000004</v>
      </c>
      <c r="H278">
        <f t="shared" si="34"/>
        <v>4.5624900000000004</v>
      </c>
      <c r="I278" s="5">
        <f t="shared" si="35"/>
        <v>1918</v>
      </c>
      <c r="J278">
        <f t="shared" si="36"/>
        <v>2.1272649119015417</v>
      </c>
      <c r="K278">
        <f t="shared" si="37"/>
        <v>0.36808312841243074</v>
      </c>
      <c r="L278">
        <f t="shared" si="38"/>
        <v>1.7591817834891108</v>
      </c>
      <c r="P278">
        <f t="shared" si="39"/>
        <v>1</v>
      </c>
    </row>
    <row r="279" spans="1:16" x14ac:dyDescent="0.25">
      <c r="A279" s="1"/>
      <c r="B279" s="4">
        <v>6941</v>
      </c>
      <c r="C279" t="s">
        <v>24</v>
      </c>
      <c r="D279" s="3">
        <v>11.25</v>
      </c>
      <c r="E279" s="5">
        <f t="shared" si="32"/>
        <v>1919</v>
      </c>
      <c r="F279">
        <v>2.3497300000000001</v>
      </c>
      <c r="G279">
        <f t="shared" si="33"/>
        <v>-4.90611</v>
      </c>
      <c r="H279">
        <f t="shared" si="34"/>
        <v>-4.90611</v>
      </c>
      <c r="I279" s="5">
        <f t="shared" si="35"/>
        <v>1919</v>
      </c>
      <c r="J279">
        <f t="shared" si="36"/>
        <v>-2.0972869440012083</v>
      </c>
      <c r="K279">
        <f t="shared" si="37"/>
        <v>-0.44982586186510259</v>
      </c>
      <c r="L279">
        <f t="shared" si="38"/>
        <v>1.6474610821361058</v>
      </c>
      <c r="P279">
        <f t="shared" si="39"/>
        <v>1</v>
      </c>
    </row>
    <row r="280" spans="1:16" x14ac:dyDescent="0.25">
      <c r="A280" s="1"/>
      <c r="B280" s="4">
        <v>7306</v>
      </c>
      <c r="C280" t="s">
        <v>24</v>
      </c>
      <c r="D280" s="3">
        <v>11.291666666666666</v>
      </c>
      <c r="E280" s="5">
        <f t="shared" si="32"/>
        <v>1920</v>
      </c>
      <c r="F280">
        <v>1.4830700000000001</v>
      </c>
      <c r="G280">
        <f t="shared" si="33"/>
        <v>-1.3225099999999999</v>
      </c>
      <c r="H280">
        <f t="shared" si="34"/>
        <v>-1.3225099999999999</v>
      </c>
      <c r="I280" s="5">
        <f t="shared" si="35"/>
        <v>1920</v>
      </c>
      <c r="J280">
        <f t="shared" si="36"/>
        <v>0.43797560243158801</v>
      </c>
      <c r="K280">
        <f t="shared" si="37"/>
        <v>0.44256363935403659</v>
      </c>
      <c r="L280">
        <f t="shared" si="38"/>
        <v>4.5880369224485795E-3</v>
      </c>
      <c r="P280">
        <f t="shared" si="39"/>
        <v>1</v>
      </c>
    </row>
    <row r="281" spans="1:16" x14ac:dyDescent="0.25">
      <c r="A281" s="1"/>
      <c r="B281" s="4">
        <v>7672</v>
      </c>
      <c r="C281" t="s">
        <v>24</v>
      </c>
      <c r="D281" s="3">
        <v>11.333333333333334</v>
      </c>
      <c r="E281" s="5">
        <f t="shared" si="32"/>
        <v>1921</v>
      </c>
      <c r="F281">
        <v>-0.70609999999999995</v>
      </c>
      <c r="G281">
        <f t="shared" si="33"/>
        <v>1.6403299999999998</v>
      </c>
      <c r="H281">
        <f t="shared" si="34"/>
        <v>1.6403299999999998</v>
      </c>
      <c r="I281" s="5">
        <f t="shared" si="35"/>
        <v>1921</v>
      </c>
      <c r="J281">
        <f t="shared" si="36"/>
        <v>0.59436708640984093</v>
      </c>
      <c r="K281">
        <f t="shared" si="37"/>
        <v>-0.38754117032639046</v>
      </c>
      <c r="L281">
        <f t="shared" si="38"/>
        <v>0.98190825673623139</v>
      </c>
      <c r="P281">
        <f t="shared" si="39"/>
        <v>0</v>
      </c>
    </row>
    <row r="282" spans="1:16" x14ac:dyDescent="0.25">
      <c r="A282" s="1"/>
      <c r="B282" s="4">
        <v>8037</v>
      </c>
      <c r="C282" t="s">
        <v>24</v>
      </c>
      <c r="D282" s="3">
        <v>11.375</v>
      </c>
      <c r="E282" s="5">
        <f t="shared" si="32"/>
        <v>1922</v>
      </c>
      <c r="F282">
        <v>-1.2549399999999999</v>
      </c>
      <c r="G282">
        <f t="shared" si="33"/>
        <v>1.2729200000000001</v>
      </c>
      <c r="H282">
        <f t="shared" si="34"/>
        <v>1.2729200000000001</v>
      </c>
      <c r="I282" s="5">
        <f t="shared" si="35"/>
        <v>1922</v>
      </c>
      <c r="J282">
        <f t="shared" si="36"/>
        <v>-0.15120619188320183</v>
      </c>
      <c r="K282">
        <f t="shared" si="37"/>
        <v>0.29924563579723984</v>
      </c>
      <c r="L282">
        <f t="shared" si="38"/>
        <v>0.45045182768044167</v>
      </c>
      <c r="P282">
        <f t="shared" si="39"/>
        <v>0</v>
      </c>
    </row>
    <row r="283" spans="1:16" x14ac:dyDescent="0.25">
      <c r="A283" s="1"/>
      <c r="B283" s="4">
        <v>8402</v>
      </c>
      <c r="C283" t="s">
        <v>24</v>
      </c>
      <c r="D283" s="3">
        <v>11.416666666666666</v>
      </c>
      <c r="E283" s="5">
        <f t="shared" si="32"/>
        <v>1923</v>
      </c>
      <c r="F283">
        <v>-0.53086</v>
      </c>
      <c r="G283">
        <f t="shared" si="33"/>
        <v>0.36950000000000005</v>
      </c>
      <c r="H283">
        <f t="shared" si="34"/>
        <v>0.36950000000000005</v>
      </c>
      <c r="I283" s="5">
        <f t="shared" si="35"/>
        <v>1923</v>
      </c>
      <c r="J283">
        <f t="shared" si="36"/>
        <v>-0.2749933748386702</v>
      </c>
      <c r="K283">
        <f t="shared" si="37"/>
        <v>-0.15611969307153567</v>
      </c>
      <c r="L283">
        <f t="shared" si="38"/>
        <v>0.11887368176713453</v>
      </c>
      <c r="P283">
        <f t="shared" si="39"/>
        <v>1</v>
      </c>
    </row>
    <row r="284" spans="1:16" x14ac:dyDescent="0.25">
      <c r="A284" s="1"/>
      <c r="B284" s="4">
        <v>8767</v>
      </c>
      <c r="C284" t="s">
        <v>24</v>
      </c>
      <c r="D284" s="3">
        <v>11.458333333333334</v>
      </c>
      <c r="E284" s="5">
        <f t="shared" si="32"/>
        <v>1924</v>
      </c>
      <c r="F284">
        <v>0.56272</v>
      </c>
      <c r="G284">
        <f t="shared" si="33"/>
        <v>-3.4095500000000003</v>
      </c>
      <c r="H284">
        <f t="shared" si="34"/>
        <v>-3.4095500000000003</v>
      </c>
      <c r="I284" s="5">
        <f t="shared" si="35"/>
        <v>1924</v>
      </c>
      <c r="J284">
        <f t="shared" si="36"/>
        <v>-2.5365971085085093</v>
      </c>
      <c r="K284">
        <f t="shared" si="37"/>
        <v>-5.57118799090075E-2</v>
      </c>
      <c r="L284">
        <f t="shared" si="38"/>
        <v>2.4808852285995018</v>
      </c>
      <c r="P284">
        <f t="shared" si="39"/>
        <v>1</v>
      </c>
    </row>
    <row r="285" spans="1:16" x14ac:dyDescent="0.25">
      <c r="A285" s="1"/>
      <c r="B285" s="4">
        <v>9133</v>
      </c>
      <c r="C285" t="s">
        <v>24</v>
      </c>
      <c r="D285" s="3">
        <v>11.5</v>
      </c>
      <c r="E285" s="5">
        <f t="shared" si="32"/>
        <v>1925</v>
      </c>
      <c r="F285">
        <v>-1.75325</v>
      </c>
      <c r="G285">
        <f t="shared" si="33"/>
        <v>5.95662</v>
      </c>
      <c r="H285">
        <f t="shared" si="34"/>
        <v>5.95662</v>
      </c>
      <c r="I285" s="5">
        <f t="shared" si="35"/>
        <v>1925</v>
      </c>
      <c r="J285">
        <f t="shared" si="36"/>
        <v>4.2768327239938859</v>
      </c>
      <c r="K285">
        <f t="shared" si="37"/>
        <v>0.28892636041480524</v>
      </c>
      <c r="L285">
        <f t="shared" si="38"/>
        <v>3.9879063635790808</v>
      </c>
      <c r="P285">
        <f t="shared" si="39"/>
        <v>1</v>
      </c>
    </row>
    <row r="286" spans="1:16" x14ac:dyDescent="0.25">
      <c r="A286" s="1"/>
      <c r="B286" s="4">
        <v>9498</v>
      </c>
      <c r="C286" t="s">
        <v>24</v>
      </c>
      <c r="D286" s="3">
        <v>11.541666666666666</v>
      </c>
      <c r="E286" s="5">
        <f t="shared" si="32"/>
        <v>1926</v>
      </c>
      <c r="F286">
        <v>1.8874</v>
      </c>
      <c r="G286">
        <f t="shared" si="33"/>
        <v>-5.6693199999999999</v>
      </c>
      <c r="H286">
        <f t="shared" si="34"/>
        <v>-5.6693199999999999</v>
      </c>
      <c r="I286" s="5">
        <f t="shared" si="35"/>
        <v>1926</v>
      </c>
      <c r="J286">
        <f t="shared" si="36"/>
        <v>-2.9750965012917128</v>
      </c>
      <c r="K286">
        <f t="shared" si="37"/>
        <v>-0.43578944099902883</v>
      </c>
      <c r="L286">
        <f t="shared" si="38"/>
        <v>2.5393070602926837</v>
      </c>
      <c r="P286">
        <f t="shared" si="39"/>
        <v>1</v>
      </c>
    </row>
    <row r="287" spans="1:16" x14ac:dyDescent="0.25">
      <c r="A287" s="1"/>
      <c r="B287" s="4">
        <v>9863</v>
      </c>
      <c r="C287" t="s">
        <v>24</v>
      </c>
      <c r="D287" s="3">
        <v>11.583333333333334</v>
      </c>
      <c r="E287" s="5">
        <f t="shared" si="32"/>
        <v>1927</v>
      </c>
      <c r="F287">
        <v>-0.14127000000000001</v>
      </c>
      <c r="G287">
        <f t="shared" si="33"/>
        <v>2.4368499999999997</v>
      </c>
      <c r="H287">
        <f t="shared" si="34"/>
        <v>2.4368499999999997</v>
      </c>
      <c r="I287" s="5">
        <f t="shared" si="35"/>
        <v>1927</v>
      </c>
      <c r="J287">
        <f t="shared" si="36"/>
        <v>2.2365691170228756</v>
      </c>
      <c r="K287">
        <f t="shared" si="37"/>
        <v>0.39769554301322696</v>
      </c>
      <c r="L287">
        <f t="shared" si="38"/>
        <v>1.8388735740096487</v>
      </c>
      <c r="P287">
        <f t="shared" si="39"/>
        <v>1</v>
      </c>
    </row>
    <row r="288" spans="1:16" x14ac:dyDescent="0.25">
      <c r="A288" s="1"/>
      <c r="B288" s="4">
        <v>10228</v>
      </c>
      <c r="C288" t="s">
        <v>24</v>
      </c>
      <c r="D288" s="3">
        <v>11.625</v>
      </c>
      <c r="E288" s="5">
        <f t="shared" si="32"/>
        <v>1928</v>
      </c>
      <c r="F288">
        <v>0.26690999999999998</v>
      </c>
      <c r="G288">
        <f t="shared" si="33"/>
        <v>-1.9864899999999999</v>
      </c>
      <c r="H288">
        <f t="shared" si="34"/>
        <v>-1.9864899999999999</v>
      </c>
      <c r="I288" s="5">
        <f t="shared" si="35"/>
        <v>1928</v>
      </c>
      <c r="J288">
        <f t="shared" si="36"/>
        <v>-1.7404568533451952</v>
      </c>
      <c r="K288">
        <f t="shared" si="37"/>
        <v>-0.16399860638591296</v>
      </c>
      <c r="L288">
        <f t="shared" si="38"/>
        <v>1.5764582469592823</v>
      </c>
      <c r="P288">
        <f t="shared" si="39"/>
        <v>1</v>
      </c>
    </row>
    <row r="289" spans="1:16" x14ac:dyDescent="0.25">
      <c r="A289" s="1"/>
      <c r="B289" s="4">
        <v>10594</v>
      </c>
      <c r="C289" t="s">
        <v>24</v>
      </c>
      <c r="D289" s="3">
        <v>11.666666666666666</v>
      </c>
      <c r="E289" s="5">
        <f t="shared" si="32"/>
        <v>1929</v>
      </c>
      <c r="F289">
        <v>-1.3113999999999999</v>
      </c>
      <c r="G289">
        <f t="shared" si="33"/>
        <v>3.6171199999999999</v>
      </c>
      <c r="H289">
        <f t="shared" si="34"/>
        <v>3.6171199999999999</v>
      </c>
      <c r="I289" s="5">
        <f t="shared" si="35"/>
        <v>1929</v>
      </c>
      <c r="J289">
        <f t="shared" si="36"/>
        <v>1.4770334600388557</v>
      </c>
      <c r="K289">
        <f t="shared" si="37"/>
        <v>-0.17135196842197273</v>
      </c>
      <c r="L289">
        <f t="shared" si="38"/>
        <v>1.6483854284608284</v>
      </c>
      <c r="P289">
        <f t="shared" si="39"/>
        <v>0</v>
      </c>
    </row>
    <row r="290" spans="1:16" x14ac:dyDescent="0.25">
      <c r="A290" s="1"/>
      <c r="B290" s="4">
        <v>10959</v>
      </c>
      <c r="C290" t="s">
        <v>24</v>
      </c>
      <c r="D290" s="3">
        <v>11.708333333333334</v>
      </c>
      <c r="E290" s="5">
        <f t="shared" si="32"/>
        <v>1930</v>
      </c>
      <c r="F290">
        <v>0.72741</v>
      </c>
      <c r="G290">
        <f t="shared" si="33"/>
        <v>-0.54781999999999975</v>
      </c>
      <c r="H290">
        <f t="shared" si="34"/>
        <v>-0.54781999999999975</v>
      </c>
      <c r="I290" s="5">
        <f t="shared" si="35"/>
        <v>1930</v>
      </c>
      <c r="J290">
        <f t="shared" si="36"/>
        <v>0.28958805305438884</v>
      </c>
      <c r="K290">
        <f t="shared" si="37"/>
        <v>0.46358240286065672</v>
      </c>
      <c r="L290">
        <f t="shared" si="38"/>
        <v>0.17399434980626788</v>
      </c>
      <c r="P290">
        <f t="shared" si="39"/>
        <v>1</v>
      </c>
    </row>
    <row r="291" spans="1:16" x14ac:dyDescent="0.25">
      <c r="A291" s="1"/>
      <c r="B291" s="4">
        <v>11324</v>
      </c>
      <c r="C291" t="s">
        <v>24</v>
      </c>
      <c r="D291" s="3">
        <v>11.75</v>
      </c>
      <c r="E291" s="5">
        <f t="shared" si="32"/>
        <v>1931</v>
      </c>
      <c r="F291">
        <v>2.2183999999999999</v>
      </c>
      <c r="G291">
        <f t="shared" si="33"/>
        <v>-3.2621199999999999</v>
      </c>
      <c r="H291">
        <f t="shared" si="34"/>
        <v>-3.2621199999999999</v>
      </c>
      <c r="I291" s="5">
        <f t="shared" si="35"/>
        <v>1931</v>
      </c>
      <c r="J291">
        <f t="shared" si="36"/>
        <v>-0.83249006636327894</v>
      </c>
      <c r="K291">
        <f t="shared" si="37"/>
        <v>-0.59084397022134194</v>
      </c>
      <c r="L291">
        <f t="shared" si="38"/>
        <v>0.24164609614193699</v>
      </c>
      <c r="P291">
        <f t="shared" si="39"/>
        <v>1</v>
      </c>
    </row>
    <row r="292" spans="1:16" x14ac:dyDescent="0.25">
      <c r="A292" s="1"/>
      <c r="B292" s="4">
        <v>11689</v>
      </c>
      <c r="C292" t="s">
        <v>24</v>
      </c>
      <c r="D292" s="3">
        <v>11.791666666666666</v>
      </c>
      <c r="E292" s="5">
        <f t="shared" si="32"/>
        <v>1932</v>
      </c>
      <c r="F292">
        <v>0.44727</v>
      </c>
      <c r="G292">
        <f t="shared" si="33"/>
        <v>1.1273599999999999</v>
      </c>
      <c r="H292">
        <f t="shared" si="34"/>
        <v>1.1273599999999999</v>
      </c>
      <c r="I292" s="5">
        <f t="shared" si="35"/>
        <v>1932</v>
      </c>
      <c r="J292">
        <f t="shared" si="36"/>
        <v>1.871548604625664</v>
      </c>
      <c r="K292">
        <f t="shared" si="37"/>
        <v>0.50231770981848967</v>
      </c>
      <c r="L292">
        <f t="shared" si="38"/>
        <v>1.3692308948071743</v>
      </c>
      <c r="P292">
        <f t="shared" si="39"/>
        <v>1</v>
      </c>
    </row>
    <row r="293" spans="1:16" x14ac:dyDescent="0.25">
      <c r="A293" s="1"/>
      <c r="B293" s="4">
        <v>12055</v>
      </c>
      <c r="C293" t="s">
        <v>24</v>
      </c>
      <c r="D293" s="3">
        <v>11.833333333333334</v>
      </c>
      <c r="E293" s="5">
        <f t="shared" si="32"/>
        <v>1933</v>
      </c>
      <c r="F293">
        <v>-0.19650000000000001</v>
      </c>
      <c r="G293">
        <f t="shared" si="33"/>
        <v>-0.84888999999999992</v>
      </c>
      <c r="H293">
        <f t="shared" si="34"/>
        <v>-0.84888999999999992</v>
      </c>
      <c r="I293" s="5">
        <f t="shared" si="35"/>
        <v>1933</v>
      </c>
      <c r="J293">
        <f t="shared" si="36"/>
        <v>-1.0282544410649983</v>
      </c>
      <c r="K293">
        <f t="shared" si="37"/>
        <v>-0.23129565673261865</v>
      </c>
      <c r="L293">
        <f t="shared" si="38"/>
        <v>0.79695878433237965</v>
      </c>
      <c r="P293">
        <f t="shared" si="39"/>
        <v>1</v>
      </c>
    </row>
    <row r="294" spans="1:16" x14ac:dyDescent="0.25">
      <c r="A294" s="1"/>
      <c r="B294" s="4">
        <v>12420</v>
      </c>
      <c r="C294" t="s">
        <v>24</v>
      </c>
      <c r="D294" s="3">
        <v>11.875</v>
      </c>
      <c r="E294" s="5">
        <f t="shared" si="32"/>
        <v>1934</v>
      </c>
      <c r="F294">
        <v>-1.68916</v>
      </c>
      <c r="G294">
        <f t="shared" si="33"/>
        <v>2.8805499999999999</v>
      </c>
      <c r="H294">
        <f t="shared" si="34"/>
        <v>2.8805499999999999</v>
      </c>
      <c r="I294" s="5">
        <f t="shared" si="35"/>
        <v>1934</v>
      </c>
      <c r="J294">
        <f t="shared" si="36"/>
        <v>0.46113499991496504</v>
      </c>
      <c r="K294">
        <f t="shared" si="37"/>
        <v>-0.12056692507953988</v>
      </c>
      <c r="L294">
        <f t="shared" si="38"/>
        <v>0.5817019249945049</v>
      </c>
      <c r="P294">
        <f t="shared" si="39"/>
        <v>0</v>
      </c>
    </row>
    <row r="295" spans="1:16" x14ac:dyDescent="0.25">
      <c r="A295" s="1"/>
      <c r="B295" s="4">
        <v>12785</v>
      </c>
      <c r="C295" t="s">
        <v>24</v>
      </c>
      <c r="D295" s="3">
        <v>11.916666666666666</v>
      </c>
      <c r="E295" s="5">
        <f t="shared" si="32"/>
        <v>1935</v>
      </c>
      <c r="F295">
        <v>-0.30126999999999998</v>
      </c>
      <c r="G295">
        <f t="shared" si="33"/>
        <v>-1.0414099999999999</v>
      </c>
      <c r="H295">
        <f t="shared" si="34"/>
        <v>-1.0414099999999999</v>
      </c>
      <c r="I295" s="5">
        <f t="shared" si="35"/>
        <v>1935</v>
      </c>
      <c r="J295">
        <f t="shared" si="36"/>
        <v>-1.4554070669691859</v>
      </c>
      <c r="K295">
        <f t="shared" si="37"/>
        <v>0.42489738101525548</v>
      </c>
      <c r="L295">
        <f t="shared" si="38"/>
        <v>1.8803044479844413</v>
      </c>
      <c r="P295">
        <f t="shared" si="39"/>
        <v>0</v>
      </c>
    </row>
    <row r="296" spans="1:16" x14ac:dyDescent="0.25">
      <c r="A296" s="1"/>
      <c r="B296" s="4">
        <v>13150</v>
      </c>
      <c r="C296" t="s">
        <v>24</v>
      </c>
      <c r="D296" s="3">
        <v>11.958333333333334</v>
      </c>
      <c r="E296" s="5">
        <f t="shared" si="32"/>
        <v>1936</v>
      </c>
      <c r="F296">
        <v>4.521E-2</v>
      </c>
      <c r="G296">
        <f t="shared" si="33"/>
        <v>4.8209999999999975E-2</v>
      </c>
      <c r="H296">
        <f t="shared" si="34"/>
        <v>4.8209999999999975E-2</v>
      </c>
      <c r="I296" s="5">
        <f t="shared" si="35"/>
        <v>1936</v>
      </c>
      <c r="J296">
        <f t="shared" si="36"/>
        <v>9.6131781883278866E-2</v>
      </c>
      <c r="K296">
        <f t="shared" si="37"/>
        <v>-0.58468069001979972</v>
      </c>
      <c r="L296">
        <f t="shared" si="38"/>
        <v>0.68081247190307859</v>
      </c>
      <c r="P296">
        <f t="shared" si="39"/>
        <v>0</v>
      </c>
    </row>
    <row r="297" spans="1:16" x14ac:dyDescent="0.25">
      <c r="A297" s="1"/>
      <c r="B297" s="4">
        <v>13516</v>
      </c>
      <c r="C297" t="s">
        <v>24</v>
      </c>
      <c r="D297" s="3">
        <v>12</v>
      </c>
      <c r="E297" s="5">
        <f t="shared" si="32"/>
        <v>1937</v>
      </c>
      <c r="F297">
        <v>0.43990000000000001</v>
      </c>
      <c r="G297">
        <f t="shared" si="33"/>
        <v>-0.63463999999999998</v>
      </c>
      <c r="H297">
        <f t="shared" si="34"/>
        <v>-0.63463999999999998</v>
      </c>
      <c r="I297" s="5">
        <f t="shared" si="35"/>
        <v>1937</v>
      </c>
      <c r="J297">
        <f t="shared" si="36"/>
        <v>-8.4694776798253657E-3</v>
      </c>
      <c r="K297">
        <f t="shared" si="37"/>
        <v>0.58171620144218306</v>
      </c>
      <c r="L297">
        <f t="shared" si="38"/>
        <v>0.59018567912200837</v>
      </c>
      <c r="P297">
        <f t="shared" si="39"/>
        <v>0</v>
      </c>
    </row>
    <row r="298" spans="1:16" x14ac:dyDescent="0.25">
      <c r="A298" s="1"/>
      <c r="B298" s="4">
        <v>13881</v>
      </c>
      <c r="C298" t="s">
        <v>24</v>
      </c>
      <c r="D298" s="3">
        <v>12.041666666666666</v>
      </c>
      <c r="E298" s="5">
        <f t="shared" si="32"/>
        <v>1938</v>
      </c>
      <c r="F298">
        <v>0.19994999999999999</v>
      </c>
      <c r="G298">
        <f t="shared" si="33"/>
        <v>-0.62230999999999992</v>
      </c>
      <c r="H298">
        <f t="shared" si="34"/>
        <v>-0.62230999999999992</v>
      </c>
      <c r="I298" s="5">
        <f t="shared" si="35"/>
        <v>1938</v>
      </c>
      <c r="J298">
        <f t="shared" si="36"/>
        <v>-0.35705024433080773</v>
      </c>
      <c r="K298">
        <f t="shared" si="37"/>
        <v>-0.48209362498491304</v>
      </c>
      <c r="L298">
        <f t="shared" si="38"/>
        <v>0.12504338065410531</v>
      </c>
      <c r="P298">
        <f t="shared" si="39"/>
        <v>1</v>
      </c>
    </row>
    <row r="299" spans="1:16" x14ac:dyDescent="0.25">
      <c r="A299" s="1"/>
      <c r="B299" s="4">
        <v>14246</v>
      </c>
      <c r="C299" t="s">
        <v>24</v>
      </c>
      <c r="D299" s="3">
        <v>12.083333333333334</v>
      </c>
      <c r="E299" s="5">
        <f t="shared" si="32"/>
        <v>1939</v>
      </c>
      <c r="F299">
        <v>-0.66230999999999995</v>
      </c>
      <c r="G299">
        <f t="shared" si="33"/>
        <v>2.4085000000000001</v>
      </c>
      <c r="H299">
        <f t="shared" si="34"/>
        <v>2.4085000000000001</v>
      </c>
      <c r="I299" s="5">
        <f t="shared" si="35"/>
        <v>1939</v>
      </c>
      <c r="J299">
        <f t="shared" si="36"/>
        <v>1.6959519130121774</v>
      </c>
      <c r="K299">
        <f t="shared" si="37"/>
        <v>0.39082535609055624</v>
      </c>
      <c r="L299">
        <f t="shared" si="38"/>
        <v>1.3051265569216213</v>
      </c>
      <c r="P299">
        <f t="shared" si="39"/>
        <v>1</v>
      </c>
    </row>
    <row r="300" spans="1:16" x14ac:dyDescent="0.25">
      <c r="A300" s="1"/>
      <c r="B300" s="4">
        <v>14611</v>
      </c>
      <c r="C300" t="s">
        <v>24</v>
      </c>
      <c r="D300" s="3">
        <v>12.125</v>
      </c>
      <c r="E300" s="5">
        <f t="shared" si="32"/>
        <v>1940</v>
      </c>
      <c r="F300">
        <v>0.88392999999999999</v>
      </c>
      <c r="G300">
        <f t="shared" si="33"/>
        <v>0.60088000000000008</v>
      </c>
      <c r="H300">
        <f t="shared" si="34"/>
        <v>0.60088000000000008</v>
      </c>
      <c r="I300" s="5">
        <f t="shared" si="35"/>
        <v>1940</v>
      </c>
      <c r="J300">
        <f t="shared" si="36"/>
        <v>1.8952093533124341</v>
      </c>
      <c r="K300">
        <f t="shared" si="37"/>
        <v>-0.38176027232977361</v>
      </c>
      <c r="L300">
        <f t="shared" si="38"/>
        <v>2.2769696256422076</v>
      </c>
      <c r="P300">
        <f t="shared" si="39"/>
        <v>0</v>
      </c>
    </row>
    <row r="301" spans="1:16" x14ac:dyDescent="0.25">
      <c r="A301" s="1"/>
      <c r="B301" s="4">
        <v>14977</v>
      </c>
      <c r="C301" t="s">
        <v>24</v>
      </c>
      <c r="D301" s="3">
        <v>12.166666666666666</v>
      </c>
      <c r="E301" s="5">
        <f t="shared" si="32"/>
        <v>1941</v>
      </c>
      <c r="F301">
        <v>3.03105</v>
      </c>
      <c r="G301">
        <f t="shared" si="33"/>
        <v>-2.4285700000000001</v>
      </c>
      <c r="H301">
        <f t="shared" si="34"/>
        <v>-2.4285700000000001</v>
      </c>
      <c r="I301" s="5">
        <f t="shared" si="35"/>
        <v>1941</v>
      </c>
      <c r="J301">
        <f t="shared" si="36"/>
        <v>1.4693082523864303</v>
      </c>
      <c r="K301">
        <f t="shared" si="37"/>
        <v>0.44848280524238393</v>
      </c>
      <c r="L301">
        <f t="shared" si="38"/>
        <v>1.0208254471440463</v>
      </c>
      <c r="P301">
        <f t="shared" si="39"/>
        <v>1</v>
      </c>
    </row>
    <row r="302" spans="1:16" x14ac:dyDescent="0.25">
      <c r="A302" s="1"/>
      <c r="B302" s="4">
        <v>15342</v>
      </c>
      <c r="C302" t="s">
        <v>24</v>
      </c>
      <c r="D302" s="3">
        <v>12.208333333333334</v>
      </c>
      <c r="E302" s="5">
        <f t="shared" si="32"/>
        <v>1942</v>
      </c>
      <c r="F302">
        <v>2.7496</v>
      </c>
      <c r="G302">
        <f t="shared" si="33"/>
        <v>-2.8032699999999999</v>
      </c>
      <c r="H302">
        <f t="shared" si="34"/>
        <v>-2.8032699999999999</v>
      </c>
      <c r="I302" s="5">
        <f t="shared" si="35"/>
        <v>1942</v>
      </c>
      <c r="J302">
        <f t="shared" si="36"/>
        <v>2.3355177121416881E-3</v>
      </c>
      <c r="K302">
        <f t="shared" si="37"/>
        <v>-0.5094471995695512</v>
      </c>
      <c r="L302">
        <f t="shared" si="38"/>
        <v>0.51178271728169289</v>
      </c>
      <c r="P302">
        <f t="shared" si="39"/>
        <v>0</v>
      </c>
    </row>
    <row r="303" spans="1:16" x14ac:dyDescent="0.25">
      <c r="A303" s="1"/>
      <c r="B303" s="4">
        <v>15707</v>
      </c>
      <c r="C303" t="s">
        <v>24</v>
      </c>
      <c r="D303" s="3">
        <v>12.25</v>
      </c>
      <c r="E303" s="5">
        <f t="shared" si="32"/>
        <v>1943</v>
      </c>
      <c r="F303">
        <v>-0.33511999999999997</v>
      </c>
      <c r="G303">
        <f t="shared" si="33"/>
        <v>4.7054</v>
      </c>
      <c r="H303">
        <f t="shared" si="34"/>
        <v>4.7054</v>
      </c>
      <c r="I303" s="5">
        <f t="shared" si="35"/>
        <v>1943</v>
      </c>
      <c r="J303">
        <f t="shared" si="36"/>
        <v>4.1431715410739622</v>
      </c>
      <c r="K303">
        <f t="shared" si="37"/>
        <v>0.46409132558606103</v>
      </c>
      <c r="L303">
        <f t="shared" si="38"/>
        <v>3.6790802154879012</v>
      </c>
      <c r="P303">
        <f t="shared" si="39"/>
        <v>1</v>
      </c>
    </row>
    <row r="304" spans="1:16" x14ac:dyDescent="0.25">
      <c r="A304" s="1"/>
      <c r="B304" s="4">
        <v>16072</v>
      </c>
      <c r="C304" t="s">
        <v>24</v>
      </c>
      <c r="D304" s="3">
        <v>12.291666666666666</v>
      </c>
      <c r="E304" s="5">
        <f t="shared" si="32"/>
        <v>1944</v>
      </c>
      <c r="F304">
        <v>1.28556</v>
      </c>
      <c r="G304">
        <f t="shared" si="33"/>
        <v>-2.65632</v>
      </c>
      <c r="H304">
        <f t="shared" si="34"/>
        <v>-2.65632</v>
      </c>
      <c r="I304" s="5">
        <f t="shared" si="35"/>
        <v>1944</v>
      </c>
      <c r="J304">
        <f t="shared" si="36"/>
        <v>-1.4500388281406837</v>
      </c>
      <c r="K304">
        <f t="shared" si="37"/>
        <v>-0.26231943510703765</v>
      </c>
      <c r="L304">
        <f t="shared" si="38"/>
        <v>1.187719393033646</v>
      </c>
      <c r="P304">
        <f t="shared" si="39"/>
        <v>1</v>
      </c>
    </row>
    <row r="305" spans="1:16" x14ac:dyDescent="0.25">
      <c r="A305" s="1"/>
      <c r="B305" s="4">
        <v>16438</v>
      </c>
      <c r="C305" t="s">
        <v>24</v>
      </c>
      <c r="D305" s="3">
        <v>12.333333333333334</v>
      </c>
      <c r="E305" s="5">
        <f t="shared" si="32"/>
        <v>1945</v>
      </c>
      <c r="F305">
        <v>0.24992</v>
      </c>
      <c r="G305">
        <f t="shared" si="33"/>
        <v>-0.86904999999999988</v>
      </c>
      <c r="H305">
        <f t="shared" si="34"/>
        <v>-0.86904999999999988</v>
      </c>
      <c r="I305" s="5">
        <f t="shared" si="35"/>
        <v>1945</v>
      </c>
      <c r="J305">
        <f t="shared" si="36"/>
        <v>-0.51933474823410908</v>
      </c>
      <c r="K305">
        <f t="shared" si="37"/>
        <v>-5.7852055885612437E-2</v>
      </c>
      <c r="L305">
        <f t="shared" si="38"/>
        <v>0.46148269234849665</v>
      </c>
      <c r="P305">
        <f t="shared" si="39"/>
        <v>1</v>
      </c>
    </row>
    <row r="306" spans="1:16" x14ac:dyDescent="0.25">
      <c r="A306" s="1"/>
      <c r="B306" s="4">
        <v>16803</v>
      </c>
      <c r="C306" t="s">
        <v>24</v>
      </c>
      <c r="D306" s="3">
        <v>12.375</v>
      </c>
      <c r="E306" s="5">
        <f t="shared" si="32"/>
        <v>1946</v>
      </c>
      <c r="F306">
        <v>-1.6547700000000001</v>
      </c>
      <c r="G306">
        <f t="shared" si="33"/>
        <v>4.01302</v>
      </c>
      <c r="H306">
        <f t="shared" si="34"/>
        <v>4.01302</v>
      </c>
      <c r="I306" s="5">
        <f t="shared" si="35"/>
        <v>1946</v>
      </c>
      <c r="J306">
        <f t="shared" si="36"/>
        <v>1.7112082285379087</v>
      </c>
      <c r="K306">
        <f t="shared" si="37"/>
        <v>0.38604801259138677</v>
      </c>
      <c r="L306">
        <f t="shared" si="38"/>
        <v>1.3251602159465219</v>
      </c>
      <c r="P306">
        <f t="shared" si="39"/>
        <v>1</v>
      </c>
    </row>
    <row r="307" spans="1:16" x14ac:dyDescent="0.25">
      <c r="A307" s="1"/>
      <c r="B307" s="4">
        <v>17168</v>
      </c>
      <c r="C307" t="s">
        <v>24</v>
      </c>
      <c r="D307" s="3">
        <v>12.416666666666666</v>
      </c>
      <c r="E307" s="5">
        <f t="shared" si="32"/>
        <v>1947</v>
      </c>
      <c r="F307">
        <v>0.45356000000000002</v>
      </c>
      <c r="G307">
        <f t="shared" si="33"/>
        <v>-2.3007200000000001</v>
      </c>
      <c r="H307">
        <f t="shared" si="34"/>
        <v>-2.3007200000000001</v>
      </c>
      <c r="I307" s="5">
        <f t="shared" si="35"/>
        <v>1947</v>
      </c>
      <c r="J307">
        <f t="shared" si="36"/>
        <v>-1.8203281598310252</v>
      </c>
      <c r="K307">
        <f t="shared" si="37"/>
        <v>-0.59454787115360086</v>
      </c>
      <c r="L307">
        <f t="shared" si="38"/>
        <v>1.2257802886774245</v>
      </c>
      <c r="P307">
        <f t="shared" si="39"/>
        <v>1</v>
      </c>
    </row>
    <row r="308" spans="1:16" x14ac:dyDescent="0.25">
      <c r="A308" s="1"/>
      <c r="B308" s="4">
        <v>17533</v>
      </c>
      <c r="C308" t="s">
        <v>24</v>
      </c>
      <c r="D308" s="3">
        <v>12.458333333333334</v>
      </c>
      <c r="E308" s="5">
        <f t="shared" si="32"/>
        <v>1948</v>
      </c>
      <c r="F308">
        <v>0.26117000000000001</v>
      </c>
      <c r="G308">
        <f t="shared" si="33"/>
        <v>0.22387999999999997</v>
      </c>
      <c r="H308">
        <f t="shared" si="34"/>
        <v>0.22387999999999997</v>
      </c>
      <c r="I308" s="5">
        <f t="shared" si="35"/>
        <v>1948</v>
      </c>
      <c r="J308">
        <f t="shared" si="36"/>
        <v>0.59791521506478795</v>
      </c>
      <c r="K308">
        <f t="shared" si="37"/>
        <v>0.59812278369746552</v>
      </c>
      <c r="L308">
        <f t="shared" si="38"/>
        <v>2.0756863267756831E-4</v>
      </c>
      <c r="P308">
        <f t="shared" si="39"/>
        <v>1</v>
      </c>
    </row>
    <row r="309" spans="1:16" x14ac:dyDescent="0.25">
      <c r="A309" s="1"/>
      <c r="B309" s="4">
        <v>17899</v>
      </c>
      <c r="C309" t="s">
        <v>24</v>
      </c>
      <c r="D309" s="3">
        <v>12.5</v>
      </c>
      <c r="E309" s="5">
        <f t="shared" si="32"/>
        <v>1949</v>
      </c>
      <c r="F309">
        <v>0.29265999999999998</v>
      </c>
      <c r="G309">
        <f t="shared" si="33"/>
        <v>-1.9669099999999999</v>
      </c>
      <c r="H309">
        <f t="shared" si="34"/>
        <v>-1.9669099999999999</v>
      </c>
      <c r="I309" s="5">
        <f t="shared" si="35"/>
        <v>1949</v>
      </c>
      <c r="J309">
        <f t="shared" si="36"/>
        <v>-1.5914016934326625</v>
      </c>
      <c r="K309">
        <f t="shared" si="37"/>
        <v>-0.39112283619964211</v>
      </c>
      <c r="L309">
        <f t="shared" si="38"/>
        <v>1.2002788572330203</v>
      </c>
      <c r="P309">
        <f t="shared" si="39"/>
        <v>1</v>
      </c>
    </row>
    <row r="310" spans="1:16" x14ac:dyDescent="0.25">
      <c r="A310" s="1"/>
      <c r="B310" s="4">
        <v>18264</v>
      </c>
      <c r="C310" t="s">
        <v>24</v>
      </c>
      <c r="D310" s="3">
        <v>12.541666666666666</v>
      </c>
      <c r="E310" s="5">
        <f t="shared" si="32"/>
        <v>1950</v>
      </c>
      <c r="F310">
        <v>-1.64276</v>
      </c>
      <c r="G310">
        <f t="shared" si="33"/>
        <v>1.5607</v>
      </c>
      <c r="H310">
        <f t="shared" si="34"/>
        <v>1.5607</v>
      </c>
      <c r="I310" s="5">
        <f t="shared" si="35"/>
        <v>1950</v>
      </c>
      <c r="J310">
        <f t="shared" si="36"/>
        <v>-0.33539989318329566</v>
      </c>
      <c r="K310">
        <f t="shared" si="37"/>
        <v>5.3252173401374753E-2</v>
      </c>
      <c r="L310">
        <f t="shared" si="38"/>
        <v>0.38865206658467044</v>
      </c>
      <c r="P310">
        <f t="shared" si="39"/>
        <v>0</v>
      </c>
    </row>
    <row r="311" spans="1:16" x14ac:dyDescent="0.25">
      <c r="A311" s="1"/>
      <c r="B311" s="4">
        <v>18629</v>
      </c>
      <c r="C311" t="s">
        <v>24</v>
      </c>
      <c r="D311" s="3">
        <v>12.583333333333334</v>
      </c>
      <c r="E311" s="5">
        <f t="shared" si="32"/>
        <v>1951</v>
      </c>
      <c r="F311">
        <v>-2.0174799999999999</v>
      </c>
      <c r="G311">
        <f t="shared" si="33"/>
        <v>3.1111800000000001</v>
      </c>
      <c r="H311">
        <f t="shared" si="34"/>
        <v>3.1111800000000001</v>
      </c>
      <c r="I311" s="5">
        <f t="shared" si="35"/>
        <v>1951</v>
      </c>
      <c r="J311">
        <f t="shared" si="36"/>
        <v>0.30044787202665557</v>
      </c>
      <c r="K311">
        <f t="shared" si="37"/>
        <v>0.27629039402943301</v>
      </c>
      <c r="L311">
        <f t="shared" si="38"/>
        <v>2.4157477997222565E-2</v>
      </c>
      <c r="P311">
        <f t="shared" si="39"/>
        <v>1</v>
      </c>
    </row>
    <row r="312" spans="1:16" x14ac:dyDescent="0.25">
      <c r="A312" s="1"/>
      <c r="B312" s="4">
        <v>18994</v>
      </c>
      <c r="C312" t="s">
        <v>24</v>
      </c>
      <c r="D312" s="3">
        <v>12.625</v>
      </c>
      <c r="E312" s="5">
        <f t="shared" si="32"/>
        <v>1952</v>
      </c>
      <c r="F312">
        <v>0.71897999999999995</v>
      </c>
      <c r="G312">
        <f t="shared" si="33"/>
        <v>-4.4628800000000002</v>
      </c>
      <c r="H312">
        <f t="shared" si="34"/>
        <v>-4.4628800000000002</v>
      </c>
      <c r="I312" s="5">
        <f t="shared" si="35"/>
        <v>1952</v>
      </c>
      <c r="J312">
        <f t="shared" si="36"/>
        <v>-3.5404501411753055</v>
      </c>
      <c r="K312">
        <f t="shared" si="37"/>
        <v>-0.45675131058863927</v>
      </c>
      <c r="L312">
        <f t="shared" si="38"/>
        <v>3.0836988305866662</v>
      </c>
      <c r="P312">
        <f t="shared" si="39"/>
        <v>1</v>
      </c>
    </row>
    <row r="313" spans="1:16" x14ac:dyDescent="0.25">
      <c r="A313" s="1"/>
      <c r="B313" s="4">
        <v>19360</v>
      </c>
      <c r="C313" t="s">
        <v>24</v>
      </c>
      <c r="D313" s="3">
        <v>12.666666666666666</v>
      </c>
      <c r="E313" s="5">
        <f t="shared" si="32"/>
        <v>1953</v>
      </c>
      <c r="F313">
        <v>-1.0074399999999999</v>
      </c>
      <c r="G313">
        <f t="shared" si="33"/>
        <v>1.6179499999999998</v>
      </c>
      <c r="H313">
        <f t="shared" si="34"/>
        <v>1.6179499999999998</v>
      </c>
      <c r="I313" s="5">
        <f t="shared" si="35"/>
        <v>1953</v>
      </c>
      <c r="J313">
        <f t="shared" si="36"/>
        <v>0.46235077116332868</v>
      </c>
      <c r="K313">
        <f t="shared" si="37"/>
        <v>0.41927088979396399</v>
      </c>
      <c r="L313">
        <f t="shared" si="38"/>
        <v>4.3079881369364692E-2</v>
      </c>
      <c r="P313">
        <f t="shared" si="39"/>
        <v>1</v>
      </c>
    </row>
    <row r="314" spans="1:16" x14ac:dyDescent="0.25">
      <c r="A314" s="1"/>
      <c r="B314" s="4">
        <v>19725</v>
      </c>
      <c r="C314" t="s">
        <v>24</v>
      </c>
      <c r="D314" s="3">
        <v>12.708333333333334</v>
      </c>
      <c r="E314" s="5">
        <f t="shared" si="32"/>
        <v>1954</v>
      </c>
      <c r="F314">
        <v>-1.11591</v>
      </c>
      <c r="G314">
        <f t="shared" si="33"/>
        <v>-2.1549999999999958E-2</v>
      </c>
      <c r="H314">
        <f t="shared" si="34"/>
        <v>-2.1549999999999958E-2</v>
      </c>
      <c r="I314" s="5">
        <f t="shared" si="35"/>
        <v>1954</v>
      </c>
      <c r="J314">
        <f t="shared" si="36"/>
        <v>-1.6192702504638974</v>
      </c>
      <c r="K314">
        <f t="shared" si="37"/>
        <v>-0.20800011684741726</v>
      </c>
      <c r="L314">
        <f t="shared" si="38"/>
        <v>1.4112701336164801</v>
      </c>
      <c r="P314">
        <f t="shared" si="39"/>
        <v>1</v>
      </c>
    </row>
    <row r="315" spans="1:16" x14ac:dyDescent="0.25">
      <c r="A315" s="1"/>
      <c r="B315" s="4">
        <v>20090</v>
      </c>
      <c r="C315" t="s">
        <v>24</v>
      </c>
      <c r="D315" s="3">
        <v>12.75</v>
      </c>
      <c r="E315" s="5">
        <f t="shared" si="32"/>
        <v>1955</v>
      </c>
      <c r="F315">
        <v>-1.24593</v>
      </c>
      <c r="G315">
        <f t="shared" si="33"/>
        <v>-0.64243000000000006</v>
      </c>
      <c r="H315">
        <f t="shared" si="34"/>
        <v>-0.64243000000000006</v>
      </c>
      <c r="I315" s="5">
        <f t="shared" si="35"/>
        <v>1955</v>
      </c>
      <c r="J315">
        <f t="shared" si="36"/>
        <v>-2.187776122894467</v>
      </c>
      <c r="K315">
        <f t="shared" si="37"/>
        <v>-5.413346579502528E-2</v>
      </c>
      <c r="L315">
        <f t="shared" si="38"/>
        <v>2.1336426570994416</v>
      </c>
      <c r="P315">
        <f t="shared" si="39"/>
        <v>1</v>
      </c>
    </row>
    <row r="316" spans="1:16" x14ac:dyDescent="0.25">
      <c r="A316" s="1"/>
      <c r="B316" s="4">
        <v>20455</v>
      </c>
      <c r="C316" t="s">
        <v>24</v>
      </c>
      <c r="D316" s="3">
        <v>12.791666666666666</v>
      </c>
      <c r="E316" s="5">
        <f t="shared" si="32"/>
        <v>1956</v>
      </c>
      <c r="F316">
        <v>-2.0183800000000001</v>
      </c>
      <c r="G316">
        <f t="shared" si="33"/>
        <v>2.0367800000000003</v>
      </c>
      <c r="H316">
        <f t="shared" si="34"/>
        <v>2.0367800000000003</v>
      </c>
      <c r="I316" s="5">
        <f t="shared" si="35"/>
        <v>1956</v>
      </c>
      <c r="J316">
        <f t="shared" si="36"/>
        <v>-0.25343530133963993</v>
      </c>
      <c r="K316">
        <f t="shared" si="37"/>
        <v>0.25444523942495056</v>
      </c>
      <c r="L316">
        <f t="shared" si="38"/>
        <v>0.50788054076459055</v>
      </c>
      <c r="P316">
        <f t="shared" si="39"/>
        <v>0</v>
      </c>
    </row>
    <row r="317" spans="1:16" x14ac:dyDescent="0.25">
      <c r="A317" s="1"/>
      <c r="B317" s="4">
        <v>20821</v>
      </c>
      <c r="C317" t="s">
        <v>24</v>
      </c>
      <c r="D317" s="3">
        <v>12.833333333333334</v>
      </c>
      <c r="E317" s="5">
        <f t="shared" si="32"/>
        <v>1957</v>
      </c>
      <c r="F317">
        <v>-0.75405</v>
      </c>
      <c r="G317">
        <f t="shared" si="33"/>
        <v>1.1063399999999999</v>
      </c>
      <c r="H317">
        <f t="shared" si="34"/>
        <v>1.1063399999999999</v>
      </c>
      <c r="I317" s="5">
        <f t="shared" si="35"/>
        <v>1957</v>
      </c>
      <c r="J317">
        <f t="shared" si="36"/>
        <v>-5.1376566145196423E-2</v>
      </c>
      <c r="K317">
        <f t="shared" si="37"/>
        <v>-0.35659855276530633</v>
      </c>
      <c r="L317">
        <f t="shared" si="38"/>
        <v>0.30522198662010991</v>
      </c>
      <c r="P317">
        <f t="shared" si="39"/>
        <v>1</v>
      </c>
    </row>
    <row r="318" spans="1:16" x14ac:dyDescent="0.25">
      <c r="A318" s="1"/>
      <c r="B318" s="4">
        <v>21186</v>
      </c>
      <c r="C318" t="s">
        <v>24</v>
      </c>
      <c r="D318" s="3">
        <v>12.875</v>
      </c>
      <c r="E318" s="5">
        <f t="shared" si="32"/>
        <v>1958</v>
      </c>
      <c r="F318">
        <v>1.6166199999999999</v>
      </c>
      <c r="G318">
        <f t="shared" si="33"/>
        <v>-4.0720499999999999</v>
      </c>
      <c r="H318">
        <f t="shared" si="34"/>
        <v>-4.0720499999999999</v>
      </c>
      <c r="I318" s="5">
        <f t="shared" si="35"/>
        <v>1958</v>
      </c>
      <c r="J318">
        <f t="shared" si="36"/>
        <v>-2.3308129325656934</v>
      </c>
      <c r="K318">
        <f t="shared" si="37"/>
        <v>0.38983537738995178</v>
      </c>
      <c r="L318">
        <f t="shared" si="38"/>
        <v>2.7206483099556453</v>
      </c>
      <c r="P318">
        <f t="shared" si="39"/>
        <v>0</v>
      </c>
    </row>
    <row r="319" spans="1:16" x14ac:dyDescent="0.25">
      <c r="A319" s="1"/>
      <c r="B319" s="4">
        <v>21551</v>
      </c>
      <c r="C319" t="s">
        <v>24</v>
      </c>
      <c r="D319" s="3">
        <v>12.916666666666666</v>
      </c>
      <c r="E319" s="5">
        <f t="shared" si="32"/>
        <v>1959</v>
      </c>
      <c r="F319">
        <v>-8.4760000000000002E-2</v>
      </c>
      <c r="G319">
        <f t="shared" si="33"/>
        <v>1.8968999999999998</v>
      </c>
      <c r="H319">
        <f t="shared" si="34"/>
        <v>1.8968999999999998</v>
      </c>
      <c r="I319" s="5">
        <f t="shared" si="35"/>
        <v>1959</v>
      </c>
      <c r="J319">
        <f t="shared" si="36"/>
        <v>1.7899204396601711</v>
      </c>
      <c r="K319">
        <f t="shared" si="37"/>
        <v>-0.38673606575798297</v>
      </c>
      <c r="L319">
        <f t="shared" si="38"/>
        <v>2.1766565054181539</v>
      </c>
      <c r="P319">
        <f t="shared" si="39"/>
        <v>0</v>
      </c>
    </row>
    <row r="320" spans="1:16" x14ac:dyDescent="0.25">
      <c r="A320" s="1"/>
      <c r="B320" s="4">
        <v>21916</v>
      </c>
      <c r="C320" t="s">
        <v>24</v>
      </c>
      <c r="D320" s="3">
        <v>12.958333333333334</v>
      </c>
      <c r="E320" s="5">
        <f t="shared" si="32"/>
        <v>1960</v>
      </c>
      <c r="F320">
        <v>0.11076</v>
      </c>
      <c r="G320">
        <f t="shared" si="33"/>
        <v>-1.1359599999999999</v>
      </c>
      <c r="H320">
        <f t="shared" si="34"/>
        <v>-1.1359599999999999</v>
      </c>
      <c r="I320" s="5">
        <f t="shared" si="35"/>
        <v>1960</v>
      </c>
      <c r="J320">
        <f t="shared" si="36"/>
        <v>-0.96432991413068303</v>
      </c>
      <c r="K320">
        <f t="shared" si="37"/>
        <v>0.33918042918907071</v>
      </c>
      <c r="L320">
        <f t="shared" si="38"/>
        <v>1.3035103433197537</v>
      </c>
      <c r="P320">
        <f t="shared" si="39"/>
        <v>0</v>
      </c>
    </row>
    <row r="321" spans="1:16" x14ac:dyDescent="0.25">
      <c r="A321" s="1"/>
      <c r="B321" s="4">
        <v>22282</v>
      </c>
      <c r="C321" t="s">
        <v>24</v>
      </c>
      <c r="D321" s="3">
        <v>13</v>
      </c>
      <c r="E321" s="5">
        <f t="shared" si="32"/>
        <v>1961</v>
      </c>
      <c r="F321">
        <v>-0.82967999999999997</v>
      </c>
      <c r="G321">
        <f t="shared" si="33"/>
        <v>1.8454699999999999</v>
      </c>
      <c r="H321">
        <f t="shared" si="34"/>
        <v>1.8454699999999999</v>
      </c>
      <c r="I321" s="5">
        <f t="shared" si="35"/>
        <v>1961</v>
      </c>
      <c r="J321">
        <f t="shared" si="36"/>
        <v>1.1214493811509607</v>
      </c>
      <c r="K321">
        <f t="shared" si="37"/>
        <v>-0.2121569392192858</v>
      </c>
      <c r="L321">
        <f t="shared" si="38"/>
        <v>1.3336063203702464</v>
      </c>
      <c r="P321">
        <f t="shared" si="39"/>
        <v>0</v>
      </c>
    </row>
    <row r="322" spans="1:16" x14ac:dyDescent="0.25">
      <c r="A322" s="1"/>
      <c r="B322" s="4">
        <v>22647</v>
      </c>
      <c r="C322" t="s">
        <v>24</v>
      </c>
      <c r="D322" s="3">
        <v>13.041666666666666</v>
      </c>
      <c r="E322" s="5">
        <f t="shared" si="32"/>
        <v>1962</v>
      </c>
      <c r="F322">
        <v>7.535E-2</v>
      </c>
      <c r="G322">
        <f t="shared" si="33"/>
        <v>-1.6600299999999999</v>
      </c>
      <c r="H322">
        <f t="shared" si="34"/>
        <v>-1.6600299999999999</v>
      </c>
      <c r="I322" s="5">
        <f t="shared" si="35"/>
        <v>1962</v>
      </c>
      <c r="J322">
        <f t="shared" si="36"/>
        <v>-1.5386303804012478</v>
      </c>
      <c r="K322">
        <f t="shared" si="37"/>
        <v>-5.8489699417269697E-3</v>
      </c>
      <c r="L322">
        <f t="shared" si="38"/>
        <v>1.5327814104595208</v>
      </c>
      <c r="P322">
        <f t="shared" si="39"/>
        <v>1</v>
      </c>
    </row>
    <row r="323" spans="1:16" x14ac:dyDescent="0.25">
      <c r="A323" s="1"/>
      <c r="B323" s="4">
        <v>23012</v>
      </c>
      <c r="C323" t="s">
        <v>24</v>
      </c>
      <c r="D323" s="3">
        <v>13.083333333333334</v>
      </c>
      <c r="E323" s="5">
        <f t="shared" si="32"/>
        <v>1963</v>
      </c>
      <c r="F323">
        <v>-0.67964999999999998</v>
      </c>
      <c r="G323">
        <f t="shared" si="33"/>
        <v>2.6599699999999999</v>
      </c>
      <c r="H323">
        <f t="shared" si="34"/>
        <v>2.6599699999999999</v>
      </c>
      <c r="I323" s="5">
        <f t="shared" si="35"/>
        <v>1963</v>
      </c>
      <c r="J323">
        <f t="shared" si="36"/>
        <v>1.8614218954898394</v>
      </c>
      <c r="K323">
        <f t="shared" si="37"/>
        <v>0.26836085985230412</v>
      </c>
      <c r="L323">
        <f t="shared" si="38"/>
        <v>1.5930610356375352</v>
      </c>
      <c r="P323">
        <f t="shared" si="39"/>
        <v>1</v>
      </c>
    </row>
    <row r="324" spans="1:16" x14ac:dyDescent="0.25">
      <c r="A324" s="1"/>
      <c r="B324" s="4">
        <v>23377</v>
      </c>
      <c r="C324" t="s">
        <v>24</v>
      </c>
      <c r="D324" s="3">
        <v>13.125</v>
      </c>
      <c r="E324" s="5">
        <f t="shared" si="32"/>
        <v>1964</v>
      </c>
      <c r="F324">
        <v>1.22532</v>
      </c>
      <c r="G324">
        <f t="shared" si="33"/>
        <v>-2.9074200000000001</v>
      </c>
      <c r="H324">
        <f t="shared" si="34"/>
        <v>-2.9074200000000001</v>
      </c>
      <c r="I324" s="5">
        <f t="shared" si="35"/>
        <v>1964</v>
      </c>
      <c r="J324">
        <f t="shared" si="36"/>
        <v>-1.5007000810852418</v>
      </c>
      <c r="K324">
        <f t="shared" si="37"/>
        <v>-0.48655807928996453</v>
      </c>
      <c r="L324">
        <f t="shared" si="38"/>
        <v>1.0141420017952774</v>
      </c>
      <c r="P324">
        <f t="shared" si="39"/>
        <v>1</v>
      </c>
    </row>
    <row r="325" spans="1:16" x14ac:dyDescent="0.25">
      <c r="A325" s="1"/>
      <c r="B325" s="4">
        <v>23743</v>
      </c>
      <c r="C325" t="s">
        <v>24</v>
      </c>
      <c r="D325" s="3">
        <v>13.166666666666666</v>
      </c>
      <c r="E325" s="5">
        <f t="shared" si="32"/>
        <v>1965</v>
      </c>
      <c r="F325">
        <v>0.22287000000000001</v>
      </c>
      <c r="G325">
        <f t="shared" si="33"/>
        <v>2.5870000000000002</v>
      </c>
      <c r="H325">
        <f t="shared" si="34"/>
        <v>2.5870000000000002</v>
      </c>
      <c r="I325" s="5">
        <f t="shared" si="35"/>
        <v>1965</v>
      </c>
      <c r="J325">
        <f t="shared" si="36"/>
        <v>2.9201023339995129</v>
      </c>
      <c r="K325">
        <f t="shared" si="37"/>
        <v>0.58496453727766795</v>
      </c>
      <c r="L325">
        <f t="shared" si="38"/>
        <v>2.335137796721845</v>
      </c>
      <c r="P325">
        <f t="shared" si="39"/>
        <v>1</v>
      </c>
    </row>
    <row r="326" spans="1:16" x14ac:dyDescent="0.25">
      <c r="A326" s="1"/>
      <c r="B326" s="4">
        <v>24108</v>
      </c>
      <c r="C326" t="s">
        <v>24</v>
      </c>
      <c r="D326" s="3">
        <v>13.208333333333334</v>
      </c>
      <c r="E326" s="5">
        <f t="shared" si="32"/>
        <v>1966</v>
      </c>
      <c r="F326">
        <v>1.80742</v>
      </c>
      <c r="G326">
        <f t="shared" si="33"/>
        <v>-3.9504299999999999</v>
      </c>
      <c r="H326">
        <f t="shared" si="34"/>
        <v>-3.9504299999999999</v>
      </c>
      <c r="I326" s="5">
        <f t="shared" si="35"/>
        <v>1966</v>
      </c>
      <c r="J326">
        <f t="shared" si="36"/>
        <v>-1.8424254124101522</v>
      </c>
      <c r="K326">
        <f t="shared" si="37"/>
        <v>-0.55394651633539171</v>
      </c>
      <c r="L326">
        <f t="shared" si="38"/>
        <v>1.2884788960747606</v>
      </c>
      <c r="P326">
        <f t="shared" si="39"/>
        <v>1</v>
      </c>
    </row>
    <row r="327" spans="1:16" x14ac:dyDescent="0.25">
      <c r="A327" s="1"/>
      <c r="B327" s="4">
        <v>24473</v>
      </c>
      <c r="C327" t="s">
        <v>24</v>
      </c>
      <c r="D327" s="3">
        <v>13.25</v>
      </c>
      <c r="E327" s="5">
        <f t="shared" si="32"/>
        <v>1967</v>
      </c>
      <c r="F327">
        <v>-0.55845999999999996</v>
      </c>
      <c r="G327">
        <f t="shared" si="33"/>
        <v>3.9300299999999995</v>
      </c>
      <c r="H327">
        <f t="shared" si="34"/>
        <v>3.9300299999999995</v>
      </c>
      <c r="I327" s="5">
        <f t="shared" si="35"/>
        <v>1967</v>
      </c>
      <c r="J327">
        <f t="shared" si="36"/>
        <v>3.2661146421118352</v>
      </c>
      <c r="K327">
        <f t="shared" si="37"/>
        <v>0.45732721010238786</v>
      </c>
      <c r="L327">
        <f t="shared" si="38"/>
        <v>2.8087874320094475</v>
      </c>
      <c r="P327">
        <f t="shared" si="39"/>
        <v>1</v>
      </c>
    </row>
    <row r="328" spans="1:16" x14ac:dyDescent="0.25">
      <c r="A328" s="1"/>
      <c r="B328" s="4">
        <v>24838</v>
      </c>
      <c r="C328" t="s">
        <v>24</v>
      </c>
      <c r="D328" s="3">
        <v>13.291666666666666</v>
      </c>
      <c r="E328" s="5">
        <f t="shared" si="32"/>
        <v>1968</v>
      </c>
      <c r="F328">
        <v>1.00569</v>
      </c>
      <c r="G328">
        <f t="shared" si="33"/>
        <v>-1.7698700000000001</v>
      </c>
      <c r="H328">
        <f t="shared" si="34"/>
        <v>-1.7698700000000001</v>
      </c>
      <c r="I328" s="5">
        <f t="shared" si="35"/>
        <v>1968</v>
      </c>
      <c r="J328">
        <f t="shared" si="36"/>
        <v>-0.25981298056207719</v>
      </c>
      <c r="K328">
        <f t="shared" si="37"/>
        <v>-0.38644219558257931</v>
      </c>
      <c r="L328">
        <f t="shared" si="38"/>
        <v>0.12662921502050212</v>
      </c>
      <c r="P328">
        <f t="shared" si="39"/>
        <v>1</v>
      </c>
    </row>
    <row r="329" spans="1:16" x14ac:dyDescent="0.25">
      <c r="A329" s="1"/>
      <c r="B329" s="4">
        <v>25204</v>
      </c>
      <c r="C329" t="s">
        <v>24</v>
      </c>
      <c r="D329" s="3">
        <v>13.333333333333334</v>
      </c>
      <c r="E329" s="5">
        <f t="shared" si="32"/>
        <v>1969</v>
      </c>
      <c r="F329">
        <v>0.79996999999999996</v>
      </c>
      <c r="G329">
        <f t="shared" si="33"/>
        <v>-0.42859999999999998</v>
      </c>
      <c r="H329">
        <f t="shared" si="34"/>
        <v>-0.42859999999999998</v>
      </c>
      <c r="I329" s="5">
        <f t="shared" si="35"/>
        <v>1969</v>
      </c>
      <c r="J329">
        <f t="shared" si="36"/>
        <v>0.45574108222651821</v>
      </c>
      <c r="K329">
        <f t="shared" si="37"/>
        <v>0.39160275815554613</v>
      </c>
      <c r="L329">
        <f t="shared" si="38"/>
        <v>6.4138324070972086E-2</v>
      </c>
      <c r="P329">
        <f t="shared" si="39"/>
        <v>1</v>
      </c>
    </row>
    <row r="330" spans="1:16" x14ac:dyDescent="0.25">
      <c r="A330" s="1"/>
      <c r="B330" s="4">
        <v>25569</v>
      </c>
      <c r="C330" t="s">
        <v>24</v>
      </c>
      <c r="D330" s="3">
        <v>13.375</v>
      </c>
      <c r="E330" s="5">
        <f t="shared" si="32"/>
        <v>1970</v>
      </c>
      <c r="F330">
        <v>0.16564999999999999</v>
      </c>
      <c r="G330">
        <f t="shared" si="33"/>
        <v>-2.63009</v>
      </c>
      <c r="H330">
        <f t="shared" si="34"/>
        <v>-2.63009</v>
      </c>
      <c r="I330" s="5">
        <f t="shared" si="35"/>
        <v>1970</v>
      </c>
      <c r="J330">
        <f t="shared" si="36"/>
        <v>-2.4262405316955289</v>
      </c>
      <c r="K330">
        <f t="shared" si="37"/>
        <v>-0.43986602405010727</v>
      </c>
      <c r="L330">
        <f t="shared" si="38"/>
        <v>1.9863745076454216</v>
      </c>
      <c r="P330">
        <f t="shared" si="39"/>
        <v>1</v>
      </c>
    </row>
    <row r="331" spans="1:16" x14ac:dyDescent="0.25">
      <c r="A331" s="1"/>
      <c r="B331" s="4">
        <v>25934</v>
      </c>
      <c r="C331" t="s">
        <v>24</v>
      </c>
      <c r="D331" s="3">
        <v>13.416666666666666</v>
      </c>
      <c r="E331" s="5">
        <f t="shared" si="32"/>
        <v>1971</v>
      </c>
      <c r="F331">
        <v>-3.09876</v>
      </c>
      <c r="G331">
        <f t="shared" si="33"/>
        <v>5.3416499999999996</v>
      </c>
      <c r="H331">
        <f t="shared" si="34"/>
        <v>5.3416499999999996</v>
      </c>
      <c r="I331" s="5">
        <f t="shared" si="35"/>
        <v>1971</v>
      </c>
      <c r="J331">
        <f t="shared" si="36"/>
        <v>0.45556327293821453</v>
      </c>
      <c r="K331">
        <f t="shared" si="37"/>
        <v>0.43189272771445009</v>
      </c>
      <c r="L331">
        <f t="shared" si="38"/>
        <v>2.3670545223764439E-2</v>
      </c>
      <c r="P331">
        <f t="shared" si="39"/>
        <v>1</v>
      </c>
    </row>
    <row r="332" spans="1:16" x14ac:dyDescent="0.25">
      <c r="A332" s="1"/>
      <c r="B332" s="4">
        <v>26299</v>
      </c>
      <c r="C332" t="s">
        <v>24</v>
      </c>
      <c r="D332" s="3">
        <v>13.458333333333334</v>
      </c>
      <c r="E332" s="5">
        <f t="shared" ref="E332:E337" si="40">+E331+1</f>
        <v>1972</v>
      </c>
      <c r="F332">
        <v>-1.02152</v>
      </c>
      <c r="G332">
        <f t="shared" ref="G332:G336" si="41">+(F333-F332)-(F332-F331)</f>
        <v>0.82197999999999993</v>
      </c>
      <c r="H332">
        <f t="shared" ref="H332:H336" si="42">+G332</f>
        <v>0.82197999999999993</v>
      </c>
      <c r="I332" s="5">
        <f t="shared" si="35"/>
        <v>1972</v>
      </c>
      <c r="J332">
        <f t="shared" si="36"/>
        <v>-6.4070539752974554E-2</v>
      </c>
      <c r="K332">
        <f t="shared" si="37"/>
        <v>-0.27176620038861266</v>
      </c>
      <c r="L332">
        <f t="shared" si="38"/>
        <v>0.2076956606356381</v>
      </c>
      <c r="P332">
        <f t="shared" si="39"/>
        <v>1</v>
      </c>
    </row>
    <row r="333" spans="1:16" x14ac:dyDescent="0.25">
      <c r="A333" s="1"/>
      <c r="B333" s="4">
        <v>26665</v>
      </c>
      <c r="C333" t="s">
        <v>24</v>
      </c>
      <c r="D333" s="3">
        <v>13.5</v>
      </c>
      <c r="E333" s="5">
        <f t="shared" si="40"/>
        <v>1973</v>
      </c>
      <c r="F333">
        <v>1.8776999999999999</v>
      </c>
      <c r="G333">
        <f t="shared" si="41"/>
        <v>-7.8435699999999997</v>
      </c>
      <c r="H333">
        <f t="shared" si="42"/>
        <v>-7.8435699999999997</v>
      </c>
      <c r="I333" s="5">
        <f t="shared" ref="I333:I335" si="43">+E333</f>
        <v>1973</v>
      </c>
      <c r="J333">
        <f t="shared" ref="J333:J335" si="44">+$J$6*F333+F333*$J$7*COS(2*PI()*$I333/$K$6+$K$5*COS($J$5*$I333+$K$8)+$J$9)+H333+F333*$J$3*COS(2*PI()*$I333/$J$8+$K$3)</f>
        <v>-4.879111290232319</v>
      </c>
      <c r="K333">
        <f t="shared" ref="K333:K335" si="45">+$K$8*COS(2*PI()*$I333/$K$6+$K$5*COS($J$5*$I333+$K$8)+$K$7) +$K$4*COS(2*PI()*$I333/$J$8+$J$4)</f>
        <v>-5.2490281637605773E-2</v>
      </c>
      <c r="L333">
        <f t="shared" ref="L333:L335" si="46">+ABS(J333-K333)</f>
        <v>4.8266210085947137</v>
      </c>
      <c r="P333">
        <f t="shared" ref="P333:P335" si="47">+IF(J333*K333&gt;0,1, 0)</f>
        <v>1</v>
      </c>
    </row>
    <row r="334" spans="1:16" x14ac:dyDescent="0.25">
      <c r="A334" s="1"/>
      <c r="B334" s="4">
        <v>27030</v>
      </c>
      <c r="C334" t="s">
        <v>24</v>
      </c>
      <c r="D334" s="3">
        <v>13.541666666666666</v>
      </c>
      <c r="E334" s="5">
        <f t="shared" si="40"/>
        <v>1974</v>
      </c>
      <c r="F334">
        <v>-3.0666500000000001</v>
      </c>
      <c r="G334">
        <f t="shared" si="41"/>
        <v>7.5886700000000005</v>
      </c>
      <c r="H334">
        <f t="shared" si="42"/>
        <v>7.5886700000000005</v>
      </c>
      <c r="I334" s="5">
        <f t="shared" si="43"/>
        <v>1974</v>
      </c>
      <c r="J334">
        <f t="shared" si="44"/>
        <v>3.7528349725275589</v>
      </c>
      <c r="K334">
        <f t="shared" si="45"/>
        <v>0.43157306814210011</v>
      </c>
      <c r="L334">
        <f t="shared" si="46"/>
        <v>3.3212619043854588</v>
      </c>
      <c r="P334">
        <f t="shared" si="47"/>
        <v>1</v>
      </c>
    </row>
    <row r="335" spans="1:16" x14ac:dyDescent="0.25">
      <c r="A335" s="1"/>
      <c r="B335" s="4">
        <v>27395</v>
      </c>
      <c r="C335" t="s">
        <v>24</v>
      </c>
      <c r="D335" s="3">
        <v>13.583333333333334</v>
      </c>
      <c r="E335" s="5">
        <f t="shared" si="40"/>
        <v>1975</v>
      </c>
      <c r="F335">
        <v>-0.42232999999999998</v>
      </c>
      <c r="G335">
        <f t="shared" si="41"/>
        <v>-2.9693899999999998</v>
      </c>
      <c r="H335">
        <f t="shared" si="42"/>
        <v>-2.9693899999999998</v>
      </c>
      <c r="I335" s="5">
        <f t="shared" si="43"/>
        <v>1975</v>
      </c>
      <c r="J335">
        <f t="shared" si="44"/>
        <v>-3.4062311470044255</v>
      </c>
      <c r="K335">
        <f t="shared" si="45"/>
        <v>-0.67531265924946404</v>
      </c>
      <c r="L335">
        <f t="shared" si="46"/>
        <v>2.7309184877549617</v>
      </c>
      <c r="P335">
        <f t="shared" si="47"/>
        <v>1</v>
      </c>
    </row>
    <row r="336" spans="1:16" x14ac:dyDescent="0.25">
      <c r="A336" s="1"/>
      <c r="B336" s="4">
        <v>27760</v>
      </c>
      <c r="C336" t="s">
        <v>24</v>
      </c>
      <c r="D336" s="3">
        <v>13.625</v>
      </c>
      <c r="E336" s="5">
        <f t="shared" si="40"/>
        <v>1976</v>
      </c>
      <c r="F336">
        <v>-0.74739999999999995</v>
      </c>
      <c r="G336">
        <f t="shared" si="41"/>
        <v>1.7224299999999999</v>
      </c>
      <c r="H336">
        <f t="shared" si="42"/>
        <v>1.7224299999999999</v>
      </c>
    </row>
    <row r="337" spans="1:6" x14ac:dyDescent="0.25">
      <c r="A337" s="1"/>
      <c r="B337" s="4">
        <v>28126</v>
      </c>
      <c r="C337" t="s">
        <v>24</v>
      </c>
      <c r="D337" s="3">
        <v>13.666666666666666</v>
      </c>
      <c r="E337" s="5">
        <f t="shared" si="40"/>
        <v>1977</v>
      </c>
      <c r="F337">
        <v>0.64995999999999998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7"/>
  <sheetViews>
    <sheetView zoomScale="60" zoomScaleNormal="60" workbookViewId="0">
      <selection activeCell="P11" sqref="P11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E2" t="s">
        <v>12</v>
      </c>
      <c r="F2" t="s">
        <v>9</v>
      </c>
      <c r="G2" t="s">
        <v>10</v>
      </c>
      <c r="H2" t="s">
        <v>11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283</v>
      </c>
      <c r="J3">
        <v>-6.6457948506516385E-3</v>
      </c>
      <c r="K3">
        <v>-2.5191878201709383</v>
      </c>
    </row>
    <row r="4" spans="1:16" x14ac:dyDescent="0.25">
      <c r="A4" s="1"/>
      <c r="B4" t="s">
        <v>15</v>
      </c>
      <c r="C4" t="s">
        <v>1</v>
      </c>
      <c r="I4" t="s">
        <v>282</v>
      </c>
      <c r="J4">
        <v>0.81042935222968493</v>
      </c>
      <c r="K4">
        <v>0.54220884558998261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281</v>
      </c>
      <c r="J5">
        <v>0.30377595472361613</v>
      </c>
      <c r="K5">
        <v>0.2637418651179938</v>
      </c>
    </row>
    <row r="6" spans="1:16" x14ac:dyDescent="0.25">
      <c r="A6" s="1"/>
      <c r="B6" t="s">
        <v>20</v>
      </c>
      <c r="C6" t="s">
        <v>21</v>
      </c>
      <c r="I6" t="s">
        <v>277</v>
      </c>
      <c r="J6">
        <v>1.2016900302677271</v>
      </c>
      <c r="K6">
        <v>2.3437358212087749</v>
      </c>
      <c r="L6" t="s">
        <v>274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278</v>
      </c>
      <c r="J7">
        <v>-0.43353242118848223</v>
      </c>
      <c r="K7">
        <v>-1.268563271591894</v>
      </c>
      <c r="L7" t="s">
        <v>275</v>
      </c>
    </row>
    <row r="8" spans="1:16" x14ac:dyDescent="0.25">
      <c r="A8" s="1"/>
      <c r="B8" t="s">
        <v>21</v>
      </c>
      <c r="I8" t="s">
        <v>279</v>
      </c>
      <c r="J8">
        <v>0.95615236581638463</v>
      </c>
      <c r="K8">
        <v>4.0120560928958584</v>
      </c>
      <c r="L8" t="s">
        <v>276</v>
      </c>
    </row>
    <row r="9" spans="1:16" x14ac:dyDescent="0.25">
      <c r="A9" s="1">
        <v>1</v>
      </c>
      <c r="H9">
        <f>+AVERAGE(F10:F337)</f>
        <v>-1.25238572899789E-17</v>
      </c>
      <c r="I9" t="s">
        <v>280</v>
      </c>
      <c r="J9">
        <v>-3.7350472715873807E-2</v>
      </c>
      <c r="K9">
        <v>0.3387107031301631</v>
      </c>
    </row>
    <row r="10" spans="1:16" x14ac:dyDescent="0.25">
      <c r="A10" s="1"/>
      <c r="B10" t="s">
        <v>23</v>
      </c>
      <c r="C10" t="s">
        <v>24</v>
      </c>
      <c r="D10" s="2">
        <v>4.1666666666666664E-2</v>
      </c>
      <c r="E10" s="5">
        <v>1650</v>
      </c>
      <c r="F10">
        <v>0.34445999999999999</v>
      </c>
      <c r="K10" s="6">
        <f>+CORREL(J230:J335,K230:K335)</f>
        <v>0.35558222524280342</v>
      </c>
    </row>
    <row r="11" spans="1:16" x14ac:dyDescent="0.25">
      <c r="A11" s="1"/>
      <c r="B11" t="s">
        <v>25</v>
      </c>
      <c r="C11" t="s">
        <v>24</v>
      </c>
      <c r="D11" s="2">
        <v>8.3333333333333329E-2</v>
      </c>
      <c r="E11" s="5">
        <f>+E10+1</f>
        <v>1651</v>
      </c>
      <c r="F11">
        <v>1.25427</v>
      </c>
      <c r="G11">
        <f>+(F12-F11)-(F11-F10)</f>
        <v>-1.4716800000000001</v>
      </c>
      <c r="H11">
        <f>+G11</f>
        <v>-1.4716800000000001</v>
      </c>
      <c r="K11" s="6">
        <f>+CORREL(J50:J335,K50:K335)</f>
        <v>0.23232869638384682</v>
      </c>
      <c r="L11">
        <f>+K11*P11</f>
        <v>0.16161996270180648</v>
      </c>
      <c r="P11">
        <f>+SUM(P13:P335)/(335-13)</f>
        <v>0.69565217391304346</v>
      </c>
    </row>
    <row r="12" spans="1:16" x14ac:dyDescent="0.25">
      <c r="A12" s="1"/>
      <c r="B12" t="s">
        <v>26</v>
      </c>
      <c r="C12" t="s">
        <v>24</v>
      </c>
      <c r="D12" s="2">
        <v>0.125</v>
      </c>
      <c r="E12" s="5">
        <f t="shared" ref="E12:E75" si="0">+E11+1</f>
        <v>1652</v>
      </c>
      <c r="F12">
        <v>0.69240000000000002</v>
      </c>
      <c r="G12">
        <f t="shared" ref="G12:G75" si="1">+(F13-F12)-(F12-F11)</f>
        <v>-0.72932999999999992</v>
      </c>
      <c r="H12">
        <f t="shared" ref="H12:H75" si="2">+G12</f>
        <v>-0.72932999999999992</v>
      </c>
      <c r="I12" s="5">
        <f>+E12</f>
        <v>1652</v>
      </c>
      <c r="J12">
        <f>+$J$6*F12+F12*$J$7*COS(2*PI()*$I12/$K$6+$K$5*COS($J$5*$I12+$K$8)+$J$9)+H12+F12*$J$3*COS(2*PI()*$I12/$J$8+$K$3)</f>
        <v>-4.4521779963483657E-3</v>
      </c>
      <c r="K12">
        <f>+$K$8*COS(2*PI()*$I12/$K$6+$K$5*COS($J$5*$I12+$K$8)+$K$7) +$K$4*COS(2*PI()*$I12/$J$8+$J$4)</f>
        <v>-2.6182890842038402</v>
      </c>
      <c r="N12">
        <f>+$K$8*COS(2*PI()*$I12/$K$6+$K$5*COS($J$5*$I12+$K$8)+$K$7)</f>
        <v>-3.0296776396943534</v>
      </c>
      <c r="P12">
        <f>+IF(J12*K12&gt;0,1, 0)</f>
        <v>1</v>
      </c>
    </row>
    <row r="13" spans="1:16" x14ac:dyDescent="0.25">
      <c r="A13" s="1"/>
      <c r="B13" t="s">
        <v>27</v>
      </c>
      <c r="C13" t="s">
        <v>24</v>
      </c>
      <c r="D13" s="2">
        <v>0.16666666666666666</v>
      </c>
      <c r="E13" s="5">
        <f t="shared" si="0"/>
        <v>1653</v>
      </c>
      <c r="F13">
        <v>-0.5988</v>
      </c>
      <c r="G13">
        <f t="shared" si="1"/>
        <v>1.2937099999999999</v>
      </c>
      <c r="H13">
        <f t="shared" si="2"/>
        <v>1.2937099999999999</v>
      </c>
      <c r="I13" s="5">
        <f t="shared" ref="I13:I76" si="3">+E13</f>
        <v>1653</v>
      </c>
      <c r="J13">
        <f t="shared" ref="J13:J76" si="4">+$J$6*F13+F13*$J$7*COS(2*PI()*$I13/$K$6+$K$5*COS($J$5*$I13+$K$8)+$J$9)+H13+F13*$J$3*COS(2*PI()*$I13/$J$8+$K$3)</f>
        <v>0.58880708732681419</v>
      </c>
      <c r="K13">
        <f t="shared" ref="K13:K76" si="5">+$K$8*COS(2*PI()*$I13/$K$6+$K$5*COS($J$5*$I13+$K$8)+$K$7) +$K$4*COS(2*PI()*$I13/$J$8+$J$4)</f>
        <v>4.3610161351606358</v>
      </c>
      <c r="P13">
        <f t="shared" ref="P13:P76" si="6">+IF(J13*K13&gt;0,1, 0)</f>
        <v>1</v>
      </c>
    </row>
    <row r="14" spans="1:16" x14ac:dyDescent="0.25">
      <c r="A14" s="1"/>
      <c r="B14" t="s">
        <v>28</v>
      </c>
      <c r="C14" t="s">
        <v>24</v>
      </c>
      <c r="D14" s="2">
        <v>0.20833333333333334</v>
      </c>
      <c r="E14" s="5">
        <f t="shared" si="0"/>
        <v>1654</v>
      </c>
      <c r="F14">
        <v>-0.59628999999999999</v>
      </c>
      <c r="G14">
        <f t="shared" si="1"/>
        <v>0.75729999999999997</v>
      </c>
      <c r="H14">
        <f t="shared" si="2"/>
        <v>0.75729999999999997</v>
      </c>
      <c r="I14" s="5">
        <f t="shared" si="3"/>
        <v>1654</v>
      </c>
      <c r="J14">
        <f t="shared" si="4"/>
        <v>-8.4901001721870276E-2</v>
      </c>
      <c r="K14">
        <f t="shared" si="5"/>
        <v>-3.4287564630886829</v>
      </c>
      <c r="P14">
        <f t="shared" si="6"/>
        <v>1</v>
      </c>
    </row>
    <row r="15" spans="1:16" x14ac:dyDescent="0.25">
      <c r="A15" s="1"/>
      <c r="B15" t="s">
        <v>29</v>
      </c>
      <c r="C15" t="s">
        <v>24</v>
      </c>
      <c r="D15" s="2">
        <v>0.25</v>
      </c>
      <c r="E15" s="5">
        <f t="shared" si="0"/>
        <v>1655</v>
      </c>
      <c r="F15">
        <v>0.16352</v>
      </c>
      <c r="G15">
        <f t="shared" si="1"/>
        <v>0.10324</v>
      </c>
      <c r="H15">
        <f t="shared" si="2"/>
        <v>0.10324</v>
      </c>
      <c r="I15" s="5">
        <f t="shared" si="3"/>
        <v>1655</v>
      </c>
      <c r="J15">
        <f t="shared" si="4"/>
        <v>0.24557150085383325</v>
      </c>
      <c r="K15">
        <f t="shared" si="5"/>
        <v>3.9472975150666452</v>
      </c>
      <c r="P15">
        <f t="shared" si="6"/>
        <v>1</v>
      </c>
    </row>
    <row r="16" spans="1:16" x14ac:dyDescent="0.25">
      <c r="A16" s="1"/>
      <c r="B16" t="s">
        <v>30</v>
      </c>
      <c r="C16" t="s">
        <v>24</v>
      </c>
      <c r="D16" s="2">
        <v>0.29166666666666669</v>
      </c>
      <c r="E16" s="5">
        <f t="shared" si="0"/>
        <v>1656</v>
      </c>
      <c r="F16">
        <v>1.02657</v>
      </c>
      <c r="G16">
        <f t="shared" si="1"/>
        <v>-1.7184300000000001</v>
      </c>
      <c r="H16">
        <f t="shared" si="2"/>
        <v>-1.7184300000000001</v>
      </c>
      <c r="I16" s="5">
        <f t="shared" si="3"/>
        <v>1656</v>
      </c>
      <c r="J16">
        <f t="shared" si="4"/>
        <v>-5.1489095750484701E-2</v>
      </c>
      <c r="K16">
        <f t="shared" si="5"/>
        <v>-1.8660246096469626</v>
      </c>
      <c r="P16">
        <f t="shared" si="6"/>
        <v>1</v>
      </c>
    </row>
    <row r="17" spans="1:16" x14ac:dyDescent="0.25">
      <c r="A17" s="1"/>
      <c r="B17" t="s">
        <v>31</v>
      </c>
      <c r="C17" t="s">
        <v>24</v>
      </c>
      <c r="D17" s="2">
        <v>0.33333333333333331</v>
      </c>
      <c r="E17" s="5">
        <f t="shared" si="0"/>
        <v>1657</v>
      </c>
      <c r="F17">
        <v>0.17119000000000001</v>
      </c>
      <c r="G17">
        <f t="shared" si="1"/>
        <v>1.14673</v>
      </c>
      <c r="H17">
        <f t="shared" si="2"/>
        <v>1.14673</v>
      </c>
      <c r="I17" s="5">
        <f t="shared" si="3"/>
        <v>1657</v>
      </c>
      <c r="J17">
        <f t="shared" si="4"/>
        <v>1.2795312929656137</v>
      </c>
      <c r="K17">
        <f t="shared" si="5"/>
        <v>1.3796676266086081</v>
      </c>
      <c r="P17">
        <f t="shared" si="6"/>
        <v>1</v>
      </c>
    </row>
    <row r="18" spans="1:16" x14ac:dyDescent="0.25">
      <c r="A18" s="1"/>
      <c r="B18" t="s">
        <v>32</v>
      </c>
      <c r="C18" t="s">
        <v>24</v>
      </c>
      <c r="D18" s="2">
        <v>0.375</v>
      </c>
      <c r="E18" s="5">
        <f t="shared" si="0"/>
        <v>1658</v>
      </c>
      <c r="F18">
        <v>0.46254000000000001</v>
      </c>
      <c r="G18">
        <f t="shared" si="1"/>
        <v>-0.77851999999999999</v>
      </c>
      <c r="H18">
        <f t="shared" si="2"/>
        <v>-0.77851999999999999</v>
      </c>
      <c r="I18" s="5">
        <f t="shared" si="3"/>
        <v>1658</v>
      </c>
      <c r="J18">
        <f t="shared" si="4"/>
        <v>-4.2357548670533568E-2</v>
      </c>
      <c r="K18">
        <f t="shared" si="5"/>
        <v>0.82851820104906548</v>
      </c>
      <c r="P18">
        <f t="shared" si="6"/>
        <v>0</v>
      </c>
    </row>
    <row r="19" spans="1:16" x14ac:dyDescent="0.25">
      <c r="A19" s="1"/>
      <c r="B19" t="s">
        <v>33</v>
      </c>
      <c r="C19" t="s">
        <v>24</v>
      </c>
      <c r="D19" s="2">
        <v>0.41666666666666669</v>
      </c>
      <c r="E19" s="5">
        <f t="shared" si="0"/>
        <v>1659</v>
      </c>
      <c r="F19">
        <v>-2.4629999999999999E-2</v>
      </c>
      <c r="G19">
        <f t="shared" si="1"/>
        <v>0.71074999999999999</v>
      </c>
      <c r="H19">
        <f t="shared" si="2"/>
        <v>0.71074999999999999</v>
      </c>
      <c r="I19" s="5">
        <f t="shared" si="3"/>
        <v>1659</v>
      </c>
      <c r="J19">
        <f t="shared" si="4"/>
        <v>0.68800833103541581</v>
      </c>
      <c r="K19">
        <f t="shared" si="5"/>
        <v>-1.8707074142730127</v>
      </c>
      <c r="P19">
        <f t="shared" si="6"/>
        <v>0</v>
      </c>
    </row>
    <row r="20" spans="1:16" x14ac:dyDescent="0.25">
      <c r="A20" s="1"/>
      <c r="B20" t="s">
        <v>34</v>
      </c>
      <c r="C20" t="s">
        <v>24</v>
      </c>
      <c r="D20" s="2">
        <v>0.45833333333333331</v>
      </c>
      <c r="E20" s="5">
        <f t="shared" si="0"/>
        <v>1660</v>
      </c>
      <c r="F20">
        <v>0.19894999999999999</v>
      </c>
      <c r="G20">
        <f t="shared" si="1"/>
        <v>0.13978000000000002</v>
      </c>
      <c r="H20">
        <f t="shared" si="2"/>
        <v>0.13978000000000002</v>
      </c>
      <c r="I20" s="5">
        <f t="shared" si="3"/>
        <v>1660</v>
      </c>
      <c r="J20">
        <f t="shared" si="4"/>
        <v>0.40480621531527555</v>
      </c>
      <c r="K20">
        <f t="shared" si="5"/>
        <v>3.1984000331942037</v>
      </c>
      <c r="P20">
        <f t="shared" si="6"/>
        <v>1</v>
      </c>
    </row>
    <row r="21" spans="1:16" x14ac:dyDescent="0.25">
      <c r="A21" s="1"/>
      <c r="B21" t="s">
        <v>35</v>
      </c>
      <c r="C21" t="s">
        <v>24</v>
      </c>
      <c r="D21" s="2">
        <v>0.5</v>
      </c>
      <c r="E21" s="5">
        <f t="shared" si="0"/>
        <v>1661</v>
      </c>
      <c r="F21">
        <v>0.56230999999999998</v>
      </c>
      <c r="G21">
        <f t="shared" si="1"/>
        <v>-0.79430999999999996</v>
      </c>
      <c r="H21">
        <f t="shared" si="2"/>
        <v>-0.79430999999999996</v>
      </c>
      <c r="I21" s="5">
        <f t="shared" si="3"/>
        <v>1661</v>
      </c>
      <c r="J21">
        <f t="shared" si="4"/>
        <v>-9.0092826671882925E-2</v>
      </c>
      <c r="K21">
        <f t="shared" si="5"/>
        <v>-4.0818658028745531</v>
      </c>
      <c r="P21">
        <f t="shared" si="6"/>
        <v>1</v>
      </c>
    </row>
    <row r="22" spans="1:16" x14ac:dyDescent="0.25">
      <c r="A22" s="1"/>
      <c r="B22" t="s">
        <v>36</v>
      </c>
      <c r="C22" t="s">
        <v>24</v>
      </c>
      <c r="D22" s="2">
        <v>0.54166666666666663</v>
      </c>
      <c r="E22" s="5">
        <f t="shared" si="0"/>
        <v>1662</v>
      </c>
      <c r="F22">
        <v>0.13136</v>
      </c>
      <c r="G22">
        <f t="shared" si="1"/>
        <v>-7.5390000000000068E-2</v>
      </c>
      <c r="H22">
        <f t="shared" si="2"/>
        <v>-7.5390000000000068E-2</v>
      </c>
      <c r="I22" s="5">
        <f t="shared" si="3"/>
        <v>1662</v>
      </c>
      <c r="J22">
        <f t="shared" si="4"/>
        <v>5.167987431958488E-2</v>
      </c>
      <c r="K22">
        <f t="shared" si="5"/>
        <v>3.604965734356977</v>
      </c>
      <c r="P22">
        <f t="shared" si="6"/>
        <v>1</v>
      </c>
    </row>
    <row r="23" spans="1:16" x14ac:dyDescent="0.25">
      <c r="A23" s="1"/>
      <c r="B23" t="s">
        <v>37</v>
      </c>
      <c r="C23" t="s">
        <v>24</v>
      </c>
      <c r="D23" s="2">
        <v>0.58333333333333337</v>
      </c>
      <c r="E23" s="5">
        <f t="shared" si="0"/>
        <v>1663</v>
      </c>
      <c r="F23">
        <v>-0.37497999999999998</v>
      </c>
      <c r="G23">
        <f t="shared" si="1"/>
        <v>-9.8799999999999999E-2</v>
      </c>
      <c r="H23">
        <f t="shared" si="2"/>
        <v>-9.8799999999999999E-2</v>
      </c>
      <c r="I23" s="5">
        <f t="shared" si="3"/>
        <v>1663</v>
      </c>
      <c r="J23">
        <f t="shared" si="4"/>
        <v>-0.68739049633726534</v>
      </c>
      <c r="K23">
        <f t="shared" si="5"/>
        <v>-3.5075346669488674</v>
      </c>
      <c r="P23">
        <f t="shared" si="6"/>
        <v>1</v>
      </c>
    </row>
    <row r="24" spans="1:16" x14ac:dyDescent="0.25">
      <c r="A24" s="1"/>
      <c r="B24" t="s">
        <v>38</v>
      </c>
      <c r="C24" t="s">
        <v>24</v>
      </c>
      <c r="D24" s="2">
        <v>0.625</v>
      </c>
      <c r="E24" s="5">
        <f t="shared" si="0"/>
        <v>1664</v>
      </c>
      <c r="F24">
        <v>-0.98011999999999999</v>
      </c>
      <c r="G24">
        <f t="shared" si="1"/>
        <v>1.1643399999999999</v>
      </c>
      <c r="H24">
        <f t="shared" si="2"/>
        <v>1.1643399999999999</v>
      </c>
      <c r="I24" s="5">
        <f t="shared" si="3"/>
        <v>1664</v>
      </c>
      <c r="J24">
        <f t="shared" si="4"/>
        <v>0.41644868729997747</v>
      </c>
      <c r="K24">
        <f t="shared" si="5"/>
        <v>1.0078736203001104</v>
      </c>
      <c r="P24">
        <f t="shared" si="6"/>
        <v>1</v>
      </c>
    </row>
    <row r="25" spans="1:16" x14ac:dyDescent="0.25">
      <c r="A25" s="1"/>
      <c r="B25" t="s">
        <v>39</v>
      </c>
      <c r="C25" t="s">
        <v>24</v>
      </c>
      <c r="D25" s="2">
        <v>0.66666666666666663</v>
      </c>
      <c r="E25" s="5">
        <f t="shared" si="0"/>
        <v>1665</v>
      </c>
      <c r="F25">
        <v>-0.42092000000000002</v>
      </c>
      <c r="G25">
        <f t="shared" si="1"/>
        <v>-0.38831999999999989</v>
      </c>
      <c r="H25">
        <f t="shared" si="2"/>
        <v>-0.38831999999999989</v>
      </c>
      <c r="I25" s="5">
        <f t="shared" si="3"/>
        <v>1665</v>
      </c>
      <c r="J25">
        <f t="shared" si="4"/>
        <v>-1.0544172457268566</v>
      </c>
      <c r="K25">
        <f t="shared" si="5"/>
        <v>-3.0212284451404559E-2</v>
      </c>
      <c r="P25">
        <f t="shared" si="6"/>
        <v>1</v>
      </c>
    </row>
    <row r="26" spans="1:16" x14ac:dyDescent="0.25">
      <c r="A26" s="1"/>
      <c r="B26" t="s">
        <v>40</v>
      </c>
      <c r="C26" t="s">
        <v>24</v>
      </c>
      <c r="D26" s="2">
        <v>0.70833333333333337</v>
      </c>
      <c r="E26" s="5">
        <f t="shared" si="0"/>
        <v>1666</v>
      </c>
      <c r="F26">
        <v>-0.25003999999999998</v>
      </c>
      <c r="G26">
        <f t="shared" si="1"/>
        <v>-0.16959000000000005</v>
      </c>
      <c r="H26">
        <f t="shared" si="2"/>
        <v>-0.16959000000000005</v>
      </c>
      <c r="I26" s="5">
        <f t="shared" si="3"/>
        <v>1666</v>
      </c>
      <c r="J26">
        <f t="shared" si="4"/>
        <v>-0.40939750529872515</v>
      </c>
      <c r="K26">
        <f t="shared" si="5"/>
        <v>-2.9792761803049865</v>
      </c>
      <c r="P26">
        <f t="shared" si="6"/>
        <v>1</v>
      </c>
    </row>
    <row r="27" spans="1:16" x14ac:dyDescent="0.25">
      <c r="A27" s="1"/>
      <c r="B27" t="s">
        <v>41</v>
      </c>
      <c r="C27" t="s">
        <v>24</v>
      </c>
      <c r="D27" s="2">
        <v>0.75</v>
      </c>
      <c r="E27" s="5">
        <f t="shared" si="0"/>
        <v>1667</v>
      </c>
      <c r="F27">
        <v>-0.24875</v>
      </c>
      <c r="G27">
        <f t="shared" si="1"/>
        <v>-0.28654000000000002</v>
      </c>
      <c r="H27">
        <f t="shared" si="2"/>
        <v>-0.28654000000000002</v>
      </c>
      <c r="I27" s="5">
        <f t="shared" si="3"/>
        <v>1667</v>
      </c>
      <c r="J27">
        <f t="shared" si="4"/>
        <v>-0.58792099304999368</v>
      </c>
      <c r="K27">
        <f t="shared" si="5"/>
        <v>3.2469469123183186</v>
      </c>
      <c r="P27">
        <f t="shared" si="6"/>
        <v>0</v>
      </c>
    </row>
    <row r="28" spans="1:16" x14ac:dyDescent="0.25">
      <c r="A28" s="1"/>
      <c r="B28" t="s">
        <v>42</v>
      </c>
      <c r="C28" t="s">
        <v>24</v>
      </c>
      <c r="D28" s="2">
        <v>0.79166666666666663</v>
      </c>
      <c r="E28" s="5">
        <f t="shared" si="0"/>
        <v>1668</v>
      </c>
      <c r="F28">
        <v>-0.53400000000000003</v>
      </c>
      <c r="G28">
        <f t="shared" si="1"/>
        <v>0.54977000000000009</v>
      </c>
      <c r="H28">
        <f t="shared" si="2"/>
        <v>0.54977000000000009</v>
      </c>
      <c r="I28" s="5">
        <f t="shared" si="3"/>
        <v>1668</v>
      </c>
      <c r="J28">
        <f t="shared" si="4"/>
        <v>-0.2005292171284335</v>
      </c>
      <c r="K28">
        <f t="shared" si="5"/>
        <v>-4.3519845965188164</v>
      </c>
      <c r="P28">
        <f t="shared" si="6"/>
        <v>1</v>
      </c>
    </row>
    <row r="29" spans="1:16" x14ac:dyDescent="0.25">
      <c r="A29" s="1"/>
      <c r="B29" t="s">
        <v>43</v>
      </c>
      <c r="C29" t="s">
        <v>24</v>
      </c>
      <c r="D29" s="2">
        <v>0.83333333333333337</v>
      </c>
      <c r="E29" s="5">
        <f t="shared" si="0"/>
        <v>1669</v>
      </c>
      <c r="F29">
        <v>-0.26948</v>
      </c>
      <c r="G29">
        <f t="shared" si="1"/>
        <v>-0.27870000000000006</v>
      </c>
      <c r="H29">
        <f t="shared" si="2"/>
        <v>-0.27870000000000006</v>
      </c>
      <c r="I29" s="5">
        <f t="shared" si="3"/>
        <v>1669</v>
      </c>
      <c r="J29">
        <f t="shared" si="4"/>
        <v>-0.50069483832784445</v>
      </c>
      <c r="K29">
        <f t="shared" si="5"/>
        <v>2.8002110218106959</v>
      </c>
      <c r="P29">
        <f t="shared" si="6"/>
        <v>0</v>
      </c>
    </row>
    <row r="30" spans="1:16" x14ac:dyDescent="0.25">
      <c r="A30" s="1"/>
      <c r="B30" t="s">
        <v>44</v>
      </c>
      <c r="C30" t="s">
        <v>24</v>
      </c>
      <c r="D30" s="2">
        <v>0.875</v>
      </c>
      <c r="E30" s="5">
        <f t="shared" si="0"/>
        <v>1670</v>
      </c>
      <c r="F30">
        <v>-0.28366000000000002</v>
      </c>
      <c r="G30">
        <f t="shared" si="1"/>
        <v>0.70045000000000002</v>
      </c>
      <c r="H30">
        <f t="shared" si="2"/>
        <v>0.70045000000000002</v>
      </c>
      <c r="I30" s="5">
        <f t="shared" si="3"/>
        <v>1670</v>
      </c>
      <c r="J30">
        <f t="shared" si="4"/>
        <v>0.23738156444854883</v>
      </c>
      <c r="K30">
        <f t="shared" si="5"/>
        <v>-1.4942364297585935</v>
      </c>
      <c r="P30">
        <f t="shared" si="6"/>
        <v>0</v>
      </c>
    </row>
    <row r="31" spans="1:16" x14ac:dyDescent="0.25">
      <c r="A31" s="1"/>
      <c r="B31" t="s">
        <v>45</v>
      </c>
      <c r="C31" t="s">
        <v>24</v>
      </c>
      <c r="D31" s="2">
        <v>0.91666666666666663</v>
      </c>
      <c r="E31" s="5">
        <f t="shared" si="0"/>
        <v>1671</v>
      </c>
      <c r="F31">
        <v>0.40261000000000002</v>
      </c>
      <c r="G31">
        <f t="shared" si="1"/>
        <v>-1.4431400000000001</v>
      </c>
      <c r="H31">
        <f t="shared" si="2"/>
        <v>-1.4431400000000001</v>
      </c>
      <c r="I31" s="5">
        <f t="shared" si="3"/>
        <v>1671</v>
      </c>
      <c r="J31">
        <f t="shared" si="4"/>
        <v>-1.1130204110282078</v>
      </c>
      <c r="K31">
        <f t="shared" si="5"/>
        <v>-0.60489975233114424</v>
      </c>
      <c r="P31">
        <f t="shared" si="6"/>
        <v>1</v>
      </c>
    </row>
    <row r="32" spans="1:16" x14ac:dyDescent="0.25">
      <c r="A32" s="1"/>
      <c r="B32" t="s">
        <v>46</v>
      </c>
      <c r="C32" t="s">
        <v>24</v>
      </c>
      <c r="D32" s="2">
        <v>0.95833333333333337</v>
      </c>
      <c r="E32" s="5">
        <f t="shared" si="0"/>
        <v>1672</v>
      </c>
      <c r="F32">
        <v>-0.35426000000000002</v>
      </c>
      <c r="G32">
        <f t="shared" si="1"/>
        <v>0.87363000000000013</v>
      </c>
      <c r="H32">
        <f t="shared" si="2"/>
        <v>0.87363000000000013</v>
      </c>
      <c r="I32" s="5">
        <f t="shared" si="3"/>
        <v>1672</v>
      </c>
      <c r="J32">
        <f t="shared" si="4"/>
        <v>0.36238715675405558</v>
      </c>
      <c r="K32">
        <f t="shared" si="5"/>
        <v>2.5880629439751308</v>
      </c>
      <c r="P32">
        <f t="shared" si="6"/>
        <v>1</v>
      </c>
    </row>
    <row r="33" spans="1:16" x14ac:dyDescent="0.25">
      <c r="A33" s="1"/>
      <c r="B33" t="s">
        <v>47</v>
      </c>
      <c r="C33" t="s">
        <v>24</v>
      </c>
      <c r="D33" s="3">
        <v>1</v>
      </c>
      <c r="E33" s="5">
        <f t="shared" si="0"/>
        <v>1673</v>
      </c>
      <c r="F33">
        <v>-0.23749999999999999</v>
      </c>
      <c r="G33">
        <f t="shared" si="1"/>
        <v>0.73222000000000009</v>
      </c>
      <c r="H33">
        <f t="shared" si="2"/>
        <v>0.73222000000000009</v>
      </c>
      <c r="I33" s="5">
        <f t="shared" si="3"/>
        <v>1673</v>
      </c>
      <c r="J33">
        <f t="shared" si="4"/>
        <v>0.45917823445204309</v>
      </c>
      <c r="K33">
        <f t="shared" si="5"/>
        <v>-3.2643270519588734</v>
      </c>
      <c r="P33">
        <f t="shared" si="6"/>
        <v>0</v>
      </c>
    </row>
    <row r="34" spans="1:16" x14ac:dyDescent="0.25">
      <c r="A34" s="1"/>
      <c r="B34" t="s">
        <v>48</v>
      </c>
      <c r="C34" t="s">
        <v>24</v>
      </c>
      <c r="D34" s="3">
        <v>1.0416666666666667</v>
      </c>
      <c r="E34" s="5">
        <f t="shared" si="0"/>
        <v>1674</v>
      </c>
      <c r="F34">
        <v>0.61148000000000002</v>
      </c>
      <c r="G34">
        <f t="shared" si="1"/>
        <v>-1.57823</v>
      </c>
      <c r="H34">
        <f t="shared" si="2"/>
        <v>-1.57823</v>
      </c>
      <c r="I34" s="5">
        <f t="shared" si="3"/>
        <v>1674</v>
      </c>
      <c r="J34">
        <f t="shared" si="4"/>
        <v>-0.92161519578722506</v>
      </c>
      <c r="K34">
        <f t="shared" si="5"/>
        <v>4.4407711940096046</v>
      </c>
      <c r="P34">
        <f t="shared" si="6"/>
        <v>0</v>
      </c>
    </row>
    <row r="35" spans="1:16" x14ac:dyDescent="0.25">
      <c r="A35" s="1"/>
      <c r="B35" t="s">
        <v>49</v>
      </c>
      <c r="C35" t="s">
        <v>24</v>
      </c>
      <c r="D35" s="3">
        <v>1.0833333333333333</v>
      </c>
      <c r="E35" s="5">
        <f t="shared" si="0"/>
        <v>1675</v>
      </c>
      <c r="F35">
        <v>-0.11777</v>
      </c>
      <c r="G35">
        <f t="shared" si="1"/>
        <v>0.11476000000000008</v>
      </c>
      <c r="H35">
        <f t="shared" si="2"/>
        <v>0.11476000000000008</v>
      </c>
      <c r="I35" s="5">
        <f t="shared" si="3"/>
        <v>1675</v>
      </c>
      <c r="J35">
        <f t="shared" si="4"/>
        <v>-6.1304420971115617E-2</v>
      </c>
      <c r="K35">
        <f t="shared" si="5"/>
        <v>-3.2106386260191151</v>
      </c>
      <c r="P35">
        <f t="shared" si="6"/>
        <v>1</v>
      </c>
    </row>
    <row r="36" spans="1:16" x14ac:dyDescent="0.25">
      <c r="A36" s="1"/>
      <c r="B36" t="s">
        <v>50</v>
      </c>
      <c r="C36" t="s">
        <v>24</v>
      </c>
      <c r="D36" s="3">
        <v>1.125</v>
      </c>
      <c r="E36" s="5">
        <f t="shared" si="0"/>
        <v>1676</v>
      </c>
      <c r="F36">
        <v>-0.73226000000000002</v>
      </c>
      <c r="G36">
        <f t="shared" si="1"/>
        <v>1.7616499999999999</v>
      </c>
      <c r="H36">
        <f t="shared" si="2"/>
        <v>1.7616499999999999</v>
      </c>
      <c r="I36" s="5">
        <f t="shared" si="3"/>
        <v>1676</v>
      </c>
      <c r="J36">
        <f t="shared" si="4"/>
        <v>1.163197011270128</v>
      </c>
      <c r="K36">
        <f t="shared" si="5"/>
        <v>3.3824451281288903</v>
      </c>
      <c r="P36">
        <f t="shared" si="6"/>
        <v>1</v>
      </c>
    </row>
    <row r="37" spans="1:16" x14ac:dyDescent="0.25">
      <c r="A37" s="1"/>
      <c r="B37" t="s">
        <v>51</v>
      </c>
      <c r="C37" t="s">
        <v>24</v>
      </c>
      <c r="D37" s="3">
        <v>1.1666666666666667</v>
      </c>
      <c r="E37" s="5">
        <f t="shared" si="0"/>
        <v>1677</v>
      </c>
      <c r="F37">
        <v>0.41489999999999999</v>
      </c>
      <c r="G37">
        <f t="shared" si="1"/>
        <v>-1.8254699999999999</v>
      </c>
      <c r="H37">
        <f t="shared" si="2"/>
        <v>-1.8254699999999999</v>
      </c>
      <c r="I37" s="5">
        <f t="shared" si="3"/>
        <v>1677</v>
      </c>
      <c r="J37">
        <f t="shared" si="4"/>
        <v>-1.1446001465031157</v>
      </c>
      <c r="K37">
        <f t="shared" si="5"/>
        <v>-1.0363359079866084</v>
      </c>
      <c r="P37">
        <f t="shared" si="6"/>
        <v>1</v>
      </c>
    </row>
    <row r="38" spans="1:16" x14ac:dyDescent="0.25">
      <c r="A38" s="1"/>
      <c r="B38" t="s">
        <v>52</v>
      </c>
      <c r="C38" t="s">
        <v>24</v>
      </c>
      <c r="D38" s="3">
        <v>1.2083333333333333</v>
      </c>
      <c r="E38" s="5">
        <f t="shared" si="0"/>
        <v>1678</v>
      </c>
      <c r="F38">
        <v>-0.26340999999999998</v>
      </c>
      <c r="G38">
        <f t="shared" si="1"/>
        <v>0.3245599999999999</v>
      </c>
      <c r="H38">
        <f t="shared" si="2"/>
        <v>0.3245599999999999</v>
      </c>
      <c r="I38" s="5">
        <f t="shared" si="3"/>
        <v>1678</v>
      </c>
      <c r="J38">
        <f t="shared" si="4"/>
        <v>0.11477337706018276</v>
      </c>
      <c r="K38">
        <f t="shared" si="5"/>
        <v>0.55663724689464389</v>
      </c>
      <c r="P38">
        <f t="shared" si="6"/>
        <v>1</v>
      </c>
    </row>
    <row r="39" spans="1:16" x14ac:dyDescent="0.25">
      <c r="A39" s="1"/>
      <c r="B39" t="s">
        <v>53</v>
      </c>
      <c r="C39" t="s">
        <v>24</v>
      </c>
      <c r="D39" s="3">
        <v>1.25</v>
      </c>
      <c r="E39" s="5">
        <f t="shared" si="0"/>
        <v>1679</v>
      </c>
      <c r="F39">
        <v>-0.61716000000000004</v>
      </c>
      <c r="G39">
        <f t="shared" si="1"/>
        <v>1.15364</v>
      </c>
      <c r="H39">
        <f t="shared" si="2"/>
        <v>1.15364</v>
      </c>
      <c r="I39" s="5">
        <f t="shared" si="3"/>
        <v>1679</v>
      </c>
      <c r="J39">
        <f t="shared" si="4"/>
        <v>0.20448218877356972</v>
      </c>
      <c r="K39">
        <f t="shared" si="5"/>
        <v>1.8086357591605542</v>
      </c>
      <c r="P39">
        <f t="shared" si="6"/>
        <v>1</v>
      </c>
    </row>
    <row r="40" spans="1:16" x14ac:dyDescent="0.25">
      <c r="A40" s="1"/>
      <c r="B40" t="s">
        <v>54</v>
      </c>
      <c r="C40" t="s">
        <v>24</v>
      </c>
      <c r="D40" s="3">
        <v>1.2916666666666667</v>
      </c>
      <c r="E40" s="5">
        <f t="shared" si="0"/>
        <v>1680</v>
      </c>
      <c r="F40">
        <v>0.18273</v>
      </c>
      <c r="G40">
        <f t="shared" si="1"/>
        <v>-0.71388000000000007</v>
      </c>
      <c r="H40">
        <f t="shared" si="2"/>
        <v>-0.71388000000000007</v>
      </c>
      <c r="I40" s="5">
        <f t="shared" si="3"/>
        <v>1680</v>
      </c>
      <c r="J40">
        <f t="shared" si="4"/>
        <v>-0.52975974320301422</v>
      </c>
      <c r="K40">
        <f t="shared" si="5"/>
        <v>-2.4950497827024991</v>
      </c>
      <c r="P40">
        <f t="shared" si="6"/>
        <v>1</v>
      </c>
    </row>
    <row r="41" spans="1:16" x14ac:dyDescent="0.25">
      <c r="A41" s="1"/>
      <c r="B41" t="s">
        <v>55</v>
      </c>
      <c r="C41" t="s">
        <v>24</v>
      </c>
      <c r="D41" s="3">
        <v>1.3333333333333333</v>
      </c>
      <c r="E41" s="5">
        <f t="shared" si="0"/>
        <v>1681</v>
      </c>
      <c r="F41">
        <v>0.26873999999999998</v>
      </c>
      <c r="G41">
        <f t="shared" si="1"/>
        <v>0.38514000000000009</v>
      </c>
      <c r="H41">
        <f t="shared" si="2"/>
        <v>0.38514000000000009</v>
      </c>
      <c r="I41" s="5">
        <f t="shared" si="3"/>
        <v>1681</v>
      </c>
      <c r="J41">
        <f t="shared" si="4"/>
        <v>0.71651392510004486</v>
      </c>
      <c r="K41">
        <f t="shared" si="5"/>
        <v>3.7974289031297537</v>
      </c>
      <c r="P41">
        <f t="shared" si="6"/>
        <v>1</v>
      </c>
    </row>
    <row r="42" spans="1:16" x14ac:dyDescent="0.25">
      <c r="A42" s="1"/>
      <c r="B42" t="s">
        <v>56</v>
      </c>
      <c r="C42" t="s">
        <v>24</v>
      </c>
      <c r="D42" s="3">
        <v>1.375</v>
      </c>
      <c r="E42" s="5">
        <f t="shared" si="0"/>
        <v>1682</v>
      </c>
      <c r="F42">
        <v>0.73989000000000005</v>
      </c>
      <c r="G42">
        <f t="shared" si="1"/>
        <v>-1.0157100000000001</v>
      </c>
      <c r="H42">
        <f t="shared" si="2"/>
        <v>-1.0157100000000001</v>
      </c>
      <c r="I42" s="5">
        <f t="shared" si="3"/>
        <v>1682</v>
      </c>
      <c r="J42">
        <f t="shared" si="4"/>
        <v>-1.2337152532029565E-2</v>
      </c>
      <c r="K42">
        <f t="shared" si="5"/>
        <v>-4.0547105281285871</v>
      </c>
      <c r="P42">
        <f t="shared" si="6"/>
        <v>1</v>
      </c>
    </row>
    <row r="43" spans="1:16" x14ac:dyDescent="0.25">
      <c r="A43" s="1"/>
      <c r="B43" t="s">
        <v>57</v>
      </c>
      <c r="C43" t="s">
        <v>24</v>
      </c>
      <c r="D43" s="3">
        <v>1.4166666666666667</v>
      </c>
      <c r="E43" s="5">
        <f t="shared" si="0"/>
        <v>1683</v>
      </c>
      <c r="F43">
        <v>0.19533</v>
      </c>
      <c r="G43">
        <f t="shared" si="1"/>
        <v>0.24701000000000006</v>
      </c>
      <c r="H43">
        <f t="shared" si="2"/>
        <v>0.24701000000000006</v>
      </c>
      <c r="I43" s="5">
        <f t="shared" si="3"/>
        <v>1683</v>
      </c>
      <c r="J43">
        <f t="shared" si="4"/>
        <v>0.4198931050393675</v>
      </c>
      <c r="K43">
        <f t="shared" si="5"/>
        <v>3.3721442084707611</v>
      </c>
      <c r="P43">
        <f t="shared" si="6"/>
        <v>1</v>
      </c>
    </row>
    <row r="44" spans="1:16" x14ac:dyDescent="0.25">
      <c r="A44" s="1"/>
      <c r="B44" t="s">
        <v>58</v>
      </c>
      <c r="C44" t="s">
        <v>24</v>
      </c>
      <c r="D44" s="3">
        <v>1.4583333333333333</v>
      </c>
      <c r="E44" s="5">
        <f t="shared" si="0"/>
        <v>1684</v>
      </c>
      <c r="F44">
        <v>-0.10222000000000001</v>
      </c>
      <c r="G44">
        <f t="shared" si="1"/>
        <v>-0.73465000000000003</v>
      </c>
      <c r="H44">
        <f t="shared" si="2"/>
        <v>-0.73465000000000003</v>
      </c>
      <c r="I44" s="5">
        <f t="shared" si="3"/>
        <v>1684</v>
      </c>
      <c r="J44">
        <f t="shared" si="4"/>
        <v>-0.89977397946482551</v>
      </c>
      <c r="K44">
        <f t="shared" si="5"/>
        <v>-2.6597420791037991</v>
      </c>
      <c r="P44">
        <f t="shared" si="6"/>
        <v>1</v>
      </c>
    </row>
    <row r="45" spans="1:16" x14ac:dyDescent="0.25">
      <c r="A45" s="1"/>
      <c r="B45" t="s">
        <v>59</v>
      </c>
      <c r="C45" t="s">
        <v>24</v>
      </c>
      <c r="D45" s="3">
        <v>1.5</v>
      </c>
      <c r="E45" s="5">
        <f t="shared" si="0"/>
        <v>1685</v>
      </c>
      <c r="F45">
        <v>-1.13442</v>
      </c>
      <c r="G45">
        <f t="shared" si="1"/>
        <v>2.4325399999999999</v>
      </c>
      <c r="H45">
        <f t="shared" si="2"/>
        <v>2.4325399999999999</v>
      </c>
      <c r="I45" s="5">
        <f t="shared" si="3"/>
        <v>1685</v>
      </c>
      <c r="J45">
        <f t="shared" si="4"/>
        <v>1.5545067949835722</v>
      </c>
      <c r="K45">
        <f t="shared" si="5"/>
        <v>4.1229013604371811E-2</v>
      </c>
      <c r="P45">
        <f t="shared" si="6"/>
        <v>1</v>
      </c>
    </row>
    <row r="46" spans="1:16" x14ac:dyDescent="0.25">
      <c r="A46" s="1"/>
      <c r="B46" t="s">
        <v>60</v>
      </c>
      <c r="C46" t="s">
        <v>24</v>
      </c>
      <c r="D46" s="3">
        <v>1.5416666666666667</v>
      </c>
      <c r="E46" s="5">
        <f t="shared" si="0"/>
        <v>1686</v>
      </c>
      <c r="F46">
        <v>0.26591999999999999</v>
      </c>
      <c r="G46">
        <f t="shared" si="1"/>
        <v>-0.68174000000000001</v>
      </c>
      <c r="H46">
        <f t="shared" si="2"/>
        <v>-0.68174000000000001</v>
      </c>
      <c r="I46" s="5">
        <f t="shared" si="3"/>
        <v>1686</v>
      </c>
      <c r="J46">
        <f t="shared" si="4"/>
        <v>-0.27840787142782697</v>
      </c>
      <c r="K46">
        <f t="shared" si="5"/>
        <v>1.0440548811470785</v>
      </c>
      <c r="P46">
        <f t="shared" si="6"/>
        <v>0</v>
      </c>
    </row>
    <row r="47" spans="1:16" x14ac:dyDescent="0.25">
      <c r="A47" s="1"/>
      <c r="B47" t="s">
        <v>61</v>
      </c>
      <c r="C47" t="s">
        <v>24</v>
      </c>
      <c r="D47" s="3">
        <v>1.5833333333333333</v>
      </c>
      <c r="E47" s="5">
        <f t="shared" si="0"/>
        <v>1687</v>
      </c>
      <c r="F47">
        <v>0.98451999999999995</v>
      </c>
      <c r="G47">
        <f t="shared" si="1"/>
        <v>-1.5032599999999998</v>
      </c>
      <c r="H47">
        <f t="shared" si="2"/>
        <v>-1.5032599999999998</v>
      </c>
      <c r="I47" s="5">
        <f t="shared" si="3"/>
        <v>1687</v>
      </c>
      <c r="J47">
        <f t="shared" si="4"/>
        <v>-0.45300192085870122</v>
      </c>
      <c r="K47">
        <f t="shared" si="5"/>
        <v>-3.7586221519326877</v>
      </c>
      <c r="P47">
        <f t="shared" si="6"/>
        <v>1</v>
      </c>
    </row>
    <row r="48" spans="1:16" x14ac:dyDescent="0.25">
      <c r="A48" s="1"/>
      <c r="B48" t="s">
        <v>62</v>
      </c>
      <c r="C48" t="s">
        <v>24</v>
      </c>
      <c r="D48" s="3">
        <v>1.625</v>
      </c>
      <c r="E48" s="5">
        <f t="shared" si="0"/>
        <v>1688</v>
      </c>
      <c r="F48">
        <v>0.19986000000000001</v>
      </c>
      <c r="G48">
        <f t="shared" si="1"/>
        <v>1.1437299999999999</v>
      </c>
      <c r="H48">
        <f t="shared" si="2"/>
        <v>1.1437299999999999</v>
      </c>
      <c r="I48" s="5">
        <f t="shared" si="3"/>
        <v>1688</v>
      </c>
      <c r="J48">
        <f t="shared" si="4"/>
        <v>1.3620831461513261</v>
      </c>
      <c r="K48">
        <f t="shared" si="5"/>
        <v>3.4648407546102522</v>
      </c>
      <c r="P48">
        <f t="shared" si="6"/>
        <v>1</v>
      </c>
    </row>
    <row r="49" spans="1:16" x14ac:dyDescent="0.25">
      <c r="A49" s="1"/>
      <c r="B49" t="s">
        <v>63</v>
      </c>
      <c r="C49" t="s">
        <v>24</v>
      </c>
      <c r="D49" s="3">
        <v>1.6666666666666667</v>
      </c>
      <c r="E49" s="5">
        <f t="shared" si="0"/>
        <v>1689</v>
      </c>
      <c r="F49">
        <v>0.55893000000000004</v>
      </c>
      <c r="G49">
        <f t="shared" si="1"/>
        <v>-0.55098000000000003</v>
      </c>
      <c r="H49">
        <f t="shared" si="2"/>
        <v>-0.55098000000000003</v>
      </c>
      <c r="I49" s="5">
        <f t="shared" si="3"/>
        <v>1689</v>
      </c>
      <c r="J49">
        <f t="shared" si="4"/>
        <v>0.28732603415732655</v>
      </c>
      <c r="K49">
        <f t="shared" si="5"/>
        <v>-4.100518858971224</v>
      </c>
      <c r="P49">
        <f t="shared" si="6"/>
        <v>0</v>
      </c>
    </row>
    <row r="50" spans="1:16" x14ac:dyDescent="0.25">
      <c r="A50" s="1"/>
      <c r="B50" t="s">
        <v>64</v>
      </c>
      <c r="C50" t="s">
        <v>24</v>
      </c>
      <c r="D50" s="3">
        <v>1.7083333333333333</v>
      </c>
      <c r="E50" s="5">
        <f t="shared" si="0"/>
        <v>1690</v>
      </c>
      <c r="F50">
        <v>0.36702000000000001</v>
      </c>
      <c r="G50">
        <f t="shared" si="1"/>
        <v>-0.22628999999999999</v>
      </c>
      <c r="H50">
        <f t="shared" si="2"/>
        <v>-0.22628999999999999</v>
      </c>
      <c r="I50" s="5">
        <f t="shared" si="3"/>
        <v>1690</v>
      </c>
      <c r="J50">
        <f t="shared" si="4"/>
        <v>5.8999819333178438E-2</v>
      </c>
      <c r="K50">
        <f t="shared" si="5"/>
        <v>1.8911364351245394</v>
      </c>
      <c r="P50">
        <f t="shared" si="6"/>
        <v>1</v>
      </c>
    </row>
    <row r="51" spans="1:16" x14ac:dyDescent="0.25">
      <c r="A51" s="1"/>
      <c r="B51" t="s">
        <v>65</v>
      </c>
      <c r="C51" t="s">
        <v>24</v>
      </c>
      <c r="D51" s="3">
        <v>1.75</v>
      </c>
      <c r="E51" s="5">
        <f t="shared" si="0"/>
        <v>1691</v>
      </c>
      <c r="F51">
        <v>-5.1180000000000003E-2</v>
      </c>
      <c r="G51">
        <f t="shared" si="1"/>
        <v>1.0916700000000001</v>
      </c>
      <c r="H51">
        <f t="shared" si="2"/>
        <v>1.0916700000000001</v>
      </c>
      <c r="I51" s="5">
        <f t="shared" si="3"/>
        <v>1691</v>
      </c>
      <c r="J51">
        <f t="shared" si="4"/>
        <v>1.0089282283841854</v>
      </c>
      <c r="K51">
        <f t="shared" si="5"/>
        <v>-0.56634927030233118</v>
      </c>
      <c r="P51">
        <f t="shared" si="6"/>
        <v>0</v>
      </c>
    </row>
    <row r="52" spans="1:16" x14ac:dyDescent="0.25">
      <c r="A52" s="1"/>
      <c r="B52" t="s">
        <v>66</v>
      </c>
      <c r="C52" t="s">
        <v>24</v>
      </c>
      <c r="D52" s="3">
        <v>1.7916666666666667</v>
      </c>
      <c r="E52" s="5">
        <f t="shared" si="0"/>
        <v>1692</v>
      </c>
      <c r="F52">
        <v>0.62229000000000001</v>
      </c>
      <c r="G52">
        <f t="shared" si="1"/>
        <v>-0.81603000000000003</v>
      </c>
      <c r="H52">
        <f t="shared" si="2"/>
        <v>-0.81603000000000003</v>
      </c>
      <c r="I52" s="5">
        <f t="shared" si="3"/>
        <v>1692</v>
      </c>
      <c r="J52">
        <f t="shared" si="4"/>
        <v>-0.26540774864377692</v>
      </c>
      <c r="K52">
        <f t="shared" si="5"/>
        <v>-1.7314879484175145</v>
      </c>
      <c r="P52">
        <f t="shared" si="6"/>
        <v>1</v>
      </c>
    </row>
    <row r="53" spans="1:16" x14ac:dyDescent="0.25">
      <c r="A53" s="1"/>
      <c r="B53" t="s">
        <v>67</v>
      </c>
      <c r="C53" t="s">
        <v>24</v>
      </c>
      <c r="D53" s="3">
        <v>1.8333333333333333</v>
      </c>
      <c r="E53" s="5">
        <f t="shared" si="0"/>
        <v>1693</v>
      </c>
      <c r="F53">
        <v>0.47972999999999999</v>
      </c>
      <c r="G53">
        <f t="shared" si="1"/>
        <v>0.33596000000000004</v>
      </c>
      <c r="H53">
        <f t="shared" si="2"/>
        <v>0.33596000000000004</v>
      </c>
      <c r="I53" s="5">
        <f t="shared" si="3"/>
        <v>1693</v>
      </c>
      <c r="J53">
        <f t="shared" si="4"/>
        <v>0.98041033776418807</v>
      </c>
      <c r="K53">
        <f t="shared" si="5"/>
        <v>3.1940972905828278</v>
      </c>
      <c r="P53">
        <f t="shared" si="6"/>
        <v>1</v>
      </c>
    </row>
    <row r="54" spans="1:16" x14ac:dyDescent="0.25">
      <c r="A54" s="1"/>
      <c r="B54" t="s">
        <v>68</v>
      </c>
      <c r="C54" t="s">
        <v>24</v>
      </c>
      <c r="D54" s="3">
        <v>1.875</v>
      </c>
      <c r="E54" s="5">
        <f t="shared" si="0"/>
        <v>1694</v>
      </c>
      <c r="F54">
        <v>0.67313000000000001</v>
      </c>
      <c r="G54">
        <f t="shared" si="1"/>
        <v>0.17141000000000006</v>
      </c>
      <c r="H54">
        <f t="shared" si="2"/>
        <v>0.17141000000000006</v>
      </c>
      <c r="I54" s="5">
        <f t="shared" si="3"/>
        <v>1694</v>
      </c>
      <c r="J54">
        <f t="shared" si="4"/>
        <v>1.0159011651152539</v>
      </c>
      <c r="K54">
        <f t="shared" si="5"/>
        <v>-3.705405460747536</v>
      </c>
      <c r="P54">
        <f t="shared" si="6"/>
        <v>0</v>
      </c>
    </row>
    <row r="55" spans="1:16" x14ac:dyDescent="0.25">
      <c r="A55" s="1"/>
      <c r="B55" t="s">
        <v>69</v>
      </c>
      <c r="C55" t="s">
        <v>24</v>
      </c>
      <c r="D55" s="3">
        <v>1.9166666666666667</v>
      </c>
      <c r="E55" s="5">
        <f t="shared" si="0"/>
        <v>1695</v>
      </c>
      <c r="F55">
        <v>1.0379400000000001</v>
      </c>
      <c r="G55">
        <f t="shared" si="1"/>
        <v>-2.4887899999999998</v>
      </c>
      <c r="H55">
        <f t="shared" si="2"/>
        <v>-2.4887899999999998</v>
      </c>
      <c r="I55" s="5">
        <f t="shared" si="3"/>
        <v>1695</v>
      </c>
      <c r="J55">
        <f t="shared" si="4"/>
        <v>-1.4730098874578297</v>
      </c>
      <c r="K55">
        <f t="shared" si="5"/>
        <v>4.2674455880294371</v>
      </c>
      <c r="P55">
        <f t="shared" si="6"/>
        <v>0</v>
      </c>
    </row>
    <row r="56" spans="1:16" x14ac:dyDescent="0.25">
      <c r="A56" s="1"/>
      <c r="B56" t="s">
        <v>70</v>
      </c>
      <c r="C56" t="s">
        <v>24</v>
      </c>
      <c r="D56" s="3">
        <v>1.9583333333333333</v>
      </c>
      <c r="E56" s="5">
        <f t="shared" si="0"/>
        <v>1696</v>
      </c>
      <c r="F56">
        <v>-1.0860399999999999</v>
      </c>
      <c r="G56">
        <f t="shared" si="1"/>
        <v>2.6817099999999998</v>
      </c>
      <c r="H56">
        <f t="shared" si="2"/>
        <v>2.6817099999999998</v>
      </c>
      <c r="I56" s="5">
        <f t="shared" si="3"/>
        <v>1696</v>
      </c>
      <c r="J56">
        <f t="shared" si="4"/>
        <v>0.98631327499346588</v>
      </c>
      <c r="K56">
        <f t="shared" si="5"/>
        <v>-2.820404790427693</v>
      </c>
      <c r="P56">
        <f t="shared" si="6"/>
        <v>0</v>
      </c>
    </row>
    <row r="57" spans="1:16" x14ac:dyDescent="0.25">
      <c r="A57" s="1"/>
      <c r="B57" t="s">
        <v>71</v>
      </c>
      <c r="C57" t="s">
        <v>24</v>
      </c>
      <c r="D57" s="3">
        <v>2</v>
      </c>
      <c r="E57" s="5">
        <f t="shared" si="0"/>
        <v>1697</v>
      </c>
      <c r="F57">
        <v>-0.52830999999999995</v>
      </c>
      <c r="G57">
        <f t="shared" si="1"/>
        <v>-1.1302399999999999</v>
      </c>
      <c r="H57">
        <f t="shared" si="2"/>
        <v>-1.1302399999999999</v>
      </c>
      <c r="I57" s="5">
        <f t="shared" si="3"/>
        <v>1697</v>
      </c>
      <c r="J57">
        <f t="shared" si="4"/>
        <v>-1.5446331286949477</v>
      </c>
      <c r="K57">
        <f t="shared" si="5"/>
        <v>2.6435791029163589</v>
      </c>
      <c r="P57">
        <f t="shared" si="6"/>
        <v>0</v>
      </c>
    </row>
    <row r="58" spans="1:16" x14ac:dyDescent="0.25">
      <c r="A58" s="1"/>
      <c r="B58" t="s">
        <v>72</v>
      </c>
      <c r="C58" t="s">
        <v>24</v>
      </c>
      <c r="D58" s="3">
        <v>2.0416666666666665</v>
      </c>
      <c r="E58" s="5">
        <f t="shared" si="0"/>
        <v>1698</v>
      </c>
      <c r="F58">
        <v>-1.1008199999999999</v>
      </c>
      <c r="G58">
        <f t="shared" si="1"/>
        <v>1.4529199999999998</v>
      </c>
      <c r="H58">
        <f t="shared" si="2"/>
        <v>1.4529199999999998</v>
      </c>
      <c r="I58" s="5">
        <f t="shared" si="3"/>
        <v>1698</v>
      </c>
      <c r="J58">
        <f t="shared" si="4"/>
        <v>-0.34788523019879086</v>
      </c>
      <c r="K58">
        <f t="shared" si="5"/>
        <v>-0.15710316141150193</v>
      </c>
      <c r="P58">
        <f t="shared" si="6"/>
        <v>1</v>
      </c>
    </row>
    <row r="59" spans="1:16" x14ac:dyDescent="0.25">
      <c r="A59" s="1"/>
      <c r="B59" t="s">
        <v>73</v>
      </c>
      <c r="C59" t="s">
        <v>24</v>
      </c>
      <c r="D59" s="3">
        <v>2.0833333333333335</v>
      </c>
      <c r="E59" s="5">
        <f t="shared" si="0"/>
        <v>1699</v>
      </c>
      <c r="F59">
        <v>-0.22040999999999999</v>
      </c>
      <c r="G59">
        <f t="shared" si="1"/>
        <v>-0.67158999999999991</v>
      </c>
      <c r="H59">
        <f t="shared" si="2"/>
        <v>-0.67158999999999991</v>
      </c>
      <c r="I59" s="5">
        <f t="shared" si="3"/>
        <v>1699</v>
      </c>
      <c r="J59">
        <f t="shared" si="4"/>
        <v>-0.85622439308560039</v>
      </c>
      <c r="K59">
        <f t="shared" si="5"/>
        <v>-0.29698905504433393</v>
      </c>
      <c r="P59">
        <f t="shared" si="6"/>
        <v>1</v>
      </c>
    </row>
    <row r="60" spans="1:16" x14ac:dyDescent="0.25">
      <c r="A60" s="1"/>
      <c r="B60" t="s">
        <v>74</v>
      </c>
      <c r="C60" t="s">
        <v>24</v>
      </c>
      <c r="D60" s="3">
        <v>2.125</v>
      </c>
      <c r="E60" s="5">
        <f t="shared" si="0"/>
        <v>1700</v>
      </c>
      <c r="F60">
        <v>-1.159E-2</v>
      </c>
      <c r="G60">
        <f t="shared" si="1"/>
        <v>0.22741</v>
      </c>
      <c r="H60">
        <f t="shared" si="2"/>
        <v>0.22741</v>
      </c>
      <c r="I60" s="5">
        <f t="shared" si="3"/>
        <v>1700</v>
      </c>
      <c r="J60">
        <f t="shared" si="4"/>
        <v>0.21041099991481241</v>
      </c>
      <c r="K60">
        <f t="shared" si="5"/>
        <v>2.6980618206680651</v>
      </c>
      <c r="P60">
        <f t="shared" si="6"/>
        <v>1</v>
      </c>
    </row>
    <row r="61" spans="1:16" x14ac:dyDescent="0.25">
      <c r="A61" s="1"/>
      <c r="B61" t="s">
        <v>75</v>
      </c>
      <c r="C61" t="s">
        <v>24</v>
      </c>
      <c r="D61" s="3">
        <v>2.1666666666666665</v>
      </c>
      <c r="E61" s="5">
        <f t="shared" si="0"/>
        <v>1701</v>
      </c>
      <c r="F61">
        <v>0.42464000000000002</v>
      </c>
      <c r="G61">
        <f t="shared" si="1"/>
        <v>-0.60131000000000001</v>
      </c>
      <c r="H61">
        <f t="shared" si="2"/>
        <v>-0.60131000000000001</v>
      </c>
      <c r="I61" s="5">
        <f t="shared" si="3"/>
        <v>1701</v>
      </c>
      <c r="J61">
        <f t="shared" si="4"/>
        <v>-0.13299593351559416</v>
      </c>
      <c r="K61">
        <f t="shared" si="5"/>
        <v>-2.9905775202142157</v>
      </c>
      <c r="P61">
        <f t="shared" si="6"/>
        <v>1</v>
      </c>
    </row>
    <row r="62" spans="1:16" x14ac:dyDescent="0.25">
      <c r="A62" s="1"/>
      <c r="B62" t="s">
        <v>76</v>
      </c>
      <c r="C62" t="s">
        <v>24</v>
      </c>
      <c r="D62" s="3">
        <v>2.2083333333333335</v>
      </c>
      <c r="E62" s="5">
        <f t="shared" si="0"/>
        <v>1702</v>
      </c>
      <c r="F62">
        <v>0.25956000000000001</v>
      </c>
      <c r="G62">
        <f t="shared" si="1"/>
        <v>-0.81159999999999999</v>
      </c>
      <c r="H62">
        <f t="shared" si="2"/>
        <v>-0.81159999999999999</v>
      </c>
      <c r="I62" s="5">
        <f t="shared" si="3"/>
        <v>1702</v>
      </c>
      <c r="J62">
        <f t="shared" si="4"/>
        <v>-0.51793796894641597</v>
      </c>
      <c r="K62">
        <f t="shared" si="5"/>
        <v>4.1866944332565925</v>
      </c>
      <c r="P62">
        <f t="shared" si="6"/>
        <v>0</v>
      </c>
    </row>
    <row r="63" spans="1:16" x14ac:dyDescent="0.25">
      <c r="A63" s="1"/>
      <c r="B63" t="s">
        <v>77</v>
      </c>
      <c r="C63" t="s">
        <v>24</v>
      </c>
      <c r="D63" s="3">
        <v>2.25</v>
      </c>
      <c r="E63" s="5">
        <f t="shared" si="0"/>
        <v>1703</v>
      </c>
      <c r="F63">
        <v>-0.71711999999999998</v>
      </c>
      <c r="G63">
        <f t="shared" si="1"/>
        <v>0.99912000000000001</v>
      </c>
      <c r="H63">
        <f t="shared" si="2"/>
        <v>0.99912000000000001</v>
      </c>
      <c r="I63" s="5">
        <f t="shared" si="3"/>
        <v>1703</v>
      </c>
      <c r="J63">
        <f t="shared" si="4"/>
        <v>-4.1850702163640605E-2</v>
      </c>
      <c r="K63">
        <f t="shared" si="5"/>
        <v>-3.786348005942529</v>
      </c>
      <c r="P63">
        <f t="shared" si="6"/>
        <v>1</v>
      </c>
    </row>
    <row r="64" spans="1:16" x14ac:dyDescent="0.25">
      <c r="A64" s="1"/>
      <c r="B64" t="s">
        <v>78</v>
      </c>
      <c r="C64" t="s">
        <v>24</v>
      </c>
      <c r="D64" s="3">
        <v>2.2916666666666665</v>
      </c>
      <c r="E64" s="5">
        <f t="shared" si="0"/>
        <v>1704</v>
      </c>
      <c r="F64">
        <v>-0.69467999999999996</v>
      </c>
      <c r="G64">
        <f t="shared" si="1"/>
        <v>0.17132999999999998</v>
      </c>
      <c r="H64">
        <f t="shared" si="2"/>
        <v>0.17132999999999998</v>
      </c>
      <c r="I64" s="5">
        <f t="shared" si="3"/>
        <v>1704</v>
      </c>
      <c r="J64">
        <f t="shared" si="4"/>
        <v>-0.39979074632988343</v>
      </c>
      <c r="K64">
        <f t="shared" si="5"/>
        <v>2.9198769746050961</v>
      </c>
      <c r="P64">
        <f t="shared" si="6"/>
        <v>0</v>
      </c>
    </row>
    <row r="65" spans="1:16" x14ac:dyDescent="0.25">
      <c r="A65" s="1"/>
      <c r="B65" t="s">
        <v>79</v>
      </c>
      <c r="C65" t="s">
        <v>24</v>
      </c>
      <c r="D65" s="3">
        <v>2.3333333333333335</v>
      </c>
      <c r="E65" s="5">
        <f t="shared" si="0"/>
        <v>1705</v>
      </c>
      <c r="F65">
        <v>-0.50090999999999997</v>
      </c>
      <c r="G65">
        <f t="shared" si="1"/>
        <v>0.27430999999999994</v>
      </c>
      <c r="H65">
        <f t="shared" si="2"/>
        <v>0.27430999999999994</v>
      </c>
      <c r="I65" s="5">
        <f t="shared" si="3"/>
        <v>1705</v>
      </c>
      <c r="J65">
        <f t="shared" si="4"/>
        <v>-0.54397034887335116</v>
      </c>
      <c r="K65">
        <f t="shared" si="5"/>
        <v>-1.6308180243788861</v>
      </c>
      <c r="P65">
        <f t="shared" si="6"/>
        <v>1</v>
      </c>
    </row>
    <row r="66" spans="1:16" x14ac:dyDescent="0.25">
      <c r="A66" s="1"/>
      <c r="B66" t="s">
        <v>80</v>
      </c>
      <c r="C66" t="s">
        <v>24</v>
      </c>
      <c r="D66" s="3">
        <v>2.375</v>
      </c>
      <c r="E66" s="5">
        <f t="shared" si="0"/>
        <v>1706</v>
      </c>
      <c r="F66">
        <v>-3.2829999999999998E-2</v>
      </c>
      <c r="G66">
        <f t="shared" si="1"/>
        <v>-0.98914999999999986</v>
      </c>
      <c r="H66">
        <f t="shared" si="2"/>
        <v>-0.98914999999999986</v>
      </c>
      <c r="I66" s="5">
        <f t="shared" si="3"/>
        <v>1706</v>
      </c>
      <c r="J66">
        <f t="shared" si="4"/>
        <v>-1.0159127663039644</v>
      </c>
      <c r="K66">
        <f t="shared" si="5"/>
        <v>-0.94313952934507195</v>
      </c>
      <c r="P66">
        <f t="shared" si="6"/>
        <v>1</v>
      </c>
    </row>
    <row r="67" spans="1:16" x14ac:dyDescent="0.25">
      <c r="A67" s="1"/>
      <c r="B67" t="s">
        <v>81</v>
      </c>
      <c r="C67" t="s">
        <v>24</v>
      </c>
      <c r="D67" s="3">
        <v>2.4166666666666665</v>
      </c>
      <c r="E67" s="5">
        <f t="shared" si="0"/>
        <v>1707</v>
      </c>
      <c r="F67">
        <v>-0.55389999999999995</v>
      </c>
      <c r="G67">
        <f t="shared" si="1"/>
        <v>1.0324299999999997</v>
      </c>
      <c r="H67">
        <f t="shared" si="2"/>
        <v>1.0324299999999997</v>
      </c>
      <c r="I67" s="5">
        <f t="shared" si="3"/>
        <v>1707</v>
      </c>
      <c r="J67">
        <f t="shared" si="4"/>
        <v>0.24180008092415745</v>
      </c>
      <c r="K67">
        <f t="shared" si="5"/>
        <v>2.0366845975603649</v>
      </c>
      <c r="P67">
        <f t="shared" si="6"/>
        <v>1</v>
      </c>
    </row>
    <row r="68" spans="1:16" x14ac:dyDescent="0.25">
      <c r="A68" s="1"/>
      <c r="B68" t="s">
        <v>82</v>
      </c>
      <c r="C68" t="s">
        <v>24</v>
      </c>
      <c r="D68" s="3">
        <v>2.4583333333333335</v>
      </c>
      <c r="E68" s="5">
        <f t="shared" si="0"/>
        <v>1708</v>
      </c>
      <c r="F68">
        <v>-4.2540000000000001E-2</v>
      </c>
      <c r="G68">
        <f t="shared" si="1"/>
        <v>-1.0063</v>
      </c>
      <c r="H68">
        <f t="shared" si="2"/>
        <v>-1.0063</v>
      </c>
      <c r="I68" s="5">
        <f t="shared" si="3"/>
        <v>1708</v>
      </c>
      <c r="J68">
        <f t="shared" si="4"/>
        <v>-1.0567001018820277</v>
      </c>
      <c r="K68">
        <f t="shared" si="5"/>
        <v>-4.2686657498756491</v>
      </c>
      <c r="P68">
        <f t="shared" si="6"/>
        <v>1</v>
      </c>
    </row>
    <row r="69" spans="1:16" x14ac:dyDescent="0.25">
      <c r="A69" s="1"/>
      <c r="B69" t="s">
        <v>83</v>
      </c>
      <c r="C69" t="s">
        <v>24</v>
      </c>
      <c r="D69" s="3">
        <v>2.5</v>
      </c>
      <c r="E69" s="5">
        <f t="shared" si="0"/>
        <v>1709</v>
      </c>
      <c r="F69">
        <v>-0.53747999999999996</v>
      </c>
      <c r="G69">
        <f t="shared" si="1"/>
        <v>2.1544999999999996</v>
      </c>
      <c r="H69">
        <f t="shared" si="2"/>
        <v>2.1544999999999996</v>
      </c>
      <c r="I69" s="5">
        <f t="shared" si="3"/>
        <v>1709</v>
      </c>
      <c r="J69">
        <f t="shared" si="4"/>
        <v>1.6269061500388973</v>
      </c>
      <c r="K69">
        <f t="shared" si="5"/>
        <v>3.4082571155456947</v>
      </c>
      <c r="P69">
        <f t="shared" si="6"/>
        <v>1</v>
      </c>
    </row>
    <row r="70" spans="1:16" x14ac:dyDescent="0.25">
      <c r="A70" s="1"/>
      <c r="B70" t="s">
        <v>84</v>
      </c>
      <c r="C70" t="s">
        <v>24</v>
      </c>
      <c r="D70" s="3">
        <v>2.5416666666666665</v>
      </c>
      <c r="E70" s="5">
        <f t="shared" si="0"/>
        <v>1710</v>
      </c>
      <c r="F70">
        <v>1.12208</v>
      </c>
      <c r="G70">
        <f t="shared" si="1"/>
        <v>-2.5803599999999998</v>
      </c>
      <c r="H70">
        <f t="shared" si="2"/>
        <v>-2.5803599999999998</v>
      </c>
      <c r="I70" s="5">
        <f t="shared" si="3"/>
        <v>1710</v>
      </c>
      <c r="J70">
        <f t="shared" si="4"/>
        <v>-0.81662489660717041</v>
      </c>
      <c r="K70">
        <f t="shared" si="5"/>
        <v>-3.5517514837333142</v>
      </c>
      <c r="P70">
        <f t="shared" si="6"/>
        <v>1</v>
      </c>
    </row>
    <row r="71" spans="1:16" x14ac:dyDescent="0.25">
      <c r="A71" s="1"/>
      <c r="B71" t="s">
        <v>85</v>
      </c>
      <c r="C71" t="s">
        <v>24</v>
      </c>
      <c r="D71" s="3">
        <v>2.5833333333333335</v>
      </c>
      <c r="E71" s="5">
        <f t="shared" si="0"/>
        <v>1711</v>
      </c>
      <c r="F71">
        <v>0.20127999999999999</v>
      </c>
      <c r="G71">
        <f t="shared" si="1"/>
        <v>1.24187</v>
      </c>
      <c r="H71">
        <f t="shared" si="2"/>
        <v>1.24187</v>
      </c>
      <c r="I71" s="5">
        <f t="shared" si="3"/>
        <v>1711</v>
      </c>
      <c r="J71">
        <f t="shared" si="4"/>
        <v>1.3952556534232803</v>
      </c>
      <c r="K71">
        <f t="shared" si="5"/>
        <v>0.84021467960669738</v>
      </c>
      <c r="P71">
        <f t="shared" si="6"/>
        <v>1</v>
      </c>
    </row>
    <row r="72" spans="1:16" x14ac:dyDescent="0.25">
      <c r="A72" s="1"/>
      <c r="B72" t="s">
        <v>86</v>
      </c>
      <c r="C72" t="s">
        <v>24</v>
      </c>
      <c r="D72" s="3">
        <v>2.625</v>
      </c>
      <c r="E72" s="5">
        <f t="shared" si="0"/>
        <v>1712</v>
      </c>
      <c r="F72">
        <v>0.52234999999999998</v>
      </c>
      <c r="G72">
        <f t="shared" si="1"/>
        <v>-0.32424999999999993</v>
      </c>
      <c r="H72">
        <f t="shared" si="2"/>
        <v>-0.32424999999999993</v>
      </c>
      <c r="I72" s="5">
        <f t="shared" si="3"/>
        <v>1712</v>
      </c>
      <c r="J72">
        <f t="shared" si="4"/>
        <v>0.49672633809469452</v>
      </c>
      <c r="K72">
        <f t="shared" si="5"/>
        <v>0.39003165515490018</v>
      </c>
      <c r="P72">
        <f t="shared" si="6"/>
        <v>1</v>
      </c>
    </row>
    <row r="73" spans="1:16" x14ac:dyDescent="0.25">
      <c r="A73" s="1"/>
      <c r="B73" t="s">
        <v>87</v>
      </c>
      <c r="C73" t="s">
        <v>24</v>
      </c>
      <c r="D73" s="3">
        <v>2.6666666666666665</v>
      </c>
      <c r="E73" s="5">
        <f t="shared" si="0"/>
        <v>1713</v>
      </c>
      <c r="F73">
        <v>0.51917000000000002</v>
      </c>
      <c r="G73">
        <f t="shared" si="1"/>
        <v>-0.61990000000000012</v>
      </c>
      <c r="H73">
        <f t="shared" si="2"/>
        <v>-0.61990000000000012</v>
      </c>
      <c r="I73" s="5">
        <f t="shared" si="3"/>
        <v>1713</v>
      </c>
      <c r="J73">
        <f t="shared" si="4"/>
        <v>-0.11614020070858917</v>
      </c>
      <c r="K73">
        <f t="shared" si="5"/>
        <v>-2.7349741892428492</v>
      </c>
      <c r="P73">
        <f t="shared" si="6"/>
        <v>1</v>
      </c>
    </row>
    <row r="74" spans="1:16" x14ac:dyDescent="0.25">
      <c r="A74" s="1"/>
      <c r="B74" t="s">
        <v>88</v>
      </c>
      <c r="C74" t="s">
        <v>24</v>
      </c>
      <c r="D74" s="3">
        <v>2.7083333333333335</v>
      </c>
      <c r="E74" s="5">
        <f t="shared" si="0"/>
        <v>1714</v>
      </c>
      <c r="F74">
        <v>-0.10391</v>
      </c>
      <c r="G74">
        <f t="shared" si="1"/>
        <v>-5.4999999999999938E-2</v>
      </c>
      <c r="H74">
        <f t="shared" si="2"/>
        <v>-5.4999999999999938E-2</v>
      </c>
      <c r="I74" s="5">
        <f t="shared" si="3"/>
        <v>1714</v>
      </c>
      <c r="J74">
        <f t="shared" si="4"/>
        <v>-0.18338800255696885</v>
      </c>
      <c r="K74">
        <f t="shared" si="5"/>
        <v>3.592312665943834</v>
      </c>
      <c r="P74">
        <f t="shared" si="6"/>
        <v>0</v>
      </c>
    </row>
    <row r="75" spans="1:16" x14ac:dyDescent="0.25">
      <c r="A75" s="1"/>
      <c r="B75" t="s">
        <v>89</v>
      </c>
      <c r="C75" t="s">
        <v>24</v>
      </c>
      <c r="D75" s="3">
        <v>2.75</v>
      </c>
      <c r="E75" s="5">
        <f t="shared" si="0"/>
        <v>1715</v>
      </c>
      <c r="F75">
        <v>-0.78198999999999996</v>
      </c>
      <c r="G75">
        <f t="shared" si="1"/>
        <v>0.26412999999999998</v>
      </c>
      <c r="H75">
        <f t="shared" si="2"/>
        <v>0.26412999999999998</v>
      </c>
      <c r="I75" s="5">
        <f t="shared" si="3"/>
        <v>1715</v>
      </c>
      <c r="J75">
        <f t="shared" si="4"/>
        <v>-0.79575236567842011</v>
      </c>
      <c r="K75">
        <f t="shared" si="5"/>
        <v>-3.9222277223729991</v>
      </c>
      <c r="P75">
        <f t="shared" si="6"/>
        <v>1</v>
      </c>
    </row>
    <row r="76" spans="1:16" x14ac:dyDescent="0.25">
      <c r="A76" s="1"/>
      <c r="B76" t="s">
        <v>90</v>
      </c>
      <c r="C76" t="s">
        <v>24</v>
      </c>
      <c r="D76" s="3">
        <v>2.7916666666666665</v>
      </c>
      <c r="E76" s="5">
        <f t="shared" ref="E76:E139" si="7">+E75+1</f>
        <v>1716</v>
      </c>
      <c r="F76">
        <v>-1.19594</v>
      </c>
      <c r="G76">
        <f t="shared" ref="G76:G139" si="8">+(F77-F76)-(F76-F75)</f>
        <v>1.0762200000000002</v>
      </c>
      <c r="H76">
        <f t="shared" ref="H76:H139" si="9">+G76</f>
        <v>1.0762200000000002</v>
      </c>
      <c r="I76" s="5">
        <f t="shared" si="3"/>
        <v>1716</v>
      </c>
      <c r="J76">
        <f t="shared" si="4"/>
        <v>3.7101718732595063E-3</v>
      </c>
      <c r="K76">
        <f t="shared" si="5"/>
        <v>3.8565492471973051</v>
      </c>
      <c r="P76">
        <f t="shared" si="6"/>
        <v>1</v>
      </c>
    </row>
    <row r="77" spans="1:16" x14ac:dyDescent="0.25">
      <c r="A77" s="1"/>
      <c r="B77" t="s">
        <v>91</v>
      </c>
      <c r="C77" t="s">
        <v>24</v>
      </c>
      <c r="D77" s="3">
        <v>2.8333333333333335</v>
      </c>
      <c r="E77" s="5">
        <f t="shared" si="7"/>
        <v>1717</v>
      </c>
      <c r="F77">
        <v>-0.53366999999999998</v>
      </c>
      <c r="G77">
        <f t="shared" si="8"/>
        <v>0.85764999999999991</v>
      </c>
      <c r="H77">
        <f t="shared" si="9"/>
        <v>0.85764999999999991</v>
      </c>
      <c r="I77" s="5">
        <f t="shared" ref="I77:I140" si="10">+E77</f>
        <v>1717</v>
      </c>
      <c r="J77">
        <f t="shared" ref="J77:J140" si="11">+$J$6*F77+F77*$J$7*COS(2*PI()*$I77/$K$6+$K$5*COS($J$5*$I77+$K$8)+$J$9)+H77+F77*$J$3*COS(2*PI()*$I77/$J$8+$K$3)</f>
        <v>-2.4811197787608921E-4</v>
      </c>
      <c r="K77">
        <f t="shared" ref="K77:K140" si="12">+$K$8*COS(2*PI()*$I77/$K$6+$K$5*COS($J$5*$I77+$K$8)+$K$7) +$K$4*COS(2*PI()*$I77/$J$8+$J$4)</f>
        <v>-2.2828548064685288</v>
      </c>
      <c r="P77">
        <f t="shared" ref="P77:P140" si="13">+IF(J77*K77&gt;0,1, 0)</f>
        <v>1</v>
      </c>
    </row>
    <row r="78" spans="1:16" x14ac:dyDescent="0.25">
      <c r="A78" s="1"/>
      <c r="B78" t="s">
        <v>92</v>
      </c>
      <c r="C78" t="s">
        <v>24</v>
      </c>
      <c r="D78" s="3">
        <v>2.875</v>
      </c>
      <c r="E78" s="5">
        <f t="shared" si="7"/>
        <v>1718</v>
      </c>
      <c r="F78">
        <v>0.98624999999999996</v>
      </c>
      <c r="G78">
        <f t="shared" si="8"/>
        <v>-1.81474</v>
      </c>
      <c r="H78">
        <f t="shared" si="9"/>
        <v>-1.81474</v>
      </c>
      <c r="I78" s="5">
        <f t="shared" si="10"/>
        <v>1718</v>
      </c>
      <c r="J78">
        <f t="shared" si="11"/>
        <v>-1.0522463371913842</v>
      </c>
      <c r="K78">
        <f t="shared" si="12"/>
        <v>1.7702904240378956</v>
      </c>
      <c r="P78">
        <f t="shared" si="13"/>
        <v>0</v>
      </c>
    </row>
    <row r="79" spans="1:16" x14ac:dyDescent="0.25">
      <c r="A79" s="1"/>
      <c r="B79" t="s">
        <v>93</v>
      </c>
      <c r="C79" t="s">
        <v>24</v>
      </c>
      <c r="D79" s="3">
        <v>2.9166666666666665</v>
      </c>
      <c r="E79" s="5">
        <f t="shared" si="7"/>
        <v>1719</v>
      </c>
      <c r="F79">
        <v>0.69142999999999999</v>
      </c>
      <c r="G79">
        <f t="shared" si="8"/>
        <v>0.23932999999999993</v>
      </c>
      <c r="H79">
        <f t="shared" si="9"/>
        <v>0.23932999999999993</v>
      </c>
      <c r="I79" s="5">
        <f t="shared" si="10"/>
        <v>1719</v>
      </c>
      <c r="J79">
        <f t="shared" si="11"/>
        <v>1.3516035336854333</v>
      </c>
      <c r="K79">
        <f t="shared" si="12"/>
        <v>0.7274841547739892</v>
      </c>
      <c r="P79">
        <f t="shared" si="13"/>
        <v>1</v>
      </c>
    </row>
    <row r="80" spans="1:16" x14ac:dyDescent="0.25">
      <c r="A80" s="1"/>
      <c r="B80" t="s">
        <v>94</v>
      </c>
      <c r="C80" t="s">
        <v>24</v>
      </c>
      <c r="D80" s="3">
        <v>2.9583333333333335</v>
      </c>
      <c r="E80" s="5">
        <f t="shared" si="7"/>
        <v>1720</v>
      </c>
      <c r="F80">
        <v>0.63593999999999995</v>
      </c>
      <c r="G80">
        <f t="shared" si="8"/>
        <v>0.26335000000000008</v>
      </c>
      <c r="H80">
        <f t="shared" si="9"/>
        <v>0.26335000000000008</v>
      </c>
      <c r="I80" s="5">
        <f t="shared" si="10"/>
        <v>1720</v>
      </c>
      <c r="J80">
        <f t="shared" si="11"/>
        <v>0.83414930119948028</v>
      </c>
      <c r="K80">
        <f t="shared" si="12"/>
        <v>-1.1387489164705618</v>
      </c>
      <c r="P80">
        <f t="shared" si="13"/>
        <v>0</v>
      </c>
    </row>
    <row r="81" spans="1:16" x14ac:dyDescent="0.25">
      <c r="A81" s="1"/>
      <c r="B81" t="s">
        <v>95</v>
      </c>
      <c r="C81" t="s">
        <v>24</v>
      </c>
      <c r="D81" s="3">
        <v>3</v>
      </c>
      <c r="E81" s="5">
        <f t="shared" si="7"/>
        <v>1721</v>
      </c>
      <c r="F81">
        <v>0.84379999999999999</v>
      </c>
      <c r="G81">
        <f t="shared" si="8"/>
        <v>-0.45996000000000004</v>
      </c>
      <c r="H81">
        <f t="shared" si="9"/>
        <v>-0.45996000000000004</v>
      </c>
      <c r="I81" s="5">
        <f t="shared" si="10"/>
        <v>1721</v>
      </c>
      <c r="J81">
        <f t="shared" si="11"/>
        <v>0.70552737692895773</v>
      </c>
      <c r="K81">
        <f t="shared" si="12"/>
        <v>3.4499437919397749</v>
      </c>
      <c r="P81">
        <f t="shared" si="13"/>
        <v>1</v>
      </c>
    </row>
    <row r="82" spans="1:16" x14ac:dyDescent="0.25">
      <c r="A82" s="1"/>
      <c r="B82" t="s">
        <v>96</v>
      </c>
      <c r="C82" t="s">
        <v>24</v>
      </c>
      <c r="D82" s="3">
        <v>3.0416666666666665</v>
      </c>
      <c r="E82" s="5">
        <f t="shared" si="7"/>
        <v>1722</v>
      </c>
      <c r="F82">
        <v>0.5917</v>
      </c>
      <c r="G82">
        <f t="shared" si="8"/>
        <v>1.0697000000000001</v>
      </c>
      <c r="H82">
        <f t="shared" si="9"/>
        <v>1.0697000000000001</v>
      </c>
      <c r="I82" s="5">
        <f t="shared" si="10"/>
        <v>1722</v>
      </c>
      <c r="J82">
        <f t="shared" si="11"/>
        <v>1.782206581360066</v>
      </c>
      <c r="K82">
        <f t="shared" si="12"/>
        <v>-3.3275315584691789</v>
      </c>
      <c r="P82">
        <f t="shared" si="13"/>
        <v>0</v>
      </c>
    </row>
    <row r="83" spans="1:16" x14ac:dyDescent="0.25">
      <c r="A83" s="1"/>
      <c r="B83" t="s">
        <v>97</v>
      </c>
      <c r="C83" t="s">
        <v>24</v>
      </c>
      <c r="D83" s="3">
        <v>3.0833333333333335</v>
      </c>
      <c r="E83" s="5">
        <f t="shared" si="7"/>
        <v>1723</v>
      </c>
      <c r="F83">
        <v>1.4093</v>
      </c>
      <c r="G83">
        <f t="shared" si="8"/>
        <v>-2.00299</v>
      </c>
      <c r="H83">
        <f t="shared" si="9"/>
        <v>-2.00299</v>
      </c>
      <c r="I83" s="5">
        <f t="shared" si="10"/>
        <v>1723</v>
      </c>
      <c r="J83">
        <f t="shared" si="11"/>
        <v>-0.54742071437645701</v>
      </c>
      <c r="K83">
        <f t="shared" si="12"/>
        <v>4.3389102190171815</v>
      </c>
      <c r="P83">
        <f t="shared" si="13"/>
        <v>0</v>
      </c>
    </row>
    <row r="84" spans="1:16" x14ac:dyDescent="0.25">
      <c r="A84" s="1"/>
      <c r="B84" t="s">
        <v>98</v>
      </c>
      <c r="C84" t="s">
        <v>24</v>
      </c>
      <c r="D84" s="3">
        <v>3.125</v>
      </c>
      <c r="E84" s="5">
        <f t="shared" si="7"/>
        <v>1724</v>
      </c>
      <c r="F84">
        <v>0.22391</v>
      </c>
      <c r="G84">
        <f t="shared" si="8"/>
        <v>-0.26653000000000016</v>
      </c>
      <c r="H84">
        <f t="shared" si="9"/>
        <v>-0.26653000000000016</v>
      </c>
      <c r="I84" s="5">
        <f t="shared" si="10"/>
        <v>1724</v>
      </c>
      <c r="J84">
        <f t="shared" si="11"/>
        <v>7.6673214942109658E-2</v>
      </c>
      <c r="K84">
        <f t="shared" si="12"/>
        <v>-3.2852739646368359</v>
      </c>
      <c r="P84">
        <f t="shared" si="13"/>
        <v>0</v>
      </c>
    </row>
    <row r="85" spans="1:16" x14ac:dyDescent="0.25">
      <c r="A85" s="1"/>
      <c r="B85" t="s">
        <v>99</v>
      </c>
      <c r="C85" t="s">
        <v>24</v>
      </c>
      <c r="D85" s="3">
        <v>3.1666666666666665</v>
      </c>
      <c r="E85" s="5">
        <f t="shared" si="7"/>
        <v>1725</v>
      </c>
      <c r="F85">
        <v>-1.22801</v>
      </c>
      <c r="G85">
        <f t="shared" si="8"/>
        <v>4.0070200000000007</v>
      </c>
      <c r="H85">
        <f t="shared" si="9"/>
        <v>4.0070200000000007</v>
      </c>
      <c r="I85" s="5">
        <f t="shared" si="10"/>
        <v>1725</v>
      </c>
      <c r="J85">
        <f t="shared" si="11"/>
        <v>3.0452806201847427</v>
      </c>
      <c r="K85">
        <f t="shared" si="12"/>
        <v>2.2723844378102629</v>
      </c>
      <c r="P85">
        <f t="shared" si="13"/>
        <v>1</v>
      </c>
    </row>
    <row r="86" spans="1:16" x14ac:dyDescent="0.25">
      <c r="A86" s="1"/>
      <c r="B86" t="s">
        <v>100</v>
      </c>
      <c r="C86" t="s">
        <v>24</v>
      </c>
      <c r="D86" s="3">
        <v>3.2083333333333335</v>
      </c>
      <c r="E86" s="5">
        <f t="shared" si="7"/>
        <v>1726</v>
      </c>
      <c r="F86">
        <v>1.3270900000000001</v>
      </c>
      <c r="G86">
        <f t="shared" si="8"/>
        <v>-2.7964900000000004</v>
      </c>
      <c r="H86">
        <f t="shared" si="9"/>
        <v>-2.7964900000000004</v>
      </c>
      <c r="I86" s="5">
        <f t="shared" si="10"/>
        <v>1726</v>
      </c>
      <c r="J86">
        <f t="shared" si="11"/>
        <v>-0.64350395816725914</v>
      </c>
      <c r="K86">
        <f t="shared" si="12"/>
        <v>-0.48593449495847635</v>
      </c>
      <c r="P86">
        <f t="shared" si="13"/>
        <v>1</v>
      </c>
    </row>
    <row r="87" spans="1:16" x14ac:dyDescent="0.25">
      <c r="A87" s="1"/>
      <c r="B87" t="s">
        <v>101</v>
      </c>
      <c r="C87" t="s">
        <v>24</v>
      </c>
      <c r="D87" s="3">
        <v>3.25</v>
      </c>
      <c r="E87" s="5">
        <f t="shared" si="7"/>
        <v>1727</v>
      </c>
      <c r="F87">
        <v>1.0857000000000001</v>
      </c>
      <c r="G87">
        <f t="shared" si="8"/>
        <v>-1.32742</v>
      </c>
      <c r="H87">
        <f t="shared" si="9"/>
        <v>-1.32742</v>
      </c>
      <c r="I87" s="5">
        <f t="shared" si="10"/>
        <v>1727</v>
      </c>
      <c r="J87">
        <f t="shared" si="11"/>
        <v>-0.36731147538103498</v>
      </c>
      <c r="K87">
        <f t="shared" si="12"/>
        <v>-1.873185563710011</v>
      </c>
      <c r="P87">
        <f t="shared" si="13"/>
        <v>1</v>
      </c>
    </row>
    <row r="88" spans="1:16" x14ac:dyDescent="0.25">
      <c r="A88" s="1"/>
      <c r="B88" t="s">
        <v>102</v>
      </c>
      <c r="C88" t="s">
        <v>24</v>
      </c>
      <c r="D88" s="3">
        <v>3.2916666666666665</v>
      </c>
      <c r="E88" s="5">
        <f t="shared" si="7"/>
        <v>1728</v>
      </c>
      <c r="F88">
        <v>-0.48310999999999998</v>
      </c>
      <c r="G88">
        <f t="shared" si="8"/>
        <v>1.4823</v>
      </c>
      <c r="H88">
        <f t="shared" si="9"/>
        <v>1.4823</v>
      </c>
      <c r="I88" s="5">
        <f t="shared" si="10"/>
        <v>1728</v>
      </c>
      <c r="J88">
        <f t="shared" si="11"/>
        <v>0.84421120227690216</v>
      </c>
      <c r="K88">
        <f t="shared" si="12"/>
        <v>2.8728463497101369</v>
      </c>
      <c r="P88">
        <f t="shared" si="13"/>
        <v>1</v>
      </c>
    </row>
    <row r="89" spans="1:16" x14ac:dyDescent="0.25">
      <c r="A89" s="1"/>
      <c r="B89" t="s">
        <v>103</v>
      </c>
      <c r="C89" t="s">
        <v>24</v>
      </c>
      <c r="D89" s="3">
        <v>3.3333333333333335</v>
      </c>
      <c r="E89" s="5">
        <f t="shared" si="7"/>
        <v>1729</v>
      </c>
      <c r="F89">
        <v>-0.56962000000000002</v>
      </c>
      <c r="G89">
        <f t="shared" si="8"/>
        <v>5.3220000000000101E-2</v>
      </c>
      <c r="H89">
        <f t="shared" si="9"/>
        <v>5.3220000000000101E-2</v>
      </c>
      <c r="I89" s="5">
        <f t="shared" si="10"/>
        <v>1729</v>
      </c>
      <c r="J89">
        <f t="shared" si="11"/>
        <v>-0.68963963003169093</v>
      </c>
      <c r="K89">
        <f t="shared" si="12"/>
        <v>-4.4683235664035053</v>
      </c>
      <c r="P89">
        <f t="shared" si="13"/>
        <v>1</v>
      </c>
    </row>
    <row r="90" spans="1:16" x14ac:dyDescent="0.25">
      <c r="A90" s="1"/>
      <c r="B90" t="s">
        <v>104</v>
      </c>
      <c r="C90" t="s">
        <v>24</v>
      </c>
      <c r="D90" s="3">
        <v>3.375</v>
      </c>
      <c r="E90" s="5">
        <f t="shared" si="7"/>
        <v>1730</v>
      </c>
      <c r="F90">
        <v>-0.60290999999999995</v>
      </c>
      <c r="G90">
        <f t="shared" si="8"/>
        <v>0.26333999999999985</v>
      </c>
      <c r="H90">
        <f t="shared" si="9"/>
        <v>0.26333999999999985</v>
      </c>
      <c r="I90" s="5">
        <f t="shared" si="10"/>
        <v>1730</v>
      </c>
      <c r="J90">
        <f t="shared" si="11"/>
        <v>-0.27162188575018364</v>
      </c>
      <c r="K90">
        <f t="shared" si="12"/>
        <v>3.0815093481251683</v>
      </c>
      <c r="P90">
        <f t="shared" si="13"/>
        <v>0</v>
      </c>
    </row>
    <row r="91" spans="1:16" x14ac:dyDescent="0.25">
      <c r="A91" s="1"/>
      <c r="B91" t="s">
        <v>105</v>
      </c>
      <c r="C91" t="s">
        <v>24</v>
      </c>
      <c r="D91" s="3">
        <v>3.4166666666666665</v>
      </c>
      <c r="E91" s="5">
        <f t="shared" si="7"/>
        <v>1731</v>
      </c>
      <c r="F91">
        <v>-0.37286000000000002</v>
      </c>
      <c r="G91">
        <f t="shared" si="8"/>
        <v>-0.2749299999999999</v>
      </c>
      <c r="H91">
        <f t="shared" si="9"/>
        <v>-0.2749299999999999</v>
      </c>
      <c r="I91" s="5">
        <f t="shared" si="10"/>
        <v>1731</v>
      </c>
      <c r="J91">
        <f t="shared" si="11"/>
        <v>-0.87740741187621873</v>
      </c>
      <c r="K91">
        <f t="shared" si="12"/>
        <v>-2.7506024862184697</v>
      </c>
      <c r="P91">
        <f t="shared" si="13"/>
        <v>1</v>
      </c>
    </row>
    <row r="92" spans="1:16" x14ac:dyDescent="0.25">
      <c r="A92" s="1"/>
      <c r="B92" t="s">
        <v>106</v>
      </c>
      <c r="C92" t="s">
        <v>24</v>
      </c>
      <c r="D92" s="3">
        <v>3.4583333333333335</v>
      </c>
      <c r="E92" s="5">
        <f t="shared" si="7"/>
        <v>1732</v>
      </c>
      <c r="F92">
        <v>-0.41774</v>
      </c>
      <c r="G92">
        <f t="shared" si="8"/>
        <v>-1.03712</v>
      </c>
      <c r="H92">
        <f t="shared" si="9"/>
        <v>-1.03712</v>
      </c>
      <c r="I92" s="5">
        <f t="shared" si="10"/>
        <v>1732</v>
      </c>
      <c r="J92">
        <f t="shared" si="11"/>
        <v>-1.3623767251374865</v>
      </c>
      <c r="K92">
        <f t="shared" si="12"/>
        <v>-0.27461168781889089</v>
      </c>
      <c r="P92">
        <f t="shared" si="13"/>
        <v>1</v>
      </c>
    </row>
    <row r="93" spans="1:16" x14ac:dyDescent="0.25">
      <c r="A93" s="1"/>
      <c r="B93" t="s">
        <v>107</v>
      </c>
      <c r="C93" t="s">
        <v>24</v>
      </c>
      <c r="D93" s="3">
        <v>3.5</v>
      </c>
      <c r="E93" s="5">
        <f t="shared" si="7"/>
        <v>1733</v>
      </c>
      <c r="F93">
        <v>-1.4997400000000001</v>
      </c>
      <c r="G93">
        <f t="shared" si="8"/>
        <v>2.6493099999999998</v>
      </c>
      <c r="H93">
        <f t="shared" si="9"/>
        <v>2.6493099999999998</v>
      </c>
      <c r="I93" s="5">
        <f t="shared" si="10"/>
        <v>1733</v>
      </c>
      <c r="J93">
        <f t="shared" si="11"/>
        <v>0.39774988933552408</v>
      </c>
      <c r="K93">
        <f t="shared" si="12"/>
        <v>1.3059006844950161</v>
      </c>
      <c r="P93">
        <f t="shared" si="13"/>
        <v>1</v>
      </c>
    </row>
    <row r="94" spans="1:16" x14ac:dyDescent="0.25">
      <c r="A94" s="1"/>
      <c r="B94" t="s">
        <v>108</v>
      </c>
      <c r="C94" t="s">
        <v>24</v>
      </c>
      <c r="D94" s="3">
        <v>3.5416666666666665</v>
      </c>
      <c r="E94" s="5">
        <f t="shared" si="7"/>
        <v>1734</v>
      </c>
      <c r="F94">
        <v>6.7570000000000005E-2</v>
      </c>
      <c r="G94">
        <f t="shared" si="8"/>
        <v>-1.6783299999999999</v>
      </c>
      <c r="H94">
        <f t="shared" si="9"/>
        <v>-1.6783299999999999</v>
      </c>
      <c r="I94" s="5">
        <f t="shared" si="10"/>
        <v>1734</v>
      </c>
      <c r="J94">
        <f t="shared" si="11"/>
        <v>-1.6060171492667723</v>
      </c>
      <c r="K94">
        <f t="shared" si="12"/>
        <v>-3.5534971370249058</v>
      </c>
      <c r="P94">
        <f t="shared" si="13"/>
        <v>1</v>
      </c>
    </row>
    <row r="95" spans="1:16" x14ac:dyDescent="0.25">
      <c r="A95" s="1"/>
      <c r="B95" t="s">
        <v>109</v>
      </c>
      <c r="C95" t="s">
        <v>24</v>
      </c>
      <c r="D95" s="3">
        <v>3.5833333333333335</v>
      </c>
      <c r="E95" s="5">
        <f t="shared" si="7"/>
        <v>1735</v>
      </c>
      <c r="F95">
        <v>-4.3450000000000003E-2</v>
      </c>
      <c r="G95">
        <f t="shared" si="8"/>
        <v>0.40123999999999999</v>
      </c>
      <c r="H95">
        <f t="shared" si="9"/>
        <v>0.40123999999999999</v>
      </c>
      <c r="I95" s="5">
        <f t="shared" si="10"/>
        <v>1735</v>
      </c>
      <c r="J95">
        <f t="shared" si="11"/>
        <v>0.35228609394841626</v>
      </c>
      <c r="K95">
        <f t="shared" si="12"/>
        <v>3.7626845584981856</v>
      </c>
      <c r="P95">
        <f t="shared" si="13"/>
        <v>1</v>
      </c>
    </row>
    <row r="96" spans="1:16" x14ac:dyDescent="0.25">
      <c r="A96" s="1"/>
      <c r="B96" t="s">
        <v>110</v>
      </c>
      <c r="C96" t="s">
        <v>24</v>
      </c>
      <c r="D96" s="3">
        <v>3.625</v>
      </c>
      <c r="E96" s="5">
        <f t="shared" si="7"/>
        <v>1736</v>
      </c>
      <c r="F96">
        <v>0.24676999999999999</v>
      </c>
      <c r="G96">
        <f t="shared" si="8"/>
        <v>0.38614000000000009</v>
      </c>
      <c r="H96">
        <f t="shared" si="9"/>
        <v>0.38614000000000009</v>
      </c>
      <c r="I96" s="5">
        <f t="shared" si="10"/>
        <v>1736</v>
      </c>
      <c r="J96">
        <f t="shared" si="11"/>
        <v>0.74303387095949913</v>
      </c>
      <c r="K96">
        <f t="shared" si="12"/>
        <v>-3.9092979607093881</v>
      </c>
      <c r="P96">
        <f t="shared" si="13"/>
        <v>0</v>
      </c>
    </row>
    <row r="97" spans="1:16" x14ac:dyDescent="0.25">
      <c r="A97" s="1"/>
      <c r="B97" t="s">
        <v>111</v>
      </c>
      <c r="C97" t="s">
        <v>24</v>
      </c>
      <c r="D97" s="3">
        <v>3.6666666666666665</v>
      </c>
      <c r="E97" s="5">
        <f t="shared" si="7"/>
        <v>1737</v>
      </c>
      <c r="F97">
        <v>0.92313000000000001</v>
      </c>
      <c r="G97">
        <f t="shared" si="8"/>
        <v>-0.4811700000000001</v>
      </c>
      <c r="H97">
        <f t="shared" si="9"/>
        <v>-0.4811700000000001</v>
      </c>
      <c r="I97" s="5">
        <f t="shared" si="10"/>
        <v>1737</v>
      </c>
      <c r="J97">
        <f t="shared" si="11"/>
        <v>0.28723003228135657</v>
      </c>
      <c r="K97">
        <f t="shared" si="12"/>
        <v>3.2359374153379057</v>
      </c>
      <c r="P97">
        <f t="shared" si="13"/>
        <v>1</v>
      </c>
    </row>
    <row r="98" spans="1:16" x14ac:dyDescent="0.25">
      <c r="A98" s="1"/>
      <c r="B98" t="s">
        <v>112</v>
      </c>
      <c r="C98" t="s">
        <v>24</v>
      </c>
      <c r="D98" s="3">
        <v>3.7083333333333335</v>
      </c>
      <c r="E98" s="5">
        <f t="shared" si="7"/>
        <v>1738</v>
      </c>
      <c r="F98">
        <v>1.11832</v>
      </c>
      <c r="G98">
        <f t="shared" si="8"/>
        <v>-1.9736899999999999</v>
      </c>
      <c r="H98">
        <f t="shared" si="9"/>
        <v>-1.9736899999999999</v>
      </c>
      <c r="I98" s="5">
        <f t="shared" si="10"/>
        <v>1738</v>
      </c>
      <c r="J98">
        <f t="shared" si="11"/>
        <v>-0.1482224536705197</v>
      </c>
      <c r="K98">
        <f t="shared" si="12"/>
        <v>-1.6291227347960027</v>
      </c>
      <c r="P98">
        <f t="shared" si="13"/>
        <v>1</v>
      </c>
    </row>
    <row r="99" spans="1:16" x14ac:dyDescent="0.25">
      <c r="A99" s="1"/>
      <c r="B99" t="s">
        <v>113</v>
      </c>
      <c r="C99" t="s">
        <v>24</v>
      </c>
      <c r="D99" s="3">
        <v>3.75</v>
      </c>
      <c r="E99" s="5">
        <f t="shared" si="7"/>
        <v>1739</v>
      </c>
      <c r="F99">
        <v>-0.66017999999999999</v>
      </c>
      <c r="G99">
        <f t="shared" si="8"/>
        <v>2.4390399999999999</v>
      </c>
      <c r="H99">
        <f t="shared" si="9"/>
        <v>2.4390399999999999</v>
      </c>
      <c r="I99" s="5">
        <f t="shared" si="10"/>
        <v>1739</v>
      </c>
      <c r="J99">
        <f t="shared" si="11"/>
        <v>1.9215666916219445</v>
      </c>
      <c r="K99">
        <f t="shared" si="12"/>
        <v>0.80789171875193255</v>
      </c>
      <c r="P99">
        <f t="shared" si="13"/>
        <v>1</v>
      </c>
    </row>
    <row r="100" spans="1:16" x14ac:dyDescent="0.25">
      <c r="A100" s="1"/>
      <c r="B100" t="s">
        <v>114</v>
      </c>
      <c r="C100" t="s">
        <v>24</v>
      </c>
      <c r="D100" s="3">
        <v>3.7916666666666665</v>
      </c>
      <c r="E100" s="5">
        <f t="shared" si="7"/>
        <v>1740</v>
      </c>
      <c r="F100">
        <v>3.6000000000000002E-4</v>
      </c>
      <c r="G100">
        <f t="shared" si="8"/>
        <v>-0.43651000000000001</v>
      </c>
      <c r="H100">
        <f t="shared" si="9"/>
        <v>-0.43651000000000001</v>
      </c>
      <c r="I100" s="5">
        <f t="shared" si="10"/>
        <v>1740</v>
      </c>
      <c r="J100">
        <f t="shared" si="11"/>
        <v>-0.43594811738959549</v>
      </c>
      <c r="K100">
        <f t="shared" si="12"/>
        <v>1.5734652974517891</v>
      </c>
      <c r="P100">
        <f t="shared" si="13"/>
        <v>0</v>
      </c>
    </row>
    <row r="101" spans="1:16" x14ac:dyDescent="0.25">
      <c r="A101" s="1"/>
      <c r="B101" t="s">
        <v>115</v>
      </c>
      <c r="C101" t="s">
        <v>24</v>
      </c>
      <c r="D101" s="3">
        <v>3.8333333333333335</v>
      </c>
      <c r="E101" s="5">
        <f t="shared" si="7"/>
        <v>1741</v>
      </c>
      <c r="F101">
        <v>0.22439000000000001</v>
      </c>
      <c r="G101">
        <f t="shared" si="8"/>
        <v>-2.0484300000000002</v>
      </c>
      <c r="H101">
        <f t="shared" si="9"/>
        <v>-2.0484300000000002</v>
      </c>
      <c r="I101" s="5">
        <f t="shared" si="10"/>
        <v>1741</v>
      </c>
      <c r="J101">
        <f t="shared" si="11"/>
        <v>-1.8300524041275059</v>
      </c>
      <c r="K101">
        <f t="shared" si="12"/>
        <v>-1.9260630843653501</v>
      </c>
      <c r="P101">
        <f t="shared" si="13"/>
        <v>1</v>
      </c>
    </row>
    <row r="102" spans="1:16" x14ac:dyDescent="0.25">
      <c r="A102" s="1"/>
      <c r="B102" t="s">
        <v>116</v>
      </c>
      <c r="C102" t="s">
        <v>24</v>
      </c>
      <c r="D102" s="3">
        <v>3.875</v>
      </c>
      <c r="E102" s="5">
        <f t="shared" si="7"/>
        <v>1742</v>
      </c>
      <c r="F102">
        <v>-1.6000099999999999</v>
      </c>
      <c r="G102">
        <f t="shared" si="8"/>
        <v>2.9113899999999999</v>
      </c>
      <c r="H102">
        <f t="shared" si="9"/>
        <v>2.9113899999999999</v>
      </c>
      <c r="I102" s="5">
        <f t="shared" si="10"/>
        <v>1742</v>
      </c>
      <c r="J102">
        <f t="shared" si="11"/>
        <v>0.85411869115629668</v>
      </c>
      <c r="K102">
        <f t="shared" si="12"/>
        <v>4.0231957032433261</v>
      </c>
      <c r="P102">
        <f t="shared" si="13"/>
        <v>1</v>
      </c>
    </row>
    <row r="103" spans="1:16" x14ac:dyDescent="0.25">
      <c r="A103" s="1"/>
      <c r="B103" t="s">
        <v>117</v>
      </c>
      <c r="C103" t="s">
        <v>24</v>
      </c>
      <c r="D103" s="3">
        <v>3.9166666666666665</v>
      </c>
      <c r="E103" s="5">
        <f t="shared" si="7"/>
        <v>1743</v>
      </c>
      <c r="F103">
        <v>-0.51302000000000003</v>
      </c>
      <c r="G103">
        <f t="shared" si="8"/>
        <v>-0.31160999999999994</v>
      </c>
      <c r="H103">
        <f t="shared" si="9"/>
        <v>-0.31160999999999994</v>
      </c>
      <c r="I103" s="5">
        <f t="shared" si="10"/>
        <v>1743</v>
      </c>
      <c r="J103">
        <f t="shared" si="11"/>
        <v>-0.98169701295611944</v>
      </c>
      <c r="K103">
        <f t="shared" si="12"/>
        <v>-3.4831816649593574</v>
      </c>
      <c r="P103">
        <f t="shared" si="13"/>
        <v>1</v>
      </c>
    </row>
    <row r="104" spans="1:16" x14ac:dyDescent="0.25">
      <c r="A104" s="1"/>
      <c r="B104" t="s">
        <v>118</v>
      </c>
      <c r="C104" t="s">
        <v>24</v>
      </c>
      <c r="D104" s="3">
        <v>3.9583333333333335</v>
      </c>
      <c r="E104" s="5">
        <f t="shared" si="7"/>
        <v>1744</v>
      </c>
      <c r="F104">
        <v>0.26235999999999998</v>
      </c>
      <c r="G104">
        <f t="shared" si="8"/>
        <v>9.7040000000000015E-2</v>
      </c>
      <c r="H104">
        <f t="shared" si="9"/>
        <v>9.7040000000000015E-2</v>
      </c>
      <c r="I104" s="5">
        <f t="shared" si="10"/>
        <v>1744</v>
      </c>
      <c r="J104">
        <f t="shared" si="11"/>
        <v>0.34451230186918058</v>
      </c>
      <c r="K104">
        <f t="shared" si="12"/>
        <v>4.2394418060433043</v>
      </c>
      <c r="P104">
        <f t="shared" si="13"/>
        <v>1</v>
      </c>
    </row>
    <row r="105" spans="1:16" x14ac:dyDescent="0.25">
      <c r="A105" s="1"/>
      <c r="B105" t="s">
        <v>119</v>
      </c>
      <c r="C105" t="s">
        <v>24</v>
      </c>
      <c r="D105" s="3">
        <v>4</v>
      </c>
      <c r="E105" s="5">
        <f t="shared" si="7"/>
        <v>1745</v>
      </c>
      <c r="F105">
        <v>1.1347799999999999</v>
      </c>
      <c r="G105">
        <f t="shared" si="8"/>
        <v>-0.42901999999999996</v>
      </c>
      <c r="H105">
        <f t="shared" si="9"/>
        <v>-0.42901999999999996</v>
      </c>
      <c r="I105" s="5">
        <f t="shared" si="10"/>
        <v>1745</v>
      </c>
      <c r="J105">
        <f t="shared" si="11"/>
        <v>1.3800122805703039</v>
      </c>
      <c r="K105">
        <f t="shared" si="12"/>
        <v>-2.5747171099520254</v>
      </c>
      <c r="P105">
        <f t="shared" si="13"/>
        <v>0</v>
      </c>
    </row>
    <row r="106" spans="1:16" x14ac:dyDescent="0.25">
      <c r="A106" s="1"/>
      <c r="B106" t="s">
        <v>120</v>
      </c>
      <c r="C106" t="s">
        <v>24</v>
      </c>
      <c r="D106" s="3">
        <v>4.041666666666667</v>
      </c>
      <c r="E106" s="5">
        <f t="shared" si="7"/>
        <v>1746</v>
      </c>
      <c r="F106">
        <v>1.5781799999999999</v>
      </c>
      <c r="G106">
        <f t="shared" si="8"/>
        <v>-0.21579999999999999</v>
      </c>
      <c r="H106">
        <f t="shared" si="9"/>
        <v>-0.21579999999999999</v>
      </c>
      <c r="I106" s="5">
        <f t="shared" si="10"/>
        <v>1746</v>
      </c>
      <c r="J106">
        <f t="shared" si="11"/>
        <v>1.0017100655951874</v>
      </c>
      <c r="K106">
        <f t="shared" si="12"/>
        <v>1.4686511309891326</v>
      </c>
      <c r="P106">
        <f t="shared" si="13"/>
        <v>1</v>
      </c>
    </row>
    <row r="107" spans="1:16" x14ac:dyDescent="0.25">
      <c r="A107" s="1"/>
      <c r="B107" t="s">
        <v>121</v>
      </c>
      <c r="C107" t="s">
        <v>24</v>
      </c>
      <c r="D107" s="3">
        <v>4.083333333333333</v>
      </c>
      <c r="E107" s="5">
        <f t="shared" si="7"/>
        <v>1747</v>
      </c>
      <c r="F107">
        <v>1.8057799999999999</v>
      </c>
      <c r="G107">
        <f t="shared" si="8"/>
        <v>-3.0292000000000003</v>
      </c>
      <c r="H107">
        <f t="shared" si="9"/>
        <v>-3.0292000000000003</v>
      </c>
      <c r="I107" s="5">
        <f t="shared" si="10"/>
        <v>1747</v>
      </c>
      <c r="J107">
        <f t="shared" si="11"/>
        <v>-0.17296713242412759</v>
      </c>
      <c r="K107">
        <f t="shared" si="12"/>
        <v>0.69905622812699253</v>
      </c>
      <c r="P107">
        <f t="shared" si="13"/>
        <v>0</v>
      </c>
    </row>
    <row r="108" spans="1:16" x14ac:dyDescent="0.25">
      <c r="A108" s="1"/>
      <c r="B108" t="s">
        <v>122</v>
      </c>
      <c r="C108" t="s">
        <v>24</v>
      </c>
      <c r="D108" s="3">
        <v>4.125</v>
      </c>
      <c r="E108" s="5">
        <f t="shared" si="7"/>
        <v>1748</v>
      </c>
      <c r="F108">
        <v>-0.99582000000000004</v>
      </c>
      <c r="G108">
        <f t="shared" si="8"/>
        <v>4.8936600000000006</v>
      </c>
      <c r="H108">
        <f t="shared" si="9"/>
        <v>4.8936600000000006</v>
      </c>
      <c r="I108" s="5">
        <f t="shared" si="10"/>
        <v>1748</v>
      </c>
      <c r="J108">
        <f t="shared" si="11"/>
        <v>3.9208807270865771</v>
      </c>
      <c r="K108">
        <f t="shared" si="12"/>
        <v>-2.6779712048637045</v>
      </c>
      <c r="P108">
        <f t="shared" si="13"/>
        <v>0</v>
      </c>
    </row>
    <row r="109" spans="1:16" x14ac:dyDescent="0.25">
      <c r="A109" s="1"/>
      <c r="B109" t="s">
        <v>123</v>
      </c>
      <c r="C109" t="s">
        <v>24</v>
      </c>
      <c r="D109" s="3">
        <v>4.166666666666667</v>
      </c>
      <c r="E109" s="5">
        <f t="shared" si="7"/>
        <v>1749</v>
      </c>
      <c r="F109">
        <v>1.0962400000000001</v>
      </c>
      <c r="G109">
        <f t="shared" si="8"/>
        <v>-2.4696899999999999</v>
      </c>
      <c r="H109">
        <f t="shared" si="9"/>
        <v>-2.4696899999999999</v>
      </c>
      <c r="I109" s="5">
        <f t="shared" si="10"/>
        <v>1749</v>
      </c>
      <c r="J109">
        <f t="shared" si="11"/>
        <v>-1.1489023906394071</v>
      </c>
      <c r="K109">
        <f t="shared" si="12"/>
        <v>3.4889134940733904</v>
      </c>
      <c r="P109">
        <f t="shared" si="13"/>
        <v>0</v>
      </c>
    </row>
    <row r="110" spans="1:16" x14ac:dyDescent="0.25">
      <c r="A110" s="1"/>
      <c r="B110" t="s">
        <v>124</v>
      </c>
      <c r="C110" t="s">
        <v>24</v>
      </c>
      <c r="D110" s="3">
        <v>4.208333333333333</v>
      </c>
      <c r="E110" s="5">
        <f t="shared" si="7"/>
        <v>1750</v>
      </c>
      <c r="F110">
        <v>0.71860999999999997</v>
      </c>
      <c r="G110">
        <f t="shared" si="8"/>
        <v>-5.4319999999999813E-2</v>
      </c>
      <c r="H110">
        <f t="shared" si="9"/>
        <v>-5.4319999999999813E-2</v>
      </c>
      <c r="I110" s="5">
        <f t="shared" si="10"/>
        <v>1750</v>
      </c>
      <c r="J110">
        <f t="shared" si="11"/>
        <v>0.96304270541158943</v>
      </c>
      <c r="K110">
        <f t="shared" si="12"/>
        <v>-4.3399640288621582</v>
      </c>
      <c r="P110">
        <f t="shared" si="13"/>
        <v>0</v>
      </c>
    </row>
    <row r="111" spans="1:16" x14ac:dyDescent="0.25">
      <c r="A111" s="1"/>
      <c r="B111" t="s">
        <v>125</v>
      </c>
      <c r="C111" t="s">
        <v>24</v>
      </c>
      <c r="D111" s="3">
        <v>4.25</v>
      </c>
      <c r="E111" s="5">
        <f t="shared" si="7"/>
        <v>1751</v>
      </c>
      <c r="F111">
        <v>0.28666000000000003</v>
      </c>
      <c r="G111">
        <f t="shared" si="8"/>
        <v>-1.7390400000000001</v>
      </c>
      <c r="H111">
        <f t="shared" si="9"/>
        <v>-1.7390400000000001</v>
      </c>
      <c r="I111" s="5">
        <f t="shared" si="10"/>
        <v>1751</v>
      </c>
      <c r="J111">
        <f t="shared" si="11"/>
        <v>-1.5049061148040894</v>
      </c>
      <c r="K111">
        <f t="shared" si="12"/>
        <v>2.5109380617323453</v>
      </c>
      <c r="P111">
        <f t="shared" si="13"/>
        <v>0</v>
      </c>
    </row>
    <row r="112" spans="1:16" x14ac:dyDescent="0.25">
      <c r="A112" s="1"/>
      <c r="B112" t="s">
        <v>126</v>
      </c>
      <c r="C112" t="s">
        <v>24</v>
      </c>
      <c r="D112" s="3">
        <v>4.291666666666667</v>
      </c>
      <c r="E112" s="5">
        <f t="shared" si="7"/>
        <v>1752</v>
      </c>
      <c r="F112">
        <v>-1.8843300000000001</v>
      </c>
      <c r="G112">
        <f t="shared" si="8"/>
        <v>2.90266</v>
      </c>
      <c r="H112">
        <f t="shared" si="9"/>
        <v>2.90266</v>
      </c>
      <c r="I112" s="5">
        <f t="shared" si="10"/>
        <v>1752</v>
      </c>
      <c r="J112">
        <f t="shared" si="11"/>
        <v>-0.16656377293294911</v>
      </c>
      <c r="K112">
        <f t="shared" si="12"/>
        <v>-1.7600438337350806</v>
      </c>
      <c r="P112">
        <f t="shared" si="13"/>
        <v>1</v>
      </c>
    </row>
    <row r="113" spans="1:16" x14ac:dyDescent="0.25">
      <c r="A113" s="1"/>
      <c r="B113" t="s">
        <v>127</v>
      </c>
      <c r="C113" t="s">
        <v>24</v>
      </c>
      <c r="D113" s="3">
        <v>4.333333333333333</v>
      </c>
      <c r="E113" s="5">
        <f t="shared" si="7"/>
        <v>1753</v>
      </c>
      <c r="F113">
        <v>-1.15266</v>
      </c>
      <c r="G113">
        <f t="shared" si="8"/>
        <v>-0.31825000000000003</v>
      </c>
      <c r="H113">
        <f t="shared" si="9"/>
        <v>-0.31825000000000003</v>
      </c>
      <c r="I113" s="5">
        <f t="shared" si="10"/>
        <v>1753</v>
      </c>
      <c r="J113">
        <f t="shared" si="11"/>
        <v>-1.269449357073082</v>
      </c>
      <c r="K113">
        <f t="shared" si="12"/>
        <v>-1.3722208944343839</v>
      </c>
      <c r="P113">
        <f t="shared" si="13"/>
        <v>1</v>
      </c>
    </row>
    <row r="114" spans="1:16" x14ac:dyDescent="0.25">
      <c r="A114" s="1"/>
      <c r="B114" t="s">
        <v>128</v>
      </c>
      <c r="C114" t="s">
        <v>24</v>
      </c>
      <c r="D114" s="3">
        <v>4.375</v>
      </c>
      <c r="E114" s="5">
        <f t="shared" si="7"/>
        <v>1754</v>
      </c>
      <c r="F114">
        <v>-0.73924000000000001</v>
      </c>
      <c r="G114">
        <f t="shared" si="8"/>
        <v>-0.72632999999999992</v>
      </c>
      <c r="H114">
        <f t="shared" si="9"/>
        <v>-0.72632999999999992</v>
      </c>
      <c r="I114" s="5">
        <f t="shared" si="10"/>
        <v>1754</v>
      </c>
      <c r="J114">
        <f t="shared" si="11"/>
        <v>-1.7693434739641372</v>
      </c>
      <c r="K114">
        <f t="shared" si="12"/>
        <v>2.1182753121670204</v>
      </c>
      <c r="P114">
        <f t="shared" si="13"/>
        <v>0</v>
      </c>
    </row>
    <row r="115" spans="1:16" x14ac:dyDescent="0.25">
      <c r="A115" s="1"/>
      <c r="B115" t="s">
        <v>129</v>
      </c>
      <c r="C115" t="s">
        <v>24</v>
      </c>
      <c r="D115" s="3">
        <v>4.416666666666667</v>
      </c>
      <c r="E115" s="5">
        <f t="shared" si="7"/>
        <v>1755</v>
      </c>
      <c r="F115">
        <v>-1.0521499999999999</v>
      </c>
      <c r="G115">
        <f t="shared" si="8"/>
        <v>1.1541699999999997</v>
      </c>
      <c r="H115">
        <f t="shared" si="9"/>
        <v>1.1541699999999997</v>
      </c>
      <c r="I115" s="5">
        <f t="shared" si="10"/>
        <v>1755</v>
      </c>
      <c r="J115">
        <f t="shared" si="11"/>
        <v>-8.4810701749262252E-2</v>
      </c>
      <c r="K115">
        <f t="shared" si="12"/>
        <v>-4.1398103091590626</v>
      </c>
      <c r="P115">
        <f t="shared" si="13"/>
        <v>1</v>
      </c>
    </row>
    <row r="116" spans="1:16" x14ac:dyDescent="0.25">
      <c r="A116" s="1"/>
      <c r="B116" t="s">
        <v>130</v>
      </c>
      <c r="C116" t="s">
        <v>24</v>
      </c>
      <c r="D116" s="3">
        <v>4.458333333333333</v>
      </c>
      <c r="E116" s="5">
        <f t="shared" si="7"/>
        <v>1756</v>
      </c>
      <c r="F116">
        <v>-0.21088999999999999</v>
      </c>
      <c r="G116">
        <f t="shared" si="8"/>
        <v>-2.3304299999999998</v>
      </c>
      <c r="H116">
        <f t="shared" si="9"/>
        <v>-2.3304299999999998</v>
      </c>
      <c r="I116" s="5">
        <f t="shared" si="10"/>
        <v>1756</v>
      </c>
      <c r="J116">
        <f t="shared" si="11"/>
        <v>-2.5462391917472846</v>
      </c>
      <c r="K116">
        <f t="shared" si="12"/>
        <v>3.7005552358457514</v>
      </c>
      <c r="P116">
        <f t="shared" si="13"/>
        <v>0</v>
      </c>
    </row>
    <row r="117" spans="1:16" x14ac:dyDescent="0.25">
      <c r="A117" s="1"/>
      <c r="B117" t="s">
        <v>131</v>
      </c>
      <c r="C117" t="s">
        <v>24</v>
      </c>
      <c r="D117" s="3">
        <v>4.5</v>
      </c>
      <c r="E117" s="5">
        <f t="shared" si="7"/>
        <v>1757</v>
      </c>
      <c r="F117">
        <v>-1.7000599999999999</v>
      </c>
      <c r="G117">
        <f t="shared" si="8"/>
        <v>2.5641400000000001</v>
      </c>
      <c r="H117">
        <f t="shared" si="9"/>
        <v>2.5641400000000001</v>
      </c>
      <c r="I117" s="5">
        <f t="shared" si="10"/>
        <v>1757</v>
      </c>
      <c r="J117">
        <f t="shared" si="11"/>
        <v>-2.3924022858918148E-2</v>
      </c>
      <c r="K117">
        <f t="shared" si="12"/>
        <v>-3.6741781769721897</v>
      </c>
      <c r="P117">
        <f t="shared" si="13"/>
        <v>1</v>
      </c>
    </row>
    <row r="118" spans="1:16" x14ac:dyDescent="0.25">
      <c r="A118" s="1"/>
      <c r="B118" t="s">
        <v>132</v>
      </c>
      <c r="C118" t="s">
        <v>24</v>
      </c>
      <c r="D118" s="3">
        <v>4.541666666666667</v>
      </c>
      <c r="E118" s="5">
        <f t="shared" si="7"/>
        <v>1758</v>
      </c>
      <c r="F118">
        <v>-0.62509000000000003</v>
      </c>
      <c r="G118">
        <f t="shared" si="8"/>
        <v>-2.9079999999999995E-2</v>
      </c>
      <c r="H118">
        <f t="shared" si="9"/>
        <v>-2.9079999999999995E-2</v>
      </c>
      <c r="I118" s="5">
        <f t="shared" si="10"/>
        <v>1758</v>
      </c>
      <c r="J118">
        <f t="shared" si="11"/>
        <v>-0.52195439233973084</v>
      </c>
      <c r="K118">
        <f t="shared" si="12"/>
        <v>2.4436057215892957</v>
      </c>
      <c r="P118">
        <f t="shared" si="13"/>
        <v>0</v>
      </c>
    </row>
    <row r="119" spans="1:16" x14ac:dyDescent="0.25">
      <c r="A119" s="1"/>
      <c r="B119" t="s">
        <v>133</v>
      </c>
      <c r="C119" t="s">
        <v>24</v>
      </c>
      <c r="D119" s="3">
        <v>4.583333333333333</v>
      </c>
      <c r="E119" s="5">
        <f t="shared" si="7"/>
        <v>1759</v>
      </c>
      <c r="F119">
        <v>0.42080000000000001</v>
      </c>
      <c r="G119">
        <f t="shared" si="8"/>
        <v>-1.4132500000000001</v>
      </c>
      <c r="H119">
        <f t="shared" si="9"/>
        <v>-1.4132500000000001</v>
      </c>
      <c r="I119" s="5">
        <f t="shared" si="10"/>
        <v>1759</v>
      </c>
      <c r="J119">
        <f t="shared" si="11"/>
        <v>-0.72543858315310816</v>
      </c>
      <c r="K119">
        <f t="shared" si="12"/>
        <v>-0.8948573253637373</v>
      </c>
      <c r="P119">
        <f t="shared" si="13"/>
        <v>1</v>
      </c>
    </row>
    <row r="120" spans="1:16" x14ac:dyDescent="0.25">
      <c r="A120" s="1"/>
      <c r="B120" t="s">
        <v>134</v>
      </c>
      <c r="C120" t="s">
        <v>24</v>
      </c>
      <c r="D120" s="3">
        <v>4.625</v>
      </c>
      <c r="E120" s="5">
        <f t="shared" si="7"/>
        <v>1760</v>
      </c>
      <c r="F120">
        <v>5.3440000000000001E-2</v>
      </c>
      <c r="G120">
        <f t="shared" si="8"/>
        <v>-0.51621000000000006</v>
      </c>
      <c r="H120">
        <f t="shared" si="9"/>
        <v>-0.51621000000000006</v>
      </c>
      <c r="I120" s="5">
        <f t="shared" si="10"/>
        <v>1760</v>
      </c>
      <c r="J120">
        <f t="shared" si="11"/>
        <v>-0.47261399804529725</v>
      </c>
      <c r="K120">
        <f t="shared" si="12"/>
        <v>-0.1946829694002038</v>
      </c>
      <c r="P120">
        <f t="shared" si="13"/>
        <v>1</v>
      </c>
    </row>
    <row r="121" spans="1:16" x14ac:dyDescent="0.25">
      <c r="A121" s="1"/>
      <c r="B121" t="s">
        <v>135</v>
      </c>
      <c r="C121" t="s">
        <v>24</v>
      </c>
      <c r="D121" s="3">
        <v>4.666666666666667</v>
      </c>
      <c r="E121" s="5">
        <f t="shared" si="7"/>
        <v>1761</v>
      </c>
      <c r="F121">
        <v>-0.83013000000000003</v>
      </c>
      <c r="G121">
        <f t="shared" si="8"/>
        <v>2.25312</v>
      </c>
      <c r="H121">
        <f t="shared" si="9"/>
        <v>2.25312</v>
      </c>
      <c r="I121" s="5">
        <f t="shared" si="10"/>
        <v>1761</v>
      </c>
      <c r="J121">
        <f t="shared" si="11"/>
        <v>1.0123878335077465</v>
      </c>
      <c r="K121">
        <f t="shared" si="12"/>
        <v>2.3389159317621049</v>
      </c>
      <c r="P121">
        <f t="shared" si="13"/>
        <v>1</v>
      </c>
    </row>
    <row r="122" spans="1:16" x14ac:dyDescent="0.25">
      <c r="A122" s="1"/>
      <c r="B122" t="s">
        <v>136</v>
      </c>
      <c r="C122" t="s">
        <v>24</v>
      </c>
      <c r="D122" s="3">
        <v>4.708333333333333</v>
      </c>
      <c r="E122" s="5">
        <f t="shared" si="7"/>
        <v>1762</v>
      </c>
      <c r="F122">
        <v>0.53942000000000001</v>
      </c>
      <c r="G122">
        <f t="shared" si="8"/>
        <v>-2.6812800000000001</v>
      </c>
      <c r="H122">
        <f t="shared" si="9"/>
        <v>-2.6812800000000001</v>
      </c>
      <c r="I122" s="5">
        <f t="shared" si="10"/>
        <v>1762</v>
      </c>
      <c r="J122">
        <f t="shared" si="11"/>
        <v>-2.108990882471486</v>
      </c>
      <c r="K122">
        <f t="shared" si="12"/>
        <v>-2.6180726269346897</v>
      </c>
      <c r="P122">
        <f t="shared" si="13"/>
        <v>1</v>
      </c>
    </row>
    <row r="123" spans="1:16" x14ac:dyDescent="0.25">
      <c r="A123" s="1"/>
      <c r="B123" t="s">
        <v>137</v>
      </c>
      <c r="C123" t="s">
        <v>24</v>
      </c>
      <c r="D123" s="3">
        <v>4.75</v>
      </c>
      <c r="E123" s="5">
        <f t="shared" si="7"/>
        <v>1763</v>
      </c>
      <c r="F123">
        <v>-0.77231000000000005</v>
      </c>
      <c r="G123">
        <f t="shared" si="8"/>
        <v>2.0208200000000001</v>
      </c>
      <c r="H123">
        <f t="shared" si="9"/>
        <v>2.0208200000000001</v>
      </c>
      <c r="I123" s="5">
        <f t="shared" si="10"/>
        <v>1763</v>
      </c>
      <c r="J123">
        <f t="shared" si="11"/>
        <v>1.1054741038753566</v>
      </c>
      <c r="K123">
        <f t="shared" si="12"/>
        <v>4.3846529734710256</v>
      </c>
      <c r="P123">
        <f t="shared" si="13"/>
        <v>1</v>
      </c>
    </row>
    <row r="124" spans="1:16" x14ac:dyDescent="0.25">
      <c r="A124" s="1"/>
      <c r="B124" t="s">
        <v>138</v>
      </c>
      <c r="C124" t="s">
        <v>24</v>
      </c>
      <c r="D124" s="3">
        <v>4.791666666666667</v>
      </c>
      <c r="E124" s="5">
        <f t="shared" si="7"/>
        <v>1764</v>
      </c>
      <c r="F124">
        <v>-6.3219999999999998E-2</v>
      </c>
      <c r="G124">
        <f t="shared" si="8"/>
        <v>-0.91364000000000001</v>
      </c>
      <c r="H124">
        <f t="shared" si="9"/>
        <v>-0.91364000000000001</v>
      </c>
      <c r="I124" s="5">
        <f t="shared" si="10"/>
        <v>1764</v>
      </c>
      <c r="J124">
        <f t="shared" si="11"/>
        <v>-1.0023476051240905</v>
      </c>
      <c r="K124">
        <f t="shared" si="12"/>
        <v>-3.443553019311099</v>
      </c>
      <c r="P124">
        <f t="shared" si="13"/>
        <v>1</v>
      </c>
    </row>
    <row r="125" spans="1:16" x14ac:dyDescent="0.25">
      <c r="A125" s="1"/>
      <c r="B125" t="s">
        <v>139</v>
      </c>
      <c r="C125" t="s">
        <v>24</v>
      </c>
      <c r="D125" s="3">
        <v>4.833333333333333</v>
      </c>
      <c r="E125" s="5">
        <f t="shared" si="7"/>
        <v>1765</v>
      </c>
      <c r="F125">
        <v>-0.26777000000000001</v>
      </c>
      <c r="G125">
        <f t="shared" si="8"/>
        <v>1.14693</v>
      </c>
      <c r="H125">
        <f t="shared" si="9"/>
        <v>1.14693</v>
      </c>
      <c r="I125" s="5">
        <f t="shared" si="10"/>
        <v>1765</v>
      </c>
      <c r="J125">
        <f t="shared" si="11"/>
        <v>0.91443632609940428</v>
      </c>
      <c r="K125">
        <f t="shared" si="12"/>
        <v>3.8880516014331268</v>
      </c>
      <c r="P125">
        <f t="shared" si="13"/>
        <v>1</v>
      </c>
    </row>
    <row r="126" spans="1:16" x14ac:dyDescent="0.25">
      <c r="A126" s="1"/>
      <c r="B126" t="s">
        <v>140</v>
      </c>
      <c r="C126" t="s">
        <v>24</v>
      </c>
      <c r="D126" s="3">
        <v>4.875</v>
      </c>
      <c r="E126" s="5">
        <f t="shared" si="7"/>
        <v>1766</v>
      </c>
      <c r="F126">
        <v>0.67461000000000004</v>
      </c>
      <c r="G126">
        <f t="shared" si="8"/>
        <v>-1.22204</v>
      </c>
      <c r="H126">
        <f t="shared" si="9"/>
        <v>-1.22204</v>
      </c>
      <c r="I126" s="5">
        <f t="shared" si="10"/>
        <v>1766</v>
      </c>
      <c r="J126">
        <f t="shared" si="11"/>
        <v>-0.12153261424523365</v>
      </c>
      <c r="K126">
        <f t="shared" si="12"/>
        <v>-1.6923459156575704</v>
      </c>
      <c r="P126">
        <f t="shared" si="13"/>
        <v>1</v>
      </c>
    </row>
    <row r="127" spans="1:16" x14ac:dyDescent="0.25">
      <c r="A127" s="1"/>
      <c r="B127" t="s">
        <v>141</v>
      </c>
      <c r="C127" t="s">
        <v>24</v>
      </c>
      <c r="D127" s="3">
        <v>4.916666666666667</v>
      </c>
      <c r="E127" s="5">
        <f t="shared" si="7"/>
        <v>1767</v>
      </c>
      <c r="F127">
        <v>0.39495000000000002</v>
      </c>
      <c r="G127">
        <f t="shared" si="8"/>
        <v>-0.18498999999999999</v>
      </c>
      <c r="H127">
        <f t="shared" si="9"/>
        <v>-0.18498999999999999</v>
      </c>
      <c r="I127" s="5">
        <f t="shared" si="10"/>
        <v>1767</v>
      </c>
      <c r="J127">
        <f t="shared" si="11"/>
        <v>0.12645843666777296</v>
      </c>
      <c r="K127">
        <f t="shared" si="12"/>
        <v>0.5605835204119165</v>
      </c>
      <c r="P127">
        <f t="shared" si="13"/>
        <v>1</v>
      </c>
    </row>
    <row r="128" spans="1:16" x14ac:dyDescent="0.25">
      <c r="A128" s="1"/>
      <c r="B128" t="s">
        <v>142</v>
      </c>
      <c r="C128" t="s">
        <v>24</v>
      </c>
      <c r="D128" s="3">
        <v>4.958333333333333</v>
      </c>
      <c r="E128" s="5">
        <f t="shared" si="7"/>
        <v>1768</v>
      </c>
      <c r="F128">
        <v>-6.9699999999999998E-2</v>
      </c>
      <c r="G128">
        <f t="shared" si="8"/>
        <v>0.86162000000000005</v>
      </c>
      <c r="H128">
        <f t="shared" si="9"/>
        <v>0.86162000000000005</v>
      </c>
      <c r="I128" s="5">
        <f t="shared" si="10"/>
        <v>1768</v>
      </c>
      <c r="J128">
        <f t="shared" si="11"/>
        <v>0.75609552694234272</v>
      </c>
      <c r="K128">
        <f t="shared" si="12"/>
        <v>1.8426752379705269</v>
      </c>
      <c r="P128">
        <f t="shared" si="13"/>
        <v>1</v>
      </c>
    </row>
    <row r="129" spans="1:16" x14ac:dyDescent="0.25">
      <c r="A129" s="1"/>
      <c r="B129" t="s">
        <v>143</v>
      </c>
      <c r="C129" t="s">
        <v>24</v>
      </c>
      <c r="D129" s="3">
        <v>5</v>
      </c>
      <c r="E129" s="5">
        <f t="shared" si="7"/>
        <v>1769</v>
      </c>
      <c r="F129">
        <v>0.32727000000000001</v>
      </c>
      <c r="G129">
        <f t="shared" si="8"/>
        <v>0.12131999999999993</v>
      </c>
      <c r="H129">
        <f t="shared" si="9"/>
        <v>0.12131999999999993</v>
      </c>
      <c r="I129" s="5">
        <f t="shared" si="10"/>
        <v>1769</v>
      </c>
      <c r="J129">
        <f t="shared" si="11"/>
        <v>0.47685702774134814</v>
      </c>
      <c r="K129">
        <f t="shared" si="12"/>
        <v>-3.2935156527798779</v>
      </c>
      <c r="P129">
        <f t="shared" si="13"/>
        <v>0</v>
      </c>
    </row>
    <row r="130" spans="1:16" x14ac:dyDescent="0.25">
      <c r="A130" s="1"/>
      <c r="B130" t="s">
        <v>144</v>
      </c>
      <c r="C130" t="s">
        <v>24</v>
      </c>
      <c r="D130" s="3">
        <v>5.041666666666667</v>
      </c>
      <c r="E130" s="5">
        <f t="shared" si="7"/>
        <v>1770</v>
      </c>
      <c r="F130">
        <v>0.84555999999999998</v>
      </c>
      <c r="G130">
        <f t="shared" si="8"/>
        <v>-0.67840999999999985</v>
      </c>
      <c r="H130">
        <f t="shared" si="9"/>
        <v>-0.67840999999999985</v>
      </c>
      <c r="I130" s="5">
        <f t="shared" si="10"/>
        <v>1770</v>
      </c>
      <c r="J130">
        <f t="shared" si="11"/>
        <v>0.24178357029100669</v>
      </c>
      <c r="K130">
        <f t="shared" si="12"/>
        <v>3.8379550650625616</v>
      </c>
      <c r="P130">
        <f t="shared" si="13"/>
        <v>1</v>
      </c>
    </row>
    <row r="131" spans="1:16" x14ac:dyDescent="0.25">
      <c r="A131" s="1"/>
      <c r="B131" t="s">
        <v>145</v>
      </c>
      <c r="C131" t="s">
        <v>24</v>
      </c>
      <c r="D131" s="3">
        <v>5.083333333333333</v>
      </c>
      <c r="E131" s="5">
        <f t="shared" si="7"/>
        <v>1771</v>
      </c>
      <c r="F131">
        <v>0.68544000000000005</v>
      </c>
      <c r="G131">
        <f t="shared" si="8"/>
        <v>-1.19834</v>
      </c>
      <c r="H131">
        <f t="shared" si="9"/>
        <v>-1.19834</v>
      </c>
      <c r="I131" s="5">
        <f t="shared" si="10"/>
        <v>1771</v>
      </c>
      <c r="J131">
        <f t="shared" si="11"/>
        <v>-0.16261439684136841</v>
      </c>
      <c r="K131">
        <f t="shared" si="12"/>
        <v>-3.891180336413905</v>
      </c>
      <c r="P131">
        <f t="shared" si="13"/>
        <v>1</v>
      </c>
    </row>
    <row r="132" spans="1:16" x14ac:dyDescent="0.25">
      <c r="A132" s="1"/>
      <c r="B132" t="s">
        <v>146</v>
      </c>
      <c r="C132" t="s">
        <v>24</v>
      </c>
      <c r="D132" s="3">
        <v>5.125</v>
      </c>
      <c r="E132" s="5">
        <f t="shared" si="7"/>
        <v>1772</v>
      </c>
      <c r="F132">
        <v>-0.67301999999999995</v>
      </c>
      <c r="G132">
        <f t="shared" si="8"/>
        <v>0.61890999999999985</v>
      </c>
      <c r="H132">
        <f t="shared" si="9"/>
        <v>0.61890999999999985</v>
      </c>
      <c r="I132" s="5">
        <f t="shared" si="10"/>
        <v>1772</v>
      </c>
      <c r="J132">
        <f t="shared" si="11"/>
        <v>9.7157157678424075E-2</v>
      </c>
      <c r="K132">
        <f t="shared" si="12"/>
        <v>1.7425121512960617</v>
      </c>
      <c r="P132">
        <f t="shared" si="13"/>
        <v>1</v>
      </c>
    </row>
    <row r="133" spans="1:16" x14ac:dyDescent="0.25">
      <c r="A133" s="1"/>
      <c r="B133" t="s">
        <v>147</v>
      </c>
      <c r="C133" t="s">
        <v>24</v>
      </c>
      <c r="D133" s="3">
        <v>5.166666666666667</v>
      </c>
      <c r="E133" s="5">
        <f t="shared" si="7"/>
        <v>1773</v>
      </c>
      <c r="F133">
        <v>-1.4125700000000001</v>
      </c>
      <c r="G133">
        <f t="shared" si="8"/>
        <v>1.9438000000000002</v>
      </c>
      <c r="H133">
        <f t="shared" si="9"/>
        <v>1.9438000000000002</v>
      </c>
      <c r="I133" s="5">
        <f t="shared" si="10"/>
        <v>1773</v>
      </c>
      <c r="J133">
        <f t="shared" si="11"/>
        <v>-0.33082058989864349</v>
      </c>
      <c r="K133">
        <f t="shared" si="12"/>
        <v>-0.65555832578776985</v>
      </c>
      <c r="P133">
        <f t="shared" si="13"/>
        <v>1</v>
      </c>
    </row>
    <row r="134" spans="1:16" x14ac:dyDescent="0.25">
      <c r="A134" s="1"/>
      <c r="B134" t="s">
        <v>148</v>
      </c>
      <c r="C134" t="s">
        <v>24</v>
      </c>
      <c r="D134" s="3">
        <v>5.208333333333333</v>
      </c>
      <c r="E134" s="5">
        <f t="shared" si="7"/>
        <v>1774</v>
      </c>
      <c r="F134">
        <v>-0.20832000000000001</v>
      </c>
      <c r="G134">
        <f t="shared" si="8"/>
        <v>-1.0641700000000001</v>
      </c>
      <c r="H134">
        <f t="shared" si="9"/>
        <v>-1.0641700000000001</v>
      </c>
      <c r="I134" s="5">
        <f t="shared" si="10"/>
        <v>1774</v>
      </c>
      <c r="J134">
        <f t="shared" si="11"/>
        <v>-1.2512350053179411</v>
      </c>
      <c r="K134">
        <f t="shared" si="12"/>
        <v>-2.3746893234956343</v>
      </c>
      <c r="P134">
        <f t="shared" si="13"/>
        <v>1</v>
      </c>
    </row>
    <row r="135" spans="1:16" x14ac:dyDescent="0.25">
      <c r="A135" s="1"/>
      <c r="B135" t="s">
        <v>149</v>
      </c>
      <c r="C135" t="s">
        <v>24</v>
      </c>
      <c r="D135" s="3">
        <v>5.25</v>
      </c>
      <c r="E135" s="5">
        <f t="shared" si="7"/>
        <v>1775</v>
      </c>
      <c r="F135">
        <v>-6.8239999999999995E-2</v>
      </c>
      <c r="G135">
        <f t="shared" si="8"/>
        <v>-0.52205999999999997</v>
      </c>
      <c r="H135">
        <f t="shared" si="9"/>
        <v>-0.52205999999999997</v>
      </c>
      <c r="I135" s="5">
        <f t="shared" si="10"/>
        <v>1775</v>
      </c>
      <c r="J135">
        <f t="shared" si="11"/>
        <v>-0.61126253583396717</v>
      </c>
      <c r="K135">
        <f t="shared" si="12"/>
        <v>2.7744655628763413</v>
      </c>
      <c r="P135">
        <f t="shared" si="13"/>
        <v>0</v>
      </c>
    </row>
    <row r="136" spans="1:16" x14ac:dyDescent="0.25">
      <c r="A136" s="1"/>
      <c r="B136" t="s">
        <v>150</v>
      </c>
      <c r="C136" t="s">
        <v>24</v>
      </c>
      <c r="D136" s="3">
        <v>5.291666666666667</v>
      </c>
      <c r="E136" s="5">
        <f t="shared" si="7"/>
        <v>1776</v>
      </c>
      <c r="F136">
        <v>-0.45022000000000001</v>
      </c>
      <c r="G136">
        <f t="shared" si="8"/>
        <v>0.28513000000000005</v>
      </c>
      <c r="H136">
        <f t="shared" si="9"/>
        <v>0.28513000000000005</v>
      </c>
      <c r="I136" s="5">
        <f t="shared" si="10"/>
        <v>1776</v>
      </c>
      <c r="J136">
        <f t="shared" si="11"/>
        <v>-0.29358615655737719</v>
      </c>
      <c r="K136">
        <f t="shared" si="12"/>
        <v>-4.4634611495232885</v>
      </c>
      <c r="P136">
        <f t="shared" si="13"/>
        <v>1</v>
      </c>
    </row>
    <row r="137" spans="1:16" x14ac:dyDescent="0.25">
      <c r="A137" s="1"/>
      <c r="B137" t="s">
        <v>151</v>
      </c>
      <c r="C137" t="s">
        <v>24</v>
      </c>
      <c r="D137" s="3">
        <v>5.333333333333333</v>
      </c>
      <c r="E137" s="5">
        <f t="shared" si="7"/>
        <v>1777</v>
      </c>
      <c r="F137">
        <v>-0.54706999999999995</v>
      </c>
      <c r="G137">
        <f t="shared" si="8"/>
        <v>-0.23581000000000013</v>
      </c>
      <c r="H137">
        <f t="shared" si="9"/>
        <v>-0.23581000000000013</v>
      </c>
      <c r="I137" s="5">
        <f t="shared" si="10"/>
        <v>1777</v>
      </c>
      <c r="J137">
        <f t="shared" si="11"/>
        <v>-0.74542521048188426</v>
      </c>
      <c r="K137">
        <f t="shared" si="12"/>
        <v>3.4158604657489358</v>
      </c>
      <c r="P137">
        <f t="shared" si="13"/>
        <v>0</v>
      </c>
    </row>
    <row r="138" spans="1:16" x14ac:dyDescent="0.25">
      <c r="A138" s="1"/>
      <c r="B138" t="s">
        <v>152</v>
      </c>
      <c r="C138" t="s">
        <v>24</v>
      </c>
      <c r="D138" s="3">
        <v>5.375</v>
      </c>
      <c r="E138" s="5">
        <f t="shared" si="7"/>
        <v>1778</v>
      </c>
      <c r="F138">
        <v>-0.87973000000000001</v>
      </c>
      <c r="G138">
        <f t="shared" si="8"/>
        <v>0.59026000000000012</v>
      </c>
      <c r="H138">
        <f t="shared" si="9"/>
        <v>0.59026000000000012</v>
      </c>
      <c r="I138" s="5">
        <f t="shared" si="10"/>
        <v>1778</v>
      </c>
      <c r="J138">
        <f t="shared" si="11"/>
        <v>-0.79947052108572958</v>
      </c>
      <c r="K138">
        <f t="shared" si="12"/>
        <v>-3.2361114265590314</v>
      </c>
      <c r="P138">
        <f t="shared" si="13"/>
        <v>1</v>
      </c>
    </row>
    <row r="139" spans="1:16" x14ac:dyDescent="0.25">
      <c r="A139" s="1"/>
      <c r="B139" t="s">
        <v>153</v>
      </c>
      <c r="C139" t="s">
        <v>24</v>
      </c>
      <c r="D139" s="3">
        <v>5.416666666666667</v>
      </c>
      <c r="E139" s="5">
        <f t="shared" si="7"/>
        <v>1779</v>
      </c>
      <c r="F139">
        <v>-0.62212999999999996</v>
      </c>
      <c r="G139">
        <f t="shared" si="8"/>
        <v>0.30409999999999993</v>
      </c>
      <c r="H139">
        <f t="shared" si="9"/>
        <v>0.30409999999999993</v>
      </c>
      <c r="I139" s="5">
        <f t="shared" si="10"/>
        <v>1779</v>
      </c>
      <c r="J139">
        <f t="shared" si="11"/>
        <v>-0.17305793629970076</v>
      </c>
      <c r="K139">
        <f t="shared" si="12"/>
        <v>1.5251737133285497</v>
      </c>
      <c r="P139">
        <f t="shared" si="13"/>
        <v>0</v>
      </c>
    </row>
    <row r="140" spans="1:16" x14ac:dyDescent="0.25">
      <c r="A140" s="1"/>
      <c r="B140" t="s">
        <v>154</v>
      </c>
      <c r="C140" t="s">
        <v>24</v>
      </c>
      <c r="D140" s="3">
        <v>5.458333333333333</v>
      </c>
      <c r="E140" s="5">
        <f t="shared" ref="E140:E203" si="14">+E139+1</f>
        <v>1780</v>
      </c>
      <c r="F140">
        <v>-6.0429999999999998E-2</v>
      </c>
      <c r="G140">
        <f t="shared" ref="G140:G203" si="15">+(F141-F140)-(F140-F139)</f>
        <v>-1.3107199999999999</v>
      </c>
      <c r="H140">
        <f t="shared" ref="H140:H203" si="16">+G140</f>
        <v>-1.3107199999999999</v>
      </c>
      <c r="I140" s="5">
        <f t="shared" si="10"/>
        <v>1780</v>
      </c>
      <c r="J140">
        <f t="shared" si="11"/>
        <v>-1.4082762961535502</v>
      </c>
      <c r="K140">
        <f t="shared" si="12"/>
        <v>-0.11840086825527993</v>
      </c>
      <c r="P140">
        <f t="shared" si="13"/>
        <v>1</v>
      </c>
    </row>
    <row r="141" spans="1:16" x14ac:dyDescent="0.25">
      <c r="A141" s="1"/>
      <c r="B141" t="s">
        <v>155</v>
      </c>
      <c r="C141" t="s">
        <v>24</v>
      </c>
      <c r="D141" s="3">
        <v>5.5</v>
      </c>
      <c r="E141" s="5">
        <f t="shared" si="14"/>
        <v>1781</v>
      </c>
      <c r="F141">
        <v>-0.80945</v>
      </c>
      <c r="G141">
        <f t="shared" si="15"/>
        <v>0.48418000000000005</v>
      </c>
      <c r="H141">
        <f t="shared" si="16"/>
        <v>0.48418000000000005</v>
      </c>
      <c r="I141" s="5">
        <f t="shared" ref="I141:I204" si="17">+E141</f>
        <v>1781</v>
      </c>
      <c r="J141">
        <f t="shared" ref="J141:J204" si="18">+$J$6*F141+F141*$J$7*COS(2*PI()*$I141/$K$6+$K$5*COS($J$5*$I141+$K$8)+$J$9)+H141+F141*$J$3*COS(2*PI()*$I141/$J$8+$K$3)</f>
        <v>-0.21784856092577534</v>
      </c>
      <c r="K141">
        <f t="shared" ref="K141:K204" si="19">+$K$8*COS(2*PI()*$I141/$K$6+$K$5*COS($J$5*$I141+$K$8)+$K$7) +$K$4*COS(2*PI()*$I141/$J$8+$J$4)</f>
        <v>-1.1870324369884013</v>
      </c>
      <c r="P141">
        <f t="shared" ref="P141:P204" si="20">+IF(J141*K141&gt;0,1, 0)</f>
        <v>1</v>
      </c>
    </row>
    <row r="142" spans="1:16" x14ac:dyDescent="0.25">
      <c r="A142" s="1"/>
      <c r="B142" t="s">
        <v>156</v>
      </c>
      <c r="C142" t="s">
        <v>24</v>
      </c>
      <c r="D142" s="3">
        <v>5.541666666666667</v>
      </c>
      <c r="E142" s="5">
        <f t="shared" si="14"/>
        <v>1782</v>
      </c>
      <c r="F142">
        <v>-1.07429</v>
      </c>
      <c r="G142">
        <f t="shared" si="15"/>
        <v>2.16337</v>
      </c>
      <c r="H142">
        <f t="shared" si="16"/>
        <v>2.16337</v>
      </c>
      <c r="I142" s="5">
        <f t="shared" si="17"/>
        <v>1782</v>
      </c>
      <c r="J142">
        <f t="shared" si="18"/>
        <v>0.64496161851537648</v>
      </c>
      <c r="K142">
        <f t="shared" si="19"/>
        <v>2.985653314850587</v>
      </c>
      <c r="P142">
        <f t="shared" si="20"/>
        <v>1</v>
      </c>
    </row>
    <row r="143" spans="1:16" x14ac:dyDescent="0.25">
      <c r="A143" s="1"/>
      <c r="B143" t="s">
        <v>157</v>
      </c>
      <c r="C143" t="s">
        <v>24</v>
      </c>
      <c r="D143" s="3">
        <v>5.583333333333333</v>
      </c>
      <c r="E143" s="5">
        <f t="shared" si="14"/>
        <v>1783</v>
      </c>
      <c r="F143">
        <v>0.82423999999999997</v>
      </c>
      <c r="G143">
        <f t="shared" si="15"/>
        <v>-1.2054200000000002</v>
      </c>
      <c r="H143">
        <f t="shared" si="16"/>
        <v>-1.2054200000000002</v>
      </c>
      <c r="I143" s="5">
        <f t="shared" si="17"/>
        <v>1783</v>
      </c>
      <c r="J143">
        <f t="shared" si="18"/>
        <v>-0.25224943482409218</v>
      </c>
      <c r="K143">
        <f t="shared" si="19"/>
        <v>-3.1775337430584067</v>
      </c>
      <c r="P143">
        <f t="shared" si="20"/>
        <v>1</v>
      </c>
    </row>
    <row r="144" spans="1:16" x14ac:dyDescent="0.25">
      <c r="A144" s="1"/>
      <c r="B144" t="s">
        <v>158</v>
      </c>
      <c r="C144" t="s">
        <v>24</v>
      </c>
      <c r="D144" s="3">
        <v>5.625</v>
      </c>
      <c r="E144" s="5">
        <f t="shared" si="14"/>
        <v>1784</v>
      </c>
      <c r="F144">
        <v>1.51735</v>
      </c>
      <c r="G144">
        <f t="shared" si="15"/>
        <v>-2.7677499999999999</v>
      </c>
      <c r="H144">
        <f t="shared" si="16"/>
        <v>-2.7677499999999999</v>
      </c>
      <c r="I144" s="5">
        <f t="shared" si="17"/>
        <v>1784</v>
      </c>
      <c r="J144">
        <f t="shared" si="18"/>
        <v>-1.1217400049498238</v>
      </c>
      <c r="K144">
        <f t="shared" si="19"/>
        <v>4.5110404618866236</v>
      </c>
      <c r="P144">
        <f t="shared" si="20"/>
        <v>0</v>
      </c>
    </row>
    <row r="145" spans="1:16" x14ac:dyDescent="0.25">
      <c r="A145" s="1"/>
      <c r="B145" t="s">
        <v>159</v>
      </c>
      <c r="C145" t="s">
        <v>24</v>
      </c>
      <c r="D145" s="3">
        <v>5.666666666666667</v>
      </c>
      <c r="E145" s="5">
        <f t="shared" si="14"/>
        <v>1785</v>
      </c>
      <c r="F145">
        <v>-0.55728999999999995</v>
      </c>
      <c r="G145">
        <f t="shared" si="15"/>
        <v>1.5596000000000001</v>
      </c>
      <c r="H145">
        <f t="shared" si="16"/>
        <v>1.5596000000000001</v>
      </c>
      <c r="I145" s="5">
        <f t="shared" si="17"/>
        <v>1785</v>
      </c>
      <c r="J145">
        <f t="shared" si="18"/>
        <v>0.72951275162056228</v>
      </c>
      <c r="K145">
        <f t="shared" si="19"/>
        <v>-3.2048995881277382</v>
      </c>
      <c r="P145">
        <f t="shared" si="20"/>
        <v>0</v>
      </c>
    </row>
    <row r="146" spans="1:16" x14ac:dyDescent="0.25">
      <c r="A146" s="1"/>
      <c r="B146" t="s">
        <v>160</v>
      </c>
      <c r="C146" t="s">
        <v>24</v>
      </c>
      <c r="D146" s="3">
        <v>5.708333333333333</v>
      </c>
      <c r="E146" s="5">
        <f t="shared" si="14"/>
        <v>1786</v>
      </c>
      <c r="F146">
        <v>-1.07233</v>
      </c>
      <c r="G146">
        <f t="shared" si="15"/>
        <v>1.5132400000000001</v>
      </c>
      <c r="H146">
        <f t="shared" si="16"/>
        <v>1.5132400000000001</v>
      </c>
      <c r="I146" s="5">
        <f t="shared" si="17"/>
        <v>1786</v>
      </c>
      <c r="J146">
        <f t="shared" si="18"/>
        <v>0.6416042264014008</v>
      </c>
      <c r="K146">
        <f t="shared" si="19"/>
        <v>3.2999132373522118</v>
      </c>
      <c r="P146">
        <f t="shared" si="20"/>
        <v>1</v>
      </c>
    </row>
    <row r="147" spans="1:16" x14ac:dyDescent="0.25">
      <c r="A147" s="1"/>
      <c r="B147" t="s">
        <v>161</v>
      </c>
      <c r="C147" t="s">
        <v>24</v>
      </c>
      <c r="D147" s="3">
        <v>5.75</v>
      </c>
      <c r="E147" s="5">
        <f t="shared" si="14"/>
        <v>1787</v>
      </c>
      <c r="F147">
        <v>-7.4130000000000001E-2</v>
      </c>
      <c r="G147">
        <f t="shared" si="15"/>
        <v>-0.81238999999999995</v>
      </c>
      <c r="H147">
        <f t="shared" si="16"/>
        <v>-0.81238999999999995</v>
      </c>
      <c r="I147" s="5">
        <f t="shared" si="17"/>
        <v>1787</v>
      </c>
      <c r="J147">
        <f t="shared" si="18"/>
        <v>-0.93404781290694849</v>
      </c>
      <c r="K147">
        <f t="shared" si="19"/>
        <v>-0.68894492272084573</v>
      </c>
      <c r="P147">
        <f t="shared" si="20"/>
        <v>1</v>
      </c>
    </row>
    <row r="148" spans="1:16" x14ac:dyDescent="0.25">
      <c r="A148" s="1"/>
      <c r="B148" t="s">
        <v>162</v>
      </c>
      <c r="C148" t="s">
        <v>24</v>
      </c>
      <c r="D148" s="3">
        <v>5.791666666666667</v>
      </c>
      <c r="E148" s="5">
        <f t="shared" si="14"/>
        <v>1788</v>
      </c>
      <c r="F148">
        <v>0.11168</v>
      </c>
      <c r="G148">
        <f t="shared" si="15"/>
        <v>-1.2239200000000001</v>
      </c>
      <c r="H148">
        <f t="shared" si="16"/>
        <v>-1.2239200000000001</v>
      </c>
      <c r="I148" s="5">
        <f t="shared" si="17"/>
        <v>1788</v>
      </c>
      <c r="J148">
        <f t="shared" si="18"/>
        <v>-1.1307676029725402</v>
      </c>
      <c r="K148">
        <f t="shared" si="19"/>
        <v>-0.39004933781811313</v>
      </c>
      <c r="P148">
        <f t="shared" si="20"/>
        <v>1</v>
      </c>
    </row>
    <row r="149" spans="1:16" x14ac:dyDescent="0.25">
      <c r="A149" s="1"/>
      <c r="B149" t="s">
        <v>163</v>
      </c>
      <c r="C149" t="s">
        <v>24</v>
      </c>
      <c r="D149" s="3">
        <v>5.833333333333333</v>
      </c>
      <c r="E149" s="5">
        <f t="shared" si="14"/>
        <v>1789</v>
      </c>
      <c r="F149">
        <v>-0.92642999999999998</v>
      </c>
      <c r="G149">
        <f t="shared" si="15"/>
        <v>0.5069800000000001</v>
      </c>
      <c r="H149">
        <f t="shared" si="16"/>
        <v>0.5069800000000001</v>
      </c>
      <c r="I149" s="5">
        <f t="shared" si="17"/>
        <v>1789</v>
      </c>
      <c r="J149">
        <f t="shared" si="18"/>
        <v>-0.81177568785051246</v>
      </c>
      <c r="K149">
        <f t="shared" si="19"/>
        <v>2.8637018068946505</v>
      </c>
      <c r="P149">
        <f t="shared" si="20"/>
        <v>0</v>
      </c>
    </row>
    <row r="150" spans="1:16" x14ac:dyDescent="0.25">
      <c r="A150" s="1"/>
      <c r="B150" t="s">
        <v>164</v>
      </c>
      <c r="C150" t="s">
        <v>24</v>
      </c>
      <c r="D150" s="3">
        <v>5.875</v>
      </c>
      <c r="E150" s="5">
        <f t="shared" si="14"/>
        <v>1790</v>
      </c>
      <c r="F150">
        <v>-1.45756</v>
      </c>
      <c r="G150">
        <f t="shared" si="15"/>
        <v>3.2947699999999998</v>
      </c>
      <c r="H150">
        <f t="shared" si="16"/>
        <v>3.2947699999999998</v>
      </c>
      <c r="I150" s="5">
        <f t="shared" si="17"/>
        <v>1790</v>
      </c>
      <c r="J150">
        <f t="shared" si="18"/>
        <v>1.5385118360041341</v>
      </c>
      <c r="K150">
        <f t="shared" si="19"/>
        <v>-3.6684165279611092</v>
      </c>
      <c r="P150">
        <f t="shared" si="20"/>
        <v>0</v>
      </c>
    </row>
    <row r="151" spans="1:16" x14ac:dyDescent="0.25">
      <c r="A151" s="1"/>
      <c r="B151" t="s">
        <v>165</v>
      </c>
      <c r="C151" t="s">
        <v>24</v>
      </c>
      <c r="D151" s="3">
        <v>5.916666666666667</v>
      </c>
      <c r="E151" s="5">
        <f t="shared" si="14"/>
        <v>1791</v>
      </c>
      <c r="F151">
        <v>1.3060799999999999</v>
      </c>
      <c r="G151">
        <f t="shared" si="15"/>
        <v>-1.8857299999999995</v>
      </c>
      <c r="H151">
        <f t="shared" si="16"/>
        <v>-1.8857299999999995</v>
      </c>
      <c r="I151" s="5">
        <f t="shared" si="17"/>
        <v>1791</v>
      </c>
      <c r="J151">
        <f t="shared" si="18"/>
        <v>-0.60574611237413001</v>
      </c>
      <c r="K151">
        <f t="shared" si="19"/>
        <v>3.8938833046313217</v>
      </c>
      <c r="P151">
        <f t="shared" si="20"/>
        <v>0</v>
      </c>
    </row>
    <row r="152" spans="1:16" x14ac:dyDescent="0.25">
      <c r="A152" s="1"/>
      <c r="B152" t="s">
        <v>166</v>
      </c>
      <c r="C152" t="s">
        <v>24</v>
      </c>
      <c r="D152" s="3">
        <v>5.958333333333333</v>
      </c>
      <c r="E152" s="5">
        <f t="shared" si="14"/>
        <v>1792</v>
      </c>
      <c r="F152">
        <v>2.1839900000000001</v>
      </c>
      <c r="G152">
        <f t="shared" si="15"/>
        <v>-1.3871000000000002</v>
      </c>
      <c r="H152">
        <f t="shared" si="16"/>
        <v>-1.3871000000000002</v>
      </c>
      <c r="I152" s="5">
        <f t="shared" si="17"/>
        <v>1792</v>
      </c>
      <c r="J152">
        <f t="shared" si="18"/>
        <v>2.069663244969083</v>
      </c>
      <c r="K152">
        <f t="shared" si="19"/>
        <v>-3.1543783048770861</v>
      </c>
      <c r="P152">
        <f t="shared" si="20"/>
        <v>0</v>
      </c>
    </row>
    <row r="153" spans="1:16" x14ac:dyDescent="0.25">
      <c r="A153" s="1"/>
      <c r="B153" t="s">
        <v>167</v>
      </c>
      <c r="C153" t="s">
        <v>24</v>
      </c>
      <c r="D153" s="3">
        <v>6</v>
      </c>
      <c r="E153" s="5">
        <f t="shared" si="14"/>
        <v>1793</v>
      </c>
      <c r="F153">
        <v>1.6748000000000001</v>
      </c>
      <c r="G153">
        <f t="shared" si="15"/>
        <v>-0.90332000000000012</v>
      </c>
      <c r="H153">
        <f t="shared" si="16"/>
        <v>-0.90332000000000012</v>
      </c>
      <c r="I153" s="5">
        <f t="shared" si="17"/>
        <v>1793</v>
      </c>
      <c r="J153">
        <f t="shared" si="18"/>
        <v>0.37898407790062838</v>
      </c>
      <c r="K153">
        <f t="shared" si="19"/>
        <v>0.83768615618841813</v>
      </c>
      <c r="P153">
        <f t="shared" si="20"/>
        <v>1</v>
      </c>
    </row>
    <row r="154" spans="1:16" x14ac:dyDescent="0.25">
      <c r="A154" s="1"/>
      <c r="B154" t="s">
        <v>168</v>
      </c>
      <c r="C154" t="s">
        <v>24</v>
      </c>
      <c r="D154" s="3">
        <v>6.041666666666667</v>
      </c>
      <c r="E154" s="5">
        <f t="shared" si="14"/>
        <v>1794</v>
      </c>
      <c r="F154">
        <v>0.26229000000000002</v>
      </c>
      <c r="G154">
        <f t="shared" si="15"/>
        <v>1.7649700000000001</v>
      </c>
      <c r="H154">
        <f t="shared" si="16"/>
        <v>1.7649700000000001</v>
      </c>
      <c r="I154" s="5">
        <f t="shared" si="17"/>
        <v>1794</v>
      </c>
      <c r="J154">
        <f t="shared" si="18"/>
        <v>2.1746850225463512</v>
      </c>
      <c r="K154">
        <f t="shared" si="19"/>
        <v>0.48120661852553581</v>
      </c>
      <c r="P154">
        <f t="shared" si="20"/>
        <v>1</v>
      </c>
    </row>
    <row r="155" spans="1:16" x14ac:dyDescent="0.25">
      <c r="A155" s="1"/>
      <c r="B155" t="s">
        <v>169</v>
      </c>
      <c r="C155" t="s">
        <v>24</v>
      </c>
      <c r="D155" s="3">
        <v>6.083333333333333</v>
      </c>
      <c r="E155" s="5">
        <f t="shared" si="14"/>
        <v>1795</v>
      </c>
      <c r="F155">
        <v>0.61475000000000002</v>
      </c>
      <c r="G155">
        <f t="shared" si="15"/>
        <v>-0.77715000000000001</v>
      </c>
      <c r="H155">
        <f t="shared" si="16"/>
        <v>-0.77715000000000001</v>
      </c>
      <c r="I155" s="5">
        <f t="shared" si="17"/>
        <v>1795</v>
      </c>
      <c r="J155">
        <f t="shared" si="18"/>
        <v>-0.1678120417302989</v>
      </c>
      <c r="K155">
        <f t="shared" si="19"/>
        <v>-3.2130838204408683</v>
      </c>
      <c r="P155">
        <f t="shared" si="20"/>
        <v>1</v>
      </c>
    </row>
    <row r="156" spans="1:16" x14ac:dyDescent="0.25">
      <c r="A156" s="1"/>
      <c r="B156" t="s">
        <v>170</v>
      </c>
      <c r="C156" t="s">
        <v>24</v>
      </c>
      <c r="D156" s="3">
        <v>6.125</v>
      </c>
      <c r="E156" s="5">
        <f t="shared" si="14"/>
        <v>1796</v>
      </c>
      <c r="F156">
        <v>0.19006000000000001</v>
      </c>
      <c r="G156">
        <f t="shared" si="15"/>
        <v>-0.57364000000000004</v>
      </c>
      <c r="H156">
        <f t="shared" si="16"/>
        <v>-0.57364000000000004</v>
      </c>
      <c r="I156" s="5">
        <f t="shared" si="17"/>
        <v>1796</v>
      </c>
      <c r="J156">
        <f t="shared" si="18"/>
        <v>-0.34607546315543997</v>
      </c>
      <c r="K156">
        <f t="shared" si="19"/>
        <v>3.2351870869691268</v>
      </c>
      <c r="P156">
        <f t="shared" si="20"/>
        <v>0</v>
      </c>
    </row>
    <row r="157" spans="1:16" x14ac:dyDescent="0.25">
      <c r="A157" s="1"/>
      <c r="B157" t="s">
        <v>171</v>
      </c>
      <c r="C157" t="s">
        <v>24</v>
      </c>
      <c r="D157" s="3">
        <v>6.166666666666667</v>
      </c>
      <c r="E157" s="5">
        <f t="shared" si="14"/>
        <v>1797</v>
      </c>
      <c r="F157">
        <v>-0.80827000000000004</v>
      </c>
      <c r="G157">
        <f t="shared" si="15"/>
        <v>0.9987100000000001</v>
      </c>
      <c r="H157">
        <f t="shared" si="16"/>
        <v>0.9987100000000001</v>
      </c>
      <c r="I157" s="5">
        <f t="shared" si="17"/>
        <v>1797</v>
      </c>
      <c r="J157">
        <f t="shared" si="18"/>
        <v>-0.12233371903984779</v>
      </c>
      <c r="K157">
        <f t="shared" si="19"/>
        <v>-4.5116466821176999</v>
      </c>
      <c r="P157">
        <f t="shared" si="20"/>
        <v>1</v>
      </c>
    </row>
    <row r="158" spans="1:16" x14ac:dyDescent="0.25">
      <c r="A158" s="1"/>
      <c r="B158" t="s">
        <v>172</v>
      </c>
      <c r="C158" t="s">
        <v>24</v>
      </c>
      <c r="D158" s="3">
        <v>6.208333333333333</v>
      </c>
      <c r="E158" s="5">
        <f t="shared" si="14"/>
        <v>1798</v>
      </c>
      <c r="F158">
        <v>-0.80789</v>
      </c>
      <c r="G158">
        <f t="shared" si="15"/>
        <v>1.6793199999999999</v>
      </c>
      <c r="H158">
        <f t="shared" si="16"/>
        <v>1.6793199999999999</v>
      </c>
      <c r="I158" s="5">
        <f t="shared" si="17"/>
        <v>1798</v>
      </c>
      <c r="J158">
        <f t="shared" si="18"/>
        <v>0.98748831584101127</v>
      </c>
      <c r="K158">
        <f t="shared" si="19"/>
        <v>2.9314831261019556</v>
      </c>
      <c r="P158">
        <f t="shared" si="20"/>
        <v>1</v>
      </c>
    </row>
    <row r="159" spans="1:16" x14ac:dyDescent="0.25">
      <c r="A159" s="1"/>
      <c r="B159" t="s">
        <v>173</v>
      </c>
      <c r="C159" t="s">
        <v>24</v>
      </c>
      <c r="D159" s="3">
        <v>6.25</v>
      </c>
      <c r="E159" s="5">
        <f t="shared" si="14"/>
        <v>1799</v>
      </c>
      <c r="F159">
        <v>0.87180999999999997</v>
      </c>
      <c r="G159">
        <f t="shared" si="15"/>
        <v>-1.5446</v>
      </c>
      <c r="H159">
        <f t="shared" si="16"/>
        <v>-1.5446</v>
      </c>
      <c r="I159" s="5">
        <f t="shared" si="17"/>
        <v>1799</v>
      </c>
      <c r="J159">
        <f t="shared" si="18"/>
        <v>-0.13597981207527543</v>
      </c>
      <c r="K159">
        <f t="shared" si="19"/>
        <v>-2.6241865257418127</v>
      </c>
      <c r="P159">
        <f t="shared" si="20"/>
        <v>1</v>
      </c>
    </row>
    <row r="160" spans="1:16" x14ac:dyDescent="0.25">
      <c r="A160" s="1"/>
      <c r="B160" t="s">
        <v>174</v>
      </c>
      <c r="C160" t="s">
        <v>24</v>
      </c>
      <c r="D160" s="3">
        <v>6.291666666666667</v>
      </c>
      <c r="E160" s="5">
        <f t="shared" si="14"/>
        <v>1800</v>
      </c>
      <c r="F160">
        <v>1.00691</v>
      </c>
      <c r="G160">
        <f t="shared" si="15"/>
        <v>-2.2700099999999996</v>
      </c>
      <c r="H160">
        <f t="shared" si="16"/>
        <v>-2.2700099999999996</v>
      </c>
      <c r="I160" s="5">
        <f t="shared" si="17"/>
        <v>1800</v>
      </c>
      <c r="J160">
        <f t="shared" si="18"/>
        <v>-1.4961586954070287</v>
      </c>
      <c r="K160">
        <f t="shared" si="19"/>
        <v>0.53121962978030468</v>
      </c>
      <c r="P160">
        <f t="shared" si="20"/>
        <v>0</v>
      </c>
    </row>
    <row r="161" spans="1:16" x14ac:dyDescent="0.25">
      <c r="A161" s="1"/>
      <c r="B161" t="s">
        <v>175</v>
      </c>
      <c r="C161" t="s">
        <v>24</v>
      </c>
      <c r="D161" s="3">
        <v>6.333333333333333</v>
      </c>
      <c r="E161" s="5">
        <f t="shared" si="14"/>
        <v>1801</v>
      </c>
      <c r="F161">
        <v>-1.1279999999999999</v>
      </c>
      <c r="G161">
        <f t="shared" si="15"/>
        <v>2.4182199999999994</v>
      </c>
      <c r="H161">
        <f t="shared" si="16"/>
        <v>2.4182199999999994</v>
      </c>
      <c r="I161" s="5">
        <f t="shared" si="17"/>
        <v>1801</v>
      </c>
      <c r="J161">
        <f t="shared" si="18"/>
        <v>0.64373971726307277</v>
      </c>
      <c r="K161">
        <f t="shared" si="19"/>
        <v>0.6609683161893275</v>
      </c>
      <c r="P161">
        <f t="shared" si="20"/>
        <v>1</v>
      </c>
    </row>
    <row r="162" spans="1:16" x14ac:dyDescent="0.25">
      <c r="A162" s="1"/>
      <c r="B162" t="s">
        <v>176</v>
      </c>
      <c r="C162" t="s">
        <v>24</v>
      </c>
      <c r="D162" s="3">
        <v>6.375</v>
      </c>
      <c r="E162" s="5">
        <f t="shared" si="14"/>
        <v>1802</v>
      </c>
      <c r="F162">
        <v>-0.84469000000000005</v>
      </c>
      <c r="G162">
        <f t="shared" si="15"/>
        <v>0.33026000000000022</v>
      </c>
      <c r="H162">
        <f t="shared" si="16"/>
        <v>0.33026000000000022</v>
      </c>
      <c r="I162" s="5">
        <f t="shared" si="17"/>
        <v>1802</v>
      </c>
      <c r="J162">
        <f t="shared" si="18"/>
        <v>-0.46013907337469451</v>
      </c>
      <c r="K162">
        <f t="shared" si="19"/>
        <v>-2.1194451269375651</v>
      </c>
      <c r="P162">
        <f t="shared" si="20"/>
        <v>1</v>
      </c>
    </row>
    <row r="163" spans="1:16" x14ac:dyDescent="0.25">
      <c r="A163" s="1"/>
      <c r="B163" t="s">
        <v>177</v>
      </c>
      <c r="C163" t="s">
        <v>24</v>
      </c>
      <c r="D163" s="3">
        <v>6.416666666666667</v>
      </c>
      <c r="E163" s="5">
        <f t="shared" si="14"/>
        <v>1803</v>
      </c>
      <c r="F163">
        <v>-0.23111999999999999</v>
      </c>
      <c r="G163">
        <f t="shared" si="15"/>
        <v>0.74812999999999985</v>
      </c>
      <c r="H163">
        <f t="shared" si="16"/>
        <v>0.74812999999999985</v>
      </c>
      <c r="I163" s="5">
        <f t="shared" si="17"/>
        <v>1803</v>
      </c>
      <c r="J163">
        <f t="shared" si="18"/>
        <v>0.44279496891664416</v>
      </c>
      <c r="K163">
        <f t="shared" si="19"/>
        <v>3.4808158758643262</v>
      </c>
      <c r="P163">
        <f t="shared" si="20"/>
        <v>1</v>
      </c>
    </row>
    <row r="164" spans="1:16" x14ac:dyDescent="0.25">
      <c r="A164" s="1"/>
      <c r="B164" t="s">
        <v>178</v>
      </c>
      <c r="C164" t="s">
        <v>24</v>
      </c>
      <c r="D164" s="3">
        <v>6.458333333333333</v>
      </c>
      <c r="E164" s="5">
        <f t="shared" si="14"/>
        <v>1804</v>
      </c>
      <c r="F164">
        <v>1.1305799999999999</v>
      </c>
      <c r="G164">
        <f t="shared" si="15"/>
        <v>-3.59389</v>
      </c>
      <c r="H164">
        <f t="shared" si="16"/>
        <v>-3.59389</v>
      </c>
      <c r="I164" s="5">
        <f t="shared" si="17"/>
        <v>1804</v>
      </c>
      <c r="J164">
        <f t="shared" si="18"/>
        <v>-2.1751865784398765</v>
      </c>
      <c r="K164">
        <f t="shared" si="19"/>
        <v>-3.5727159682448826</v>
      </c>
      <c r="P164">
        <f t="shared" si="20"/>
        <v>1</v>
      </c>
    </row>
    <row r="165" spans="1:16" x14ac:dyDescent="0.25">
      <c r="A165" s="1"/>
      <c r="B165" t="s">
        <v>179</v>
      </c>
      <c r="C165" t="s">
        <v>24</v>
      </c>
      <c r="D165" s="3">
        <v>6.5</v>
      </c>
      <c r="E165" s="5">
        <f t="shared" si="14"/>
        <v>1805</v>
      </c>
      <c r="F165">
        <v>-1.10161</v>
      </c>
      <c r="G165">
        <f t="shared" si="15"/>
        <v>2.3978600000000001</v>
      </c>
      <c r="H165">
        <f t="shared" si="16"/>
        <v>2.3978600000000001</v>
      </c>
      <c r="I165" s="5">
        <f t="shared" si="17"/>
        <v>1805</v>
      </c>
      <c r="J165">
        <f t="shared" si="18"/>
        <v>1.3072141065706384</v>
      </c>
      <c r="K165">
        <f t="shared" si="19"/>
        <v>4.3906494218182841</v>
      </c>
      <c r="P165">
        <f t="shared" si="20"/>
        <v>1</v>
      </c>
    </row>
    <row r="166" spans="1:16" x14ac:dyDescent="0.25">
      <c r="A166" s="1"/>
      <c r="B166" t="s">
        <v>180</v>
      </c>
      <c r="C166" t="s">
        <v>24</v>
      </c>
      <c r="D166" s="3">
        <v>6.541666666666667</v>
      </c>
      <c r="E166" s="5">
        <f t="shared" si="14"/>
        <v>1806</v>
      </c>
      <c r="F166">
        <v>-0.93593999999999999</v>
      </c>
      <c r="G166">
        <f t="shared" si="15"/>
        <v>1.1355599999999999</v>
      </c>
      <c r="H166">
        <f t="shared" si="16"/>
        <v>1.1355599999999999</v>
      </c>
      <c r="I166" s="5">
        <f t="shared" si="17"/>
        <v>1806</v>
      </c>
      <c r="J166">
        <f t="shared" si="18"/>
        <v>-0.32441627694103209</v>
      </c>
      <c r="K166">
        <f t="shared" si="19"/>
        <v>-2.7747805755504977</v>
      </c>
      <c r="P166">
        <f t="shared" si="20"/>
        <v>1</v>
      </c>
    </row>
    <row r="167" spans="1:16" x14ac:dyDescent="0.25">
      <c r="A167" s="1"/>
      <c r="B167" t="s">
        <v>181</v>
      </c>
      <c r="C167" t="s">
        <v>24</v>
      </c>
      <c r="D167" s="3">
        <v>6.583333333333333</v>
      </c>
      <c r="E167" s="5">
        <f t="shared" si="14"/>
        <v>1807</v>
      </c>
      <c r="F167">
        <v>0.36529</v>
      </c>
      <c r="G167">
        <f t="shared" si="15"/>
        <v>-2.5386899999999999</v>
      </c>
      <c r="H167">
        <f t="shared" si="16"/>
        <v>-2.5386899999999999</v>
      </c>
      <c r="I167" s="5">
        <f t="shared" si="17"/>
        <v>1807</v>
      </c>
      <c r="J167">
        <f t="shared" si="18"/>
        <v>-2.2533859541188943</v>
      </c>
      <c r="K167">
        <f t="shared" si="19"/>
        <v>2.5057166753969997</v>
      </c>
      <c r="P167">
        <f t="shared" si="20"/>
        <v>0</v>
      </c>
    </row>
    <row r="168" spans="1:16" x14ac:dyDescent="0.25">
      <c r="A168" s="1"/>
      <c r="B168" t="s">
        <v>182</v>
      </c>
      <c r="C168" t="s">
        <v>24</v>
      </c>
      <c r="D168" s="3">
        <v>6.625</v>
      </c>
      <c r="E168" s="5">
        <f t="shared" si="14"/>
        <v>1808</v>
      </c>
      <c r="F168">
        <v>-0.87217</v>
      </c>
      <c r="G168">
        <f t="shared" si="15"/>
        <v>1.8944000000000001</v>
      </c>
      <c r="H168">
        <f t="shared" si="16"/>
        <v>1.8944000000000001</v>
      </c>
      <c r="I168" s="5">
        <f t="shared" si="17"/>
        <v>1808</v>
      </c>
      <c r="J168">
        <f t="shared" si="18"/>
        <v>0.47955006719892695</v>
      </c>
      <c r="K168">
        <f t="shared" si="19"/>
        <v>0.3739965203860699</v>
      </c>
      <c r="P168">
        <f t="shared" si="20"/>
        <v>1</v>
      </c>
    </row>
    <row r="169" spans="1:16" x14ac:dyDescent="0.25">
      <c r="A169" s="1"/>
      <c r="B169" t="s">
        <v>183</v>
      </c>
      <c r="C169" t="s">
        <v>24</v>
      </c>
      <c r="D169" s="3">
        <v>6.666666666666667</v>
      </c>
      <c r="E169" s="5">
        <f t="shared" si="14"/>
        <v>1809</v>
      </c>
      <c r="F169">
        <v>-0.21523</v>
      </c>
      <c r="G169">
        <f t="shared" si="15"/>
        <v>-0.44238</v>
      </c>
      <c r="H169">
        <f t="shared" si="16"/>
        <v>-0.44238</v>
      </c>
      <c r="I169" s="5">
        <f t="shared" si="17"/>
        <v>1809</v>
      </c>
      <c r="J169">
        <f t="shared" si="18"/>
        <v>-0.63728647531223082</v>
      </c>
      <c r="K169">
        <f t="shared" si="19"/>
        <v>-1.3157618640223108</v>
      </c>
      <c r="P169">
        <f t="shared" si="20"/>
        <v>1</v>
      </c>
    </row>
    <row r="170" spans="1:16" x14ac:dyDescent="0.25">
      <c r="A170" s="1"/>
      <c r="B170" t="s">
        <v>184</v>
      </c>
      <c r="C170" t="s">
        <v>24</v>
      </c>
      <c r="D170" s="3">
        <v>6.708333333333333</v>
      </c>
      <c r="E170" s="5">
        <f t="shared" si="14"/>
        <v>1810</v>
      </c>
      <c r="F170">
        <v>-6.7000000000000002E-4</v>
      </c>
      <c r="G170">
        <f t="shared" si="15"/>
        <v>-0.71382000000000001</v>
      </c>
      <c r="H170">
        <f t="shared" si="16"/>
        <v>-0.71382000000000001</v>
      </c>
      <c r="I170" s="5">
        <f t="shared" si="17"/>
        <v>1810</v>
      </c>
      <c r="J170">
        <f t="shared" si="18"/>
        <v>-0.71470201164638925</v>
      </c>
      <c r="K170">
        <f t="shared" si="19"/>
        <v>3.6874384220818244</v>
      </c>
      <c r="P170">
        <f t="shared" si="20"/>
        <v>0</v>
      </c>
    </row>
    <row r="171" spans="1:16" x14ac:dyDescent="0.25">
      <c r="A171" s="1"/>
      <c r="B171" t="s">
        <v>185</v>
      </c>
      <c r="C171" t="s">
        <v>24</v>
      </c>
      <c r="D171" s="3">
        <v>6.75</v>
      </c>
      <c r="E171" s="5">
        <f t="shared" si="14"/>
        <v>1811</v>
      </c>
      <c r="F171">
        <v>-0.49992999999999999</v>
      </c>
      <c r="G171">
        <f t="shared" si="15"/>
        <v>0.46398</v>
      </c>
      <c r="H171">
        <f t="shared" si="16"/>
        <v>0.46398</v>
      </c>
      <c r="I171" s="5">
        <f t="shared" si="17"/>
        <v>1811</v>
      </c>
      <c r="J171">
        <f t="shared" si="18"/>
        <v>-0.19779291530262325</v>
      </c>
      <c r="K171">
        <f t="shared" si="19"/>
        <v>-3.7686800086525234</v>
      </c>
      <c r="P171">
        <f t="shared" si="20"/>
        <v>1</v>
      </c>
    </row>
    <row r="172" spans="1:16" x14ac:dyDescent="0.25">
      <c r="A172" s="1"/>
      <c r="B172" t="s">
        <v>186</v>
      </c>
      <c r="C172" t="s">
        <v>24</v>
      </c>
      <c r="D172" s="3">
        <v>6.791666666666667</v>
      </c>
      <c r="E172" s="5">
        <f t="shared" si="14"/>
        <v>1812</v>
      </c>
      <c r="F172">
        <v>-0.53520999999999996</v>
      </c>
      <c r="G172">
        <f t="shared" si="15"/>
        <v>-0.15298</v>
      </c>
      <c r="H172">
        <f t="shared" si="16"/>
        <v>-0.15298</v>
      </c>
      <c r="I172" s="5">
        <f t="shared" si="17"/>
        <v>1812</v>
      </c>
      <c r="J172">
        <f t="shared" si="18"/>
        <v>-0.62849419059818534</v>
      </c>
      <c r="K172">
        <f t="shared" si="19"/>
        <v>3.6538147561918439</v>
      </c>
      <c r="P172">
        <f t="shared" si="20"/>
        <v>0</v>
      </c>
    </row>
    <row r="173" spans="1:16" x14ac:dyDescent="0.25">
      <c r="A173" s="1"/>
      <c r="B173" t="s">
        <v>187</v>
      </c>
      <c r="C173" t="s">
        <v>24</v>
      </c>
      <c r="D173" s="3">
        <v>6.833333333333333</v>
      </c>
      <c r="E173" s="5">
        <f t="shared" si="14"/>
        <v>1813</v>
      </c>
      <c r="F173">
        <v>-0.72346999999999995</v>
      </c>
      <c r="G173">
        <f t="shared" si="15"/>
        <v>1.4404699999999999</v>
      </c>
      <c r="H173">
        <f t="shared" si="16"/>
        <v>1.4404699999999999</v>
      </c>
      <c r="I173" s="5">
        <f t="shared" si="17"/>
        <v>1813</v>
      </c>
      <c r="J173">
        <f t="shared" si="18"/>
        <v>0.26441603766556648</v>
      </c>
      <c r="K173">
        <f t="shared" si="19"/>
        <v>-2.1841952352058689</v>
      </c>
      <c r="P173">
        <f t="shared" si="20"/>
        <v>0</v>
      </c>
    </row>
    <row r="174" spans="1:16" x14ac:dyDescent="0.25">
      <c r="A174" s="1"/>
      <c r="B174" t="s">
        <v>188</v>
      </c>
      <c r="C174" t="s">
        <v>24</v>
      </c>
      <c r="D174" s="3">
        <v>6.875</v>
      </c>
      <c r="E174" s="5">
        <f t="shared" si="14"/>
        <v>1814</v>
      </c>
      <c r="F174">
        <v>0.52873999999999999</v>
      </c>
      <c r="G174">
        <f t="shared" si="15"/>
        <v>-0.60739999999999972</v>
      </c>
      <c r="H174">
        <f t="shared" si="16"/>
        <v>-0.60739999999999972</v>
      </c>
      <c r="I174" s="5">
        <f t="shared" si="17"/>
        <v>1814</v>
      </c>
      <c r="J174">
        <f t="shared" si="18"/>
        <v>-0.19054992232062506</v>
      </c>
      <c r="K174">
        <f t="shared" si="19"/>
        <v>-0.13204634229862194</v>
      </c>
      <c r="P174">
        <f t="shared" si="20"/>
        <v>1</v>
      </c>
    </row>
    <row r="175" spans="1:16" x14ac:dyDescent="0.25">
      <c r="A175" s="1"/>
      <c r="B175" t="s">
        <v>189</v>
      </c>
      <c r="C175" t="s">
        <v>24</v>
      </c>
      <c r="D175" s="3">
        <v>6.916666666666667</v>
      </c>
      <c r="E175" s="5">
        <f t="shared" si="14"/>
        <v>1815</v>
      </c>
      <c r="F175">
        <v>1.1735500000000001</v>
      </c>
      <c r="G175">
        <f t="shared" si="15"/>
        <v>-0.10818000000000016</v>
      </c>
      <c r="H175">
        <f t="shared" si="16"/>
        <v>-0.10818000000000016</v>
      </c>
      <c r="I175" s="5">
        <f t="shared" si="17"/>
        <v>1815</v>
      </c>
      <c r="J175">
        <f t="shared" si="18"/>
        <v>1.638352169175632</v>
      </c>
      <c r="K175">
        <f t="shared" si="19"/>
        <v>1.5689734250327221</v>
      </c>
      <c r="P175">
        <f t="shared" si="20"/>
        <v>1</v>
      </c>
    </row>
    <row r="176" spans="1:16" x14ac:dyDescent="0.25">
      <c r="A176" s="1"/>
      <c r="B176" t="s">
        <v>190</v>
      </c>
      <c r="C176" t="s">
        <v>24</v>
      </c>
      <c r="D176" s="3">
        <v>6.958333333333333</v>
      </c>
      <c r="E176" s="5">
        <f t="shared" si="14"/>
        <v>1816</v>
      </c>
      <c r="F176">
        <v>1.71018</v>
      </c>
      <c r="G176">
        <f t="shared" si="15"/>
        <v>-1.95078</v>
      </c>
      <c r="H176">
        <f t="shared" si="16"/>
        <v>-1.95078</v>
      </c>
      <c r="I176" s="5">
        <f t="shared" si="17"/>
        <v>1816</v>
      </c>
      <c r="J176">
        <f t="shared" si="18"/>
        <v>-7.2991107431968946E-2</v>
      </c>
      <c r="K176">
        <f t="shared" si="19"/>
        <v>-3.8322078202685872</v>
      </c>
      <c r="P176">
        <f t="shared" si="20"/>
        <v>1</v>
      </c>
    </row>
    <row r="177" spans="1:16" x14ac:dyDescent="0.25">
      <c r="A177" s="1"/>
      <c r="B177" t="s">
        <v>191</v>
      </c>
      <c r="C177" t="s">
        <v>24</v>
      </c>
      <c r="D177" s="3">
        <v>7</v>
      </c>
      <c r="E177" s="5">
        <f t="shared" si="14"/>
        <v>1817</v>
      </c>
      <c r="F177">
        <v>0.29603000000000002</v>
      </c>
      <c r="G177">
        <f t="shared" si="15"/>
        <v>-8.0999999999999961E-3</v>
      </c>
      <c r="H177">
        <f t="shared" si="16"/>
        <v>-8.0999999999999961E-3</v>
      </c>
      <c r="I177" s="5">
        <f t="shared" si="17"/>
        <v>1817</v>
      </c>
      <c r="J177">
        <f t="shared" si="18"/>
        <v>0.31418369780483973</v>
      </c>
      <c r="K177">
        <f t="shared" si="19"/>
        <v>3.4763836401301287</v>
      </c>
      <c r="P177">
        <f t="shared" si="20"/>
        <v>1</v>
      </c>
    </row>
    <row r="178" spans="1:16" x14ac:dyDescent="0.25">
      <c r="A178" s="1"/>
      <c r="B178" t="s">
        <v>192</v>
      </c>
      <c r="C178" t="s">
        <v>24</v>
      </c>
      <c r="D178" s="3">
        <v>7.041666666666667</v>
      </c>
      <c r="E178" s="5">
        <f t="shared" si="14"/>
        <v>1818</v>
      </c>
      <c r="F178">
        <v>-1.12622</v>
      </c>
      <c r="G178">
        <f t="shared" si="15"/>
        <v>1.1086400000000001</v>
      </c>
      <c r="H178">
        <f t="shared" si="16"/>
        <v>1.1086400000000001</v>
      </c>
      <c r="I178" s="5">
        <f t="shared" si="17"/>
        <v>1818</v>
      </c>
      <c r="J178">
        <f t="shared" si="18"/>
        <v>-0.55391929763315062</v>
      </c>
      <c r="K178">
        <f t="shared" si="19"/>
        <v>-4.288840130719465</v>
      </c>
      <c r="P178">
        <f t="shared" si="20"/>
        <v>1</v>
      </c>
    </row>
    <row r="179" spans="1:16" x14ac:dyDescent="0.25">
      <c r="A179" s="1"/>
      <c r="B179" t="s">
        <v>193</v>
      </c>
      <c r="C179" t="s">
        <v>24</v>
      </c>
      <c r="D179" s="3">
        <v>7.083333333333333</v>
      </c>
      <c r="E179" s="5">
        <f t="shared" si="14"/>
        <v>1819</v>
      </c>
      <c r="F179">
        <v>-1.4398299999999999</v>
      </c>
      <c r="G179">
        <f t="shared" si="15"/>
        <v>-0.21862000000000004</v>
      </c>
      <c r="H179">
        <f t="shared" si="16"/>
        <v>-0.21862000000000004</v>
      </c>
      <c r="I179" s="5">
        <f t="shared" si="17"/>
        <v>1819</v>
      </c>
      <c r="J179">
        <f t="shared" si="18"/>
        <v>-1.3727983960069854</v>
      </c>
      <c r="K179">
        <f t="shared" si="19"/>
        <v>2.2809596338512113</v>
      </c>
      <c r="P179">
        <f t="shared" si="20"/>
        <v>0</v>
      </c>
    </row>
    <row r="180" spans="1:16" x14ac:dyDescent="0.25">
      <c r="A180" s="1"/>
      <c r="B180" t="s">
        <v>194</v>
      </c>
      <c r="C180" t="s">
        <v>24</v>
      </c>
      <c r="D180" s="3">
        <v>7.125</v>
      </c>
      <c r="E180" s="5">
        <f t="shared" si="14"/>
        <v>1820</v>
      </c>
      <c r="F180">
        <v>-1.9720599999999999</v>
      </c>
      <c r="G180">
        <f t="shared" si="15"/>
        <v>2.8971200000000001</v>
      </c>
      <c r="H180">
        <f t="shared" si="16"/>
        <v>2.8971200000000001</v>
      </c>
      <c r="I180" s="5">
        <f t="shared" si="17"/>
        <v>1820</v>
      </c>
      <c r="J180">
        <f t="shared" si="18"/>
        <v>-0.31528397181320622</v>
      </c>
      <c r="K180">
        <f t="shared" si="19"/>
        <v>-1.8752128344143626</v>
      </c>
      <c r="P180">
        <f t="shared" si="20"/>
        <v>1</v>
      </c>
    </row>
    <row r="181" spans="1:16" x14ac:dyDescent="0.25">
      <c r="A181" s="1"/>
      <c r="B181" t="s">
        <v>195</v>
      </c>
      <c r="C181" t="s">
        <v>24</v>
      </c>
      <c r="D181" s="3">
        <v>7.166666666666667</v>
      </c>
      <c r="E181" s="5">
        <f t="shared" si="14"/>
        <v>1821</v>
      </c>
      <c r="F181">
        <v>0.39283000000000001</v>
      </c>
      <c r="G181">
        <f t="shared" si="15"/>
        <v>-3.3246099999999998</v>
      </c>
      <c r="H181">
        <f t="shared" si="16"/>
        <v>-3.3246099999999998</v>
      </c>
      <c r="I181" s="5">
        <f t="shared" si="17"/>
        <v>1821</v>
      </c>
      <c r="J181">
        <f t="shared" si="18"/>
        <v>-3.0132100645334696</v>
      </c>
      <c r="K181">
        <f t="shared" si="19"/>
        <v>-0.48539411140344713</v>
      </c>
      <c r="P181">
        <f t="shared" si="20"/>
        <v>1</v>
      </c>
    </row>
    <row r="182" spans="1:16" x14ac:dyDescent="0.25">
      <c r="A182" s="1"/>
      <c r="B182" t="s">
        <v>196</v>
      </c>
      <c r="C182" t="s">
        <v>24</v>
      </c>
      <c r="D182" s="3">
        <v>7.208333333333333</v>
      </c>
      <c r="E182" s="5">
        <f t="shared" si="14"/>
        <v>1822</v>
      </c>
      <c r="F182">
        <v>-0.56689000000000001</v>
      </c>
      <c r="G182">
        <f t="shared" si="15"/>
        <v>0.88999000000000006</v>
      </c>
      <c r="H182">
        <f t="shared" si="16"/>
        <v>0.88999000000000006</v>
      </c>
      <c r="I182" s="5">
        <f t="shared" si="17"/>
        <v>1822</v>
      </c>
      <c r="J182">
        <f t="shared" si="18"/>
        <v>3.2258748903158593E-2</v>
      </c>
      <c r="K182">
        <f t="shared" si="19"/>
        <v>1.4046874312267659</v>
      </c>
      <c r="P182">
        <f t="shared" si="20"/>
        <v>1</v>
      </c>
    </row>
    <row r="183" spans="1:16" x14ac:dyDescent="0.25">
      <c r="A183" s="1"/>
      <c r="B183" t="s">
        <v>197</v>
      </c>
      <c r="C183" t="s">
        <v>24</v>
      </c>
      <c r="D183" s="3">
        <v>7.25</v>
      </c>
      <c r="E183" s="5">
        <f t="shared" si="14"/>
        <v>1823</v>
      </c>
      <c r="F183">
        <v>-0.63661999999999996</v>
      </c>
      <c r="G183">
        <f t="shared" si="15"/>
        <v>0.91339999999999988</v>
      </c>
      <c r="H183">
        <f t="shared" si="16"/>
        <v>0.91339999999999988</v>
      </c>
      <c r="I183" s="5">
        <f t="shared" si="17"/>
        <v>1823</v>
      </c>
      <c r="J183">
        <f t="shared" si="18"/>
        <v>0.26550305061959878</v>
      </c>
      <c r="K183">
        <f t="shared" si="19"/>
        <v>-2.9450125553966231</v>
      </c>
      <c r="P183">
        <f t="shared" si="20"/>
        <v>0</v>
      </c>
    </row>
    <row r="184" spans="1:16" x14ac:dyDescent="0.25">
      <c r="A184" s="1"/>
      <c r="B184" t="s">
        <v>198</v>
      </c>
      <c r="C184" t="s">
        <v>24</v>
      </c>
      <c r="D184" s="3">
        <v>7.291666666666667</v>
      </c>
      <c r="E184" s="5">
        <f t="shared" si="14"/>
        <v>1824</v>
      </c>
      <c r="F184">
        <v>0.20705000000000001</v>
      </c>
      <c r="G184">
        <f t="shared" si="15"/>
        <v>-0.43204999999999988</v>
      </c>
      <c r="H184">
        <f t="shared" si="16"/>
        <v>-0.43204999999999988</v>
      </c>
      <c r="I184" s="5">
        <f t="shared" si="17"/>
        <v>1824</v>
      </c>
      <c r="J184">
        <f t="shared" si="18"/>
        <v>-0.17897184380064476</v>
      </c>
      <c r="K184">
        <f t="shared" si="19"/>
        <v>3.7982936371010458</v>
      </c>
      <c r="P184">
        <f t="shared" si="20"/>
        <v>0</v>
      </c>
    </row>
    <row r="185" spans="1:16" x14ac:dyDescent="0.25">
      <c r="A185" s="1"/>
      <c r="B185" t="s">
        <v>199</v>
      </c>
      <c r="C185" t="s">
        <v>24</v>
      </c>
      <c r="D185" s="3">
        <v>7.333333333333333</v>
      </c>
      <c r="E185" s="5">
        <f t="shared" si="14"/>
        <v>1825</v>
      </c>
      <c r="F185">
        <v>0.61867000000000005</v>
      </c>
      <c r="G185">
        <f t="shared" si="15"/>
        <v>-1.02498</v>
      </c>
      <c r="H185">
        <f t="shared" si="16"/>
        <v>-1.02498</v>
      </c>
      <c r="I185" s="5">
        <f t="shared" si="17"/>
        <v>1825</v>
      </c>
      <c r="J185">
        <f t="shared" si="18"/>
        <v>-0.18911093699682743</v>
      </c>
      <c r="K185">
        <f t="shared" si="19"/>
        <v>-3.7792302064969907</v>
      </c>
      <c r="P185">
        <f t="shared" si="20"/>
        <v>1</v>
      </c>
    </row>
    <row r="186" spans="1:16" x14ac:dyDescent="0.25">
      <c r="A186" s="1"/>
      <c r="B186" t="s">
        <v>200</v>
      </c>
      <c r="C186" t="s">
        <v>24</v>
      </c>
      <c r="D186" s="3">
        <v>7.375</v>
      </c>
      <c r="E186" s="5">
        <f t="shared" si="14"/>
        <v>1826</v>
      </c>
      <c r="F186">
        <v>5.3099999999999996E-3</v>
      </c>
      <c r="G186">
        <f t="shared" si="15"/>
        <v>1.6189200000000001</v>
      </c>
      <c r="H186">
        <f t="shared" si="16"/>
        <v>1.6189200000000001</v>
      </c>
      <c r="I186" s="5">
        <f t="shared" si="17"/>
        <v>1826</v>
      </c>
      <c r="J186">
        <f t="shared" si="18"/>
        <v>1.6237329401085245</v>
      </c>
      <c r="K186">
        <f t="shared" si="19"/>
        <v>4.0246061590410394</v>
      </c>
      <c r="P186">
        <f t="shared" si="20"/>
        <v>1</v>
      </c>
    </row>
    <row r="187" spans="1:16" x14ac:dyDescent="0.25">
      <c r="A187" s="1"/>
      <c r="B187" t="s">
        <v>201</v>
      </c>
      <c r="C187" t="s">
        <v>24</v>
      </c>
      <c r="D187" s="3">
        <v>7.416666666666667</v>
      </c>
      <c r="E187" s="5">
        <f t="shared" si="14"/>
        <v>1827</v>
      </c>
      <c r="F187">
        <v>1.0108699999999999</v>
      </c>
      <c r="G187">
        <f t="shared" si="15"/>
        <v>-0.80272999999999994</v>
      </c>
      <c r="H187">
        <f t="shared" si="16"/>
        <v>-0.80272999999999994</v>
      </c>
      <c r="I187" s="5">
        <f t="shared" si="17"/>
        <v>1827</v>
      </c>
      <c r="J187">
        <f t="shared" si="18"/>
        <v>0.82448863405593453</v>
      </c>
      <c r="K187">
        <f t="shared" si="19"/>
        <v>-2.1725896193323937</v>
      </c>
      <c r="P187">
        <f t="shared" si="20"/>
        <v>0</v>
      </c>
    </row>
    <row r="188" spans="1:16" x14ac:dyDescent="0.25">
      <c r="A188" s="1"/>
      <c r="B188" t="s">
        <v>202</v>
      </c>
      <c r="C188" t="s">
        <v>24</v>
      </c>
      <c r="D188" s="3">
        <v>7.458333333333333</v>
      </c>
      <c r="E188" s="5">
        <f t="shared" si="14"/>
        <v>1828</v>
      </c>
      <c r="F188">
        <v>1.2137</v>
      </c>
      <c r="G188">
        <f t="shared" si="15"/>
        <v>-0.55542000000000002</v>
      </c>
      <c r="H188">
        <f t="shared" si="16"/>
        <v>-0.55542000000000002</v>
      </c>
      <c r="I188" s="5">
        <f t="shared" si="17"/>
        <v>1828</v>
      </c>
      <c r="J188">
        <f t="shared" si="18"/>
        <v>0.3858648774546185</v>
      </c>
      <c r="K188">
        <f t="shared" si="19"/>
        <v>1.5507262806875552</v>
      </c>
      <c r="P188">
        <f t="shared" si="20"/>
        <v>1</v>
      </c>
    </row>
    <row r="189" spans="1:16" x14ac:dyDescent="0.25">
      <c r="A189" s="1"/>
      <c r="B189" t="s">
        <v>203</v>
      </c>
      <c r="C189" t="s">
        <v>24</v>
      </c>
      <c r="D189" s="3">
        <v>7.5</v>
      </c>
      <c r="E189" s="5">
        <f t="shared" si="14"/>
        <v>1829</v>
      </c>
      <c r="F189">
        <v>0.86111000000000004</v>
      </c>
      <c r="G189">
        <f t="shared" si="15"/>
        <v>-0.45816000000000012</v>
      </c>
      <c r="H189">
        <f t="shared" si="16"/>
        <v>-0.45816000000000012</v>
      </c>
      <c r="I189" s="5">
        <f t="shared" si="17"/>
        <v>1829</v>
      </c>
      <c r="J189">
        <f t="shared" si="18"/>
        <v>0.8981378623408981</v>
      </c>
      <c r="K189">
        <f t="shared" si="19"/>
        <v>1.427749377506609</v>
      </c>
      <c r="P189">
        <f t="shared" si="20"/>
        <v>1</v>
      </c>
    </row>
    <row r="190" spans="1:16" x14ac:dyDescent="0.25">
      <c r="A190" s="1"/>
      <c r="B190" t="s">
        <v>204</v>
      </c>
      <c r="C190" t="s">
        <v>24</v>
      </c>
      <c r="D190" s="3">
        <v>7.541666666666667</v>
      </c>
      <c r="E190" s="5">
        <f t="shared" si="14"/>
        <v>1830</v>
      </c>
      <c r="F190">
        <v>5.0360000000000002E-2</v>
      </c>
      <c r="G190">
        <f t="shared" si="15"/>
        <v>0.28301000000000009</v>
      </c>
      <c r="H190">
        <f t="shared" si="16"/>
        <v>0.28301000000000009</v>
      </c>
      <c r="I190" s="5">
        <f t="shared" si="17"/>
        <v>1830</v>
      </c>
      <c r="J190">
        <f t="shared" si="18"/>
        <v>0.33329595078037083</v>
      </c>
      <c r="K190">
        <f t="shared" si="19"/>
        <v>-2.148325408536286</v>
      </c>
      <c r="P190">
        <f t="shared" si="20"/>
        <v>0</v>
      </c>
    </row>
    <row r="191" spans="1:16" x14ac:dyDescent="0.25">
      <c r="A191" s="1"/>
      <c r="B191" t="s">
        <v>205</v>
      </c>
      <c r="C191" t="s">
        <v>24</v>
      </c>
      <c r="D191" s="3">
        <v>7.583333333333333</v>
      </c>
      <c r="E191" s="5">
        <f t="shared" si="14"/>
        <v>1831</v>
      </c>
      <c r="F191">
        <v>-0.47738000000000003</v>
      </c>
      <c r="G191">
        <f t="shared" si="15"/>
        <v>1.6845300000000001</v>
      </c>
      <c r="H191">
        <f t="shared" si="16"/>
        <v>1.6845300000000001</v>
      </c>
      <c r="I191" s="5">
        <f t="shared" si="17"/>
        <v>1831</v>
      </c>
      <c r="J191">
        <f t="shared" si="18"/>
        <v>1.1114295344119383</v>
      </c>
      <c r="K191">
        <f t="shared" si="19"/>
        <v>4.2518177684635479</v>
      </c>
      <c r="P191">
        <f t="shared" si="20"/>
        <v>1</v>
      </c>
    </row>
    <row r="192" spans="1:16" x14ac:dyDescent="0.25">
      <c r="A192" s="1"/>
      <c r="B192" t="s">
        <v>206</v>
      </c>
      <c r="C192" t="s">
        <v>24</v>
      </c>
      <c r="D192" s="3">
        <v>7.625</v>
      </c>
      <c r="E192" s="5">
        <f t="shared" si="14"/>
        <v>1832</v>
      </c>
      <c r="F192">
        <v>0.67940999999999996</v>
      </c>
      <c r="G192">
        <f t="shared" si="15"/>
        <v>0.30939000000000005</v>
      </c>
      <c r="H192">
        <f t="shared" si="16"/>
        <v>0.30939000000000005</v>
      </c>
      <c r="I192" s="5">
        <f t="shared" si="17"/>
        <v>1832</v>
      </c>
      <c r="J192">
        <f t="shared" si="18"/>
        <v>1.2835159834476721</v>
      </c>
      <c r="K192">
        <f t="shared" si="19"/>
        <v>-3.5812351640251081</v>
      </c>
      <c r="P192">
        <f t="shared" si="20"/>
        <v>0</v>
      </c>
    </row>
    <row r="193" spans="1:16" x14ac:dyDescent="0.25">
      <c r="A193" s="1"/>
      <c r="B193" t="s">
        <v>207</v>
      </c>
      <c r="C193" t="s">
        <v>24</v>
      </c>
      <c r="D193" s="3">
        <v>7.666666666666667</v>
      </c>
      <c r="E193" s="5">
        <f t="shared" si="14"/>
        <v>1833</v>
      </c>
      <c r="F193">
        <v>2.1455899999999999</v>
      </c>
      <c r="G193">
        <f t="shared" si="15"/>
        <v>-2.7098499999999999</v>
      </c>
      <c r="H193">
        <f t="shared" si="16"/>
        <v>-2.7098499999999999</v>
      </c>
      <c r="I193" s="5">
        <f t="shared" si="17"/>
        <v>1833</v>
      </c>
      <c r="J193">
        <f t="shared" si="18"/>
        <v>-0.94899110799699227</v>
      </c>
      <c r="K193">
        <f t="shared" si="19"/>
        <v>3.1383794343149267</v>
      </c>
      <c r="P193">
        <f t="shared" si="20"/>
        <v>0</v>
      </c>
    </row>
    <row r="194" spans="1:16" x14ac:dyDescent="0.25">
      <c r="A194" s="1"/>
      <c r="B194" t="s">
        <v>208</v>
      </c>
      <c r="C194" t="s">
        <v>24</v>
      </c>
      <c r="D194" s="3">
        <v>7.708333333333333</v>
      </c>
      <c r="E194" s="5">
        <f t="shared" si="14"/>
        <v>1834</v>
      </c>
      <c r="F194">
        <v>0.90192000000000005</v>
      </c>
      <c r="G194">
        <f t="shared" si="15"/>
        <v>0.3685299999999998</v>
      </c>
      <c r="H194">
        <f t="shared" si="16"/>
        <v>0.3685299999999998</v>
      </c>
      <c r="I194" s="5">
        <f t="shared" si="17"/>
        <v>1834</v>
      </c>
      <c r="J194">
        <f t="shared" si="18"/>
        <v>1.8444118982650823</v>
      </c>
      <c r="K194">
        <f t="shared" si="19"/>
        <v>-1.0529922304681707</v>
      </c>
      <c r="P194">
        <f t="shared" si="20"/>
        <v>0</v>
      </c>
    </row>
    <row r="195" spans="1:16" x14ac:dyDescent="0.25">
      <c r="A195" s="1"/>
      <c r="B195" t="s">
        <v>209</v>
      </c>
      <c r="C195" t="s">
        <v>24</v>
      </c>
      <c r="D195" s="3">
        <v>7.75</v>
      </c>
      <c r="E195" s="5">
        <f t="shared" si="14"/>
        <v>1835</v>
      </c>
      <c r="F195">
        <v>2.6780000000000002E-2</v>
      </c>
      <c r="G195">
        <f t="shared" si="15"/>
        <v>0.85698000000000008</v>
      </c>
      <c r="H195">
        <f t="shared" si="16"/>
        <v>0.85698000000000008</v>
      </c>
      <c r="I195" s="5">
        <f t="shared" si="17"/>
        <v>1835</v>
      </c>
      <c r="J195">
        <f t="shared" si="18"/>
        <v>0.87951199751315501</v>
      </c>
      <c r="K195">
        <f t="shared" si="19"/>
        <v>-1.091339472637741</v>
      </c>
      <c r="P195">
        <f t="shared" si="20"/>
        <v>0</v>
      </c>
    </row>
    <row r="196" spans="1:16" x14ac:dyDescent="0.25">
      <c r="A196" s="1"/>
      <c r="B196" t="s">
        <v>210</v>
      </c>
      <c r="C196" t="s">
        <v>24</v>
      </c>
      <c r="D196" s="3">
        <v>7.791666666666667</v>
      </c>
      <c r="E196" s="5">
        <f t="shared" si="14"/>
        <v>1836</v>
      </c>
      <c r="F196">
        <v>8.6199999999999992E-3</v>
      </c>
      <c r="G196">
        <f t="shared" si="15"/>
        <v>1.0293399999999999</v>
      </c>
      <c r="H196">
        <f t="shared" si="16"/>
        <v>1.0293399999999999</v>
      </c>
      <c r="I196" s="5">
        <f t="shared" si="17"/>
        <v>1836</v>
      </c>
      <c r="J196">
        <f t="shared" si="18"/>
        <v>1.0413615197242059</v>
      </c>
      <c r="K196">
        <f t="shared" si="19"/>
        <v>2.5329653283769398</v>
      </c>
      <c r="P196">
        <f t="shared" si="20"/>
        <v>1</v>
      </c>
    </row>
    <row r="197" spans="1:16" x14ac:dyDescent="0.25">
      <c r="A197" s="1"/>
      <c r="B197" t="s">
        <v>211</v>
      </c>
      <c r="C197" t="s">
        <v>24</v>
      </c>
      <c r="D197" s="3">
        <v>7.833333333333333</v>
      </c>
      <c r="E197" s="5">
        <f t="shared" si="14"/>
        <v>1837</v>
      </c>
      <c r="F197">
        <v>1.0198</v>
      </c>
      <c r="G197">
        <f t="shared" si="15"/>
        <v>-1.1686000000000001</v>
      </c>
      <c r="H197">
        <f t="shared" si="16"/>
        <v>-1.1686000000000001</v>
      </c>
      <c r="I197" s="5">
        <f t="shared" si="17"/>
        <v>1837</v>
      </c>
      <c r="J197">
        <f t="shared" si="18"/>
        <v>6.6213563063051914E-2</v>
      </c>
      <c r="K197">
        <f t="shared" si="19"/>
        <v>-4.1939789956793501</v>
      </c>
      <c r="P197">
        <f t="shared" si="20"/>
        <v>0</v>
      </c>
    </row>
    <row r="198" spans="1:16" x14ac:dyDescent="0.25">
      <c r="A198" s="1"/>
      <c r="B198" t="s">
        <v>212</v>
      </c>
      <c r="C198" t="s">
        <v>24</v>
      </c>
      <c r="D198" s="3">
        <v>7.875</v>
      </c>
      <c r="E198" s="5">
        <f t="shared" si="14"/>
        <v>1838</v>
      </c>
      <c r="F198">
        <v>0.86238000000000004</v>
      </c>
      <c r="G198">
        <f t="shared" si="15"/>
        <v>1.4644500000000003</v>
      </c>
      <c r="H198">
        <f t="shared" si="16"/>
        <v>1.4644500000000003</v>
      </c>
      <c r="I198" s="5">
        <f t="shared" si="17"/>
        <v>1838</v>
      </c>
      <c r="J198">
        <f t="shared" si="18"/>
        <v>2.3166339783899708</v>
      </c>
      <c r="K198">
        <f t="shared" si="19"/>
        <v>3.4897585891011023</v>
      </c>
      <c r="P198">
        <f t="shared" si="20"/>
        <v>1</v>
      </c>
    </row>
    <row r="199" spans="1:16" x14ac:dyDescent="0.25">
      <c r="A199" s="1"/>
      <c r="B199" t="s">
        <v>213</v>
      </c>
      <c r="C199" t="s">
        <v>24</v>
      </c>
      <c r="D199" s="3">
        <v>7.916666666666667</v>
      </c>
      <c r="E199" s="5">
        <f t="shared" si="14"/>
        <v>1839</v>
      </c>
      <c r="F199">
        <v>2.1694100000000001</v>
      </c>
      <c r="G199">
        <f t="shared" si="15"/>
        <v>-3.0995699999999999</v>
      </c>
      <c r="H199">
        <f t="shared" si="16"/>
        <v>-3.0995699999999999</v>
      </c>
      <c r="I199" s="5">
        <f t="shared" si="17"/>
        <v>1839</v>
      </c>
      <c r="J199">
        <f t="shared" si="18"/>
        <v>0.25914011796777192</v>
      </c>
      <c r="K199">
        <f t="shared" si="19"/>
        <v>-3.8153641364351851</v>
      </c>
      <c r="P199">
        <f t="shared" si="20"/>
        <v>0</v>
      </c>
    </row>
    <row r="200" spans="1:16" x14ac:dyDescent="0.25">
      <c r="A200" s="1"/>
      <c r="B200" t="s">
        <v>214</v>
      </c>
      <c r="C200" t="s">
        <v>24</v>
      </c>
      <c r="D200" s="3">
        <v>7.958333333333333</v>
      </c>
      <c r="E200" s="5">
        <f t="shared" si="14"/>
        <v>1840</v>
      </c>
      <c r="F200">
        <v>0.37686999999999998</v>
      </c>
      <c r="G200">
        <f t="shared" si="15"/>
        <v>1.48078</v>
      </c>
      <c r="H200">
        <f t="shared" si="16"/>
        <v>1.48078</v>
      </c>
      <c r="I200" s="5">
        <f t="shared" si="17"/>
        <v>1840</v>
      </c>
      <c r="J200">
        <f t="shared" si="18"/>
        <v>1.7709191189119968</v>
      </c>
      <c r="K200">
        <f t="shared" si="19"/>
        <v>1.5057766313013237</v>
      </c>
      <c r="P200">
        <f t="shared" si="20"/>
        <v>1</v>
      </c>
    </row>
    <row r="201" spans="1:16" x14ac:dyDescent="0.25">
      <c r="A201" s="1"/>
      <c r="B201" t="s">
        <v>215</v>
      </c>
      <c r="C201" t="s">
        <v>24</v>
      </c>
      <c r="D201" s="3">
        <v>8</v>
      </c>
      <c r="E201" s="5">
        <f t="shared" si="14"/>
        <v>1841</v>
      </c>
      <c r="F201">
        <v>6.5110000000000001E-2</v>
      </c>
      <c r="G201">
        <f t="shared" si="15"/>
        <v>-0.61817000000000011</v>
      </c>
      <c r="H201">
        <f t="shared" si="16"/>
        <v>-0.61817000000000011</v>
      </c>
      <c r="I201" s="5">
        <f t="shared" si="17"/>
        <v>1841</v>
      </c>
      <c r="J201">
        <f t="shared" si="18"/>
        <v>-0.51274533806035072</v>
      </c>
      <c r="K201">
        <f t="shared" si="19"/>
        <v>-1.0314543214617098</v>
      </c>
      <c r="P201">
        <f t="shared" si="20"/>
        <v>1</v>
      </c>
    </row>
    <row r="202" spans="1:16" x14ac:dyDescent="0.25">
      <c r="A202" s="1"/>
      <c r="B202" t="s">
        <v>216</v>
      </c>
      <c r="C202" t="s">
        <v>24</v>
      </c>
      <c r="D202" s="3">
        <v>8.0416666666666661</v>
      </c>
      <c r="E202" s="5">
        <f t="shared" si="14"/>
        <v>1842</v>
      </c>
      <c r="F202">
        <v>-0.86482000000000003</v>
      </c>
      <c r="G202">
        <f t="shared" si="15"/>
        <v>1.83446</v>
      </c>
      <c r="H202">
        <f t="shared" si="16"/>
        <v>1.83446</v>
      </c>
      <c r="I202" s="5">
        <f t="shared" si="17"/>
        <v>1842</v>
      </c>
      <c r="J202">
        <f t="shared" si="18"/>
        <v>1.109809358606016</v>
      </c>
      <c r="K202">
        <f t="shared" si="19"/>
        <v>-1.4720920133002884</v>
      </c>
      <c r="P202">
        <f t="shared" si="20"/>
        <v>0</v>
      </c>
    </row>
    <row r="203" spans="1:16" x14ac:dyDescent="0.25">
      <c r="A203" s="1"/>
      <c r="B203" t="s">
        <v>217</v>
      </c>
      <c r="C203" t="s">
        <v>24</v>
      </c>
      <c r="D203" s="3">
        <v>8.0833333333333339</v>
      </c>
      <c r="E203" s="5">
        <f t="shared" si="14"/>
        <v>1843</v>
      </c>
      <c r="F203">
        <v>3.9710000000000002E-2</v>
      </c>
      <c r="G203">
        <f t="shared" si="15"/>
        <v>-0.38485000000000003</v>
      </c>
      <c r="H203">
        <f t="shared" si="16"/>
        <v>-0.38485000000000003</v>
      </c>
      <c r="I203" s="5">
        <f t="shared" si="17"/>
        <v>1843</v>
      </c>
      <c r="J203">
        <f t="shared" si="18"/>
        <v>-0.3277764778069257</v>
      </c>
      <c r="K203">
        <f t="shared" si="19"/>
        <v>2.0764311843851986</v>
      </c>
      <c r="P203">
        <f t="shared" si="20"/>
        <v>0</v>
      </c>
    </row>
    <row r="204" spans="1:16" x14ac:dyDescent="0.25">
      <c r="A204" s="1"/>
      <c r="B204" t="s">
        <v>218</v>
      </c>
      <c r="C204" t="s">
        <v>24</v>
      </c>
      <c r="D204" s="3">
        <v>8.125</v>
      </c>
      <c r="E204" s="5">
        <f t="shared" ref="E204:E267" si="21">+E203+1</f>
        <v>1844</v>
      </c>
      <c r="F204">
        <v>0.55939000000000005</v>
      </c>
      <c r="G204">
        <f t="shared" ref="G204:G267" si="22">+(F205-F204)-(F204-F203)</f>
        <v>-0.66176000000000013</v>
      </c>
      <c r="H204">
        <f t="shared" ref="H204:H267" si="23">+G204</f>
        <v>-0.66176000000000013</v>
      </c>
      <c r="I204" s="5">
        <f t="shared" si="17"/>
        <v>1844</v>
      </c>
      <c r="J204">
        <f t="shared" si="18"/>
        <v>-4.1275601060783276E-2</v>
      </c>
      <c r="K204">
        <f t="shared" si="19"/>
        <v>-3.6216549156329441</v>
      </c>
      <c r="P204">
        <f t="shared" si="20"/>
        <v>1</v>
      </c>
    </row>
    <row r="205" spans="1:16" x14ac:dyDescent="0.25">
      <c r="A205" s="1"/>
      <c r="B205" t="s">
        <v>219</v>
      </c>
      <c r="C205" t="s">
        <v>24</v>
      </c>
      <c r="D205" s="3">
        <v>8.1666666666666661</v>
      </c>
      <c r="E205" s="5">
        <f t="shared" si="21"/>
        <v>1845</v>
      </c>
      <c r="F205">
        <v>0.41731000000000001</v>
      </c>
      <c r="G205">
        <f t="shared" si="22"/>
        <v>0.73028999999999988</v>
      </c>
      <c r="H205">
        <f t="shared" si="23"/>
        <v>0.73028999999999988</v>
      </c>
      <c r="I205" s="5">
        <f t="shared" ref="I205:I268" si="24">+E205</f>
        <v>1845</v>
      </c>
      <c r="J205">
        <f t="shared" ref="J205:J268" si="25">+$J$6*F205+F205*$J$7*COS(2*PI()*$I205/$K$6+$K$5*COS($J$5*$I205+$K$8)+$J$9)+H205+F205*$J$3*COS(2*PI()*$I205/$J$8+$K$3)</f>
        <v>1.1984978528509949</v>
      </c>
      <c r="K205">
        <f t="shared" ref="K205:K268" si="26">+$K$8*COS(2*PI()*$I205/$K$6+$K$5*COS($J$5*$I205+$K$8)+$K$7) +$K$4*COS(2*PI()*$I205/$J$8+$J$4)</f>
        <v>3.9199808543819614</v>
      </c>
      <c r="P205">
        <f t="shared" ref="P205:P268" si="27">+IF(J205*K205&gt;0,1, 0)</f>
        <v>1</v>
      </c>
    </row>
    <row r="206" spans="1:16" x14ac:dyDescent="0.25">
      <c r="A206" s="1"/>
      <c r="B206" t="s">
        <v>220</v>
      </c>
      <c r="C206" t="s">
        <v>24</v>
      </c>
      <c r="D206" s="3">
        <v>8.2083333333333339</v>
      </c>
      <c r="E206" s="5">
        <f t="shared" si="21"/>
        <v>1846</v>
      </c>
      <c r="F206">
        <v>1.00552</v>
      </c>
      <c r="G206">
        <f t="shared" si="22"/>
        <v>-2.6277099999999995</v>
      </c>
      <c r="H206">
        <f t="shared" si="23"/>
        <v>-2.6277099999999995</v>
      </c>
      <c r="I206" s="5">
        <f t="shared" si="24"/>
        <v>1846</v>
      </c>
      <c r="J206">
        <f t="shared" si="25"/>
        <v>-1.1798475382669464</v>
      </c>
      <c r="K206">
        <f t="shared" si="26"/>
        <v>-3.7816931237698257</v>
      </c>
      <c r="P206">
        <f t="shared" si="27"/>
        <v>1</v>
      </c>
    </row>
    <row r="207" spans="1:16" x14ac:dyDescent="0.25">
      <c r="A207" s="1"/>
      <c r="B207" t="s">
        <v>221</v>
      </c>
      <c r="C207" t="s">
        <v>24</v>
      </c>
      <c r="D207" s="3">
        <v>8.25</v>
      </c>
      <c r="E207" s="5">
        <f t="shared" si="21"/>
        <v>1847</v>
      </c>
      <c r="F207">
        <v>-1.0339799999999999</v>
      </c>
      <c r="G207">
        <f t="shared" si="22"/>
        <v>3.3584299999999998</v>
      </c>
      <c r="H207">
        <f t="shared" si="23"/>
        <v>3.3584299999999998</v>
      </c>
      <c r="I207" s="5">
        <f t="shared" si="24"/>
        <v>1847</v>
      </c>
      <c r="J207">
        <f t="shared" si="25"/>
        <v>2.4910534703616558</v>
      </c>
      <c r="K207">
        <f t="shared" si="26"/>
        <v>3.4276080911889251</v>
      </c>
      <c r="P207">
        <f t="shared" si="27"/>
        <v>1</v>
      </c>
    </row>
    <row r="208" spans="1:16" x14ac:dyDescent="0.25">
      <c r="A208" s="1"/>
      <c r="B208" t="s">
        <v>222</v>
      </c>
      <c r="C208" t="s">
        <v>24</v>
      </c>
      <c r="D208" s="3">
        <v>8.2916666666666661</v>
      </c>
      <c r="E208" s="5">
        <f t="shared" si="21"/>
        <v>1848</v>
      </c>
      <c r="F208">
        <v>0.28494999999999998</v>
      </c>
      <c r="G208">
        <f t="shared" si="22"/>
        <v>-1.40743</v>
      </c>
      <c r="H208">
        <f t="shared" si="23"/>
        <v>-1.40743</v>
      </c>
      <c r="I208" s="5">
        <f t="shared" si="24"/>
        <v>1848</v>
      </c>
      <c r="J208">
        <f t="shared" si="25"/>
        <v>-0.94143875773872665</v>
      </c>
      <c r="K208">
        <f t="shared" si="26"/>
        <v>-1.4293949915803648</v>
      </c>
      <c r="P208">
        <f t="shared" si="27"/>
        <v>1</v>
      </c>
    </row>
    <row r="209" spans="1:16" x14ac:dyDescent="0.25">
      <c r="A209" s="1"/>
      <c r="B209" t="s">
        <v>223</v>
      </c>
      <c r="C209" t="s">
        <v>24</v>
      </c>
      <c r="D209" s="3">
        <v>8.3333333333333339</v>
      </c>
      <c r="E209" s="5">
        <f t="shared" si="21"/>
        <v>1849</v>
      </c>
      <c r="F209">
        <v>0.19645000000000001</v>
      </c>
      <c r="G209">
        <f t="shared" si="22"/>
        <v>-9.4840000000000035E-2</v>
      </c>
      <c r="H209">
        <f t="shared" si="23"/>
        <v>-9.4840000000000035E-2</v>
      </c>
      <c r="I209" s="5">
        <f t="shared" si="24"/>
        <v>1849</v>
      </c>
      <c r="J209">
        <f t="shared" si="25"/>
        <v>6.183087851388059E-2</v>
      </c>
      <c r="K209">
        <f t="shared" si="26"/>
        <v>0.49271860148582841</v>
      </c>
      <c r="P209">
        <f t="shared" si="27"/>
        <v>1</v>
      </c>
    </row>
    <row r="210" spans="1:16" x14ac:dyDescent="0.25">
      <c r="A210" s="1"/>
      <c r="B210" t="s">
        <v>224</v>
      </c>
      <c r="C210" t="s">
        <v>24</v>
      </c>
      <c r="D210" s="3">
        <v>8.375</v>
      </c>
      <c r="E210" s="5">
        <f t="shared" si="21"/>
        <v>1850</v>
      </c>
      <c r="F210">
        <v>1.311E-2</v>
      </c>
      <c r="G210">
        <f t="shared" si="22"/>
        <v>-0.64488999999999996</v>
      </c>
      <c r="H210">
        <f t="shared" si="23"/>
        <v>-0.64488999999999996</v>
      </c>
      <c r="I210" s="5">
        <f t="shared" si="24"/>
        <v>1850</v>
      </c>
      <c r="J210">
        <f t="shared" si="25"/>
        <v>-0.62519660597378746</v>
      </c>
      <c r="K210">
        <f t="shared" si="26"/>
        <v>2.4007231544969136</v>
      </c>
      <c r="P210">
        <f t="shared" si="27"/>
        <v>0</v>
      </c>
    </row>
    <row r="211" spans="1:16" x14ac:dyDescent="0.25">
      <c r="A211" s="1"/>
      <c r="B211" t="s">
        <v>225</v>
      </c>
      <c r="C211" t="s">
        <v>24</v>
      </c>
      <c r="D211" s="3">
        <v>8.4166666666666661</v>
      </c>
      <c r="E211" s="5">
        <f t="shared" si="21"/>
        <v>1851</v>
      </c>
      <c r="F211">
        <v>-0.81511999999999996</v>
      </c>
      <c r="G211">
        <f t="shared" si="22"/>
        <v>3.0331700000000001</v>
      </c>
      <c r="H211">
        <f t="shared" si="23"/>
        <v>3.0331700000000001</v>
      </c>
      <c r="I211" s="5">
        <f t="shared" si="24"/>
        <v>1851</v>
      </c>
      <c r="J211">
        <f t="shared" si="25"/>
        <v>2.1310449337114976</v>
      </c>
      <c r="K211">
        <f t="shared" si="26"/>
        <v>-2.8241908274167855</v>
      </c>
      <c r="P211">
        <f t="shared" si="27"/>
        <v>0</v>
      </c>
    </row>
    <row r="212" spans="1:16" x14ac:dyDescent="0.25">
      <c r="A212" s="1"/>
      <c r="B212" t="s">
        <v>226</v>
      </c>
      <c r="C212" t="s">
        <v>24</v>
      </c>
      <c r="D212" s="3">
        <v>8.4583333333333339</v>
      </c>
      <c r="E212" s="5">
        <f t="shared" si="21"/>
        <v>1852</v>
      </c>
      <c r="F212">
        <v>1.3898200000000001</v>
      </c>
      <c r="G212">
        <f t="shared" si="22"/>
        <v>-2.8027600000000001</v>
      </c>
      <c r="H212">
        <f t="shared" si="23"/>
        <v>-2.8027600000000001</v>
      </c>
      <c r="I212" s="5">
        <f t="shared" si="24"/>
        <v>1852</v>
      </c>
      <c r="J212">
        <f t="shared" si="25"/>
        <v>-1.295821999113514</v>
      </c>
      <c r="K212">
        <f t="shared" si="26"/>
        <v>4.5127772022184631</v>
      </c>
      <c r="P212">
        <f t="shared" si="27"/>
        <v>0</v>
      </c>
    </row>
    <row r="213" spans="1:16" x14ac:dyDescent="0.25">
      <c r="A213" s="1"/>
      <c r="B213" t="s">
        <v>227</v>
      </c>
      <c r="C213" t="s">
        <v>24</v>
      </c>
      <c r="D213" s="3">
        <v>8.5</v>
      </c>
      <c r="E213" s="5">
        <f t="shared" si="21"/>
        <v>1853</v>
      </c>
      <c r="F213">
        <v>0.79200000000000004</v>
      </c>
      <c r="G213">
        <f t="shared" si="22"/>
        <v>-0.41556999999999999</v>
      </c>
      <c r="H213">
        <f t="shared" si="23"/>
        <v>-0.41556999999999999</v>
      </c>
      <c r="I213" s="5">
        <f t="shared" si="24"/>
        <v>1853</v>
      </c>
      <c r="J213">
        <f t="shared" si="25"/>
        <v>0.79353131553198131</v>
      </c>
      <c r="K213">
        <f t="shared" si="26"/>
        <v>-3.115713583660408</v>
      </c>
      <c r="P213">
        <f t="shared" si="27"/>
        <v>0</v>
      </c>
    </row>
    <row r="214" spans="1:16" x14ac:dyDescent="0.25">
      <c r="A214" s="1"/>
      <c r="B214" t="s">
        <v>228</v>
      </c>
      <c r="C214" t="s">
        <v>24</v>
      </c>
      <c r="D214" s="3">
        <v>8.5416666666666661</v>
      </c>
      <c r="E214" s="5">
        <f t="shared" si="21"/>
        <v>1854</v>
      </c>
      <c r="F214">
        <v>-0.22139</v>
      </c>
      <c r="G214">
        <f t="shared" si="22"/>
        <v>0.86353000000000002</v>
      </c>
      <c r="H214">
        <f t="shared" si="23"/>
        <v>0.86353000000000002</v>
      </c>
      <c r="I214" s="5">
        <f t="shared" si="24"/>
        <v>1854</v>
      </c>
      <c r="J214">
        <f t="shared" si="25"/>
        <v>0.69042244698236432</v>
      </c>
      <c r="K214">
        <f t="shared" si="26"/>
        <v>2.3899260790482755</v>
      </c>
      <c r="P214">
        <f t="shared" si="27"/>
        <v>1</v>
      </c>
    </row>
    <row r="215" spans="1:16" x14ac:dyDescent="0.25">
      <c r="A215" s="1"/>
      <c r="B215" t="s">
        <v>229</v>
      </c>
      <c r="C215" t="s">
        <v>24</v>
      </c>
      <c r="D215" s="3">
        <v>8.5833333333333339</v>
      </c>
      <c r="E215" s="5">
        <f t="shared" si="21"/>
        <v>1855</v>
      </c>
      <c r="F215">
        <v>-0.37125000000000002</v>
      </c>
      <c r="G215">
        <f t="shared" si="22"/>
        <v>2.0419100000000001</v>
      </c>
      <c r="H215">
        <f t="shared" si="23"/>
        <v>2.0419100000000001</v>
      </c>
      <c r="I215" s="5">
        <f t="shared" si="24"/>
        <v>1855</v>
      </c>
      <c r="J215">
        <f t="shared" si="25"/>
        <v>1.4424673858252204</v>
      </c>
      <c r="K215">
        <f t="shared" si="26"/>
        <v>0.15513934741682225</v>
      </c>
      <c r="P215">
        <f t="shared" si="27"/>
        <v>1</v>
      </c>
    </row>
    <row r="216" spans="1:16" x14ac:dyDescent="0.25">
      <c r="A216" s="1"/>
      <c r="B216" t="s">
        <v>230</v>
      </c>
      <c r="C216" t="s">
        <v>24</v>
      </c>
      <c r="D216" s="3">
        <v>8.625</v>
      </c>
      <c r="E216" s="5">
        <f t="shared" si="21"/>
        <v>1856</v>
      </c>
      <c r="F216">
        <v>1.5207999999999999</v>
      </c>
      <c r="G216">
        <f t="shared" si="22"/>
        <v>-3.7130200000000002</v>
      </c>
      <c r="H216">
        <f t="shared" si="23"/>
        <v>-3.7130200000000002</v>
      </c>
      <c r="I216" s="5">
        <f t="shared" si="24"/>
        <v>1856</v>
      </c>
      <c r="J216">
        <f t="shared" si="25"/>
        <v>-2.3134395813224282</v>
      </c>
      <c r="K216">
        <f t="shared" si="26"/>
        <v>-1.9673039267335233</v>
      </c>
      <c r="P216">
        <f t="shared" si="27"/>
        <v>1</v>
      </c>
    </row>
    <row r="217" spans="1:16" x14ac:dyDescent="0.25">
      <c r="A217" s="1"/>
      <c r="B217" t="s">
        <v>231</v>
      </c>
      <c r="C217" t="s">
        <v>24</v>
      </c>
      <c r="D217" s="3">
        <v>8.6666666666666661</v>
      </c>
      <c r="E217" s="5">
        <f t="shared" si="21"/>
        <v>1857</v>
      </c>
      <c r="F217">
        <v>-0.30016999999999999</v>
      </c>
      <c r="G217">
        <f t="shared" si="22"/>
        <v>2.5389900000000001</v>
      </c>
      <c r="H217">
        <f t="shared" si="23"/>
        <v>2.5389900000000001</v>
      </c>
      <c r="I217" s="5">
        <f t="shared" si="24"/>
        <v>1857</v>
      </c>
      <c r="J217">
        <f t="shared" si="25"/>
        <v>2.15231347548221</v>
      </c>
      <c r="K217">
        <f t="shared" si="26"/>
        <v>3.3101289116746702</v>
      </c>
      <c r="P217">
        <f t="shared" si="27"/>
        <v>1</v>
      </c>
    </row>
    <row r="218" spans="1:16" x14ac:dyDescent="0.25">
      <c r="A218" s="1"/>
      <c r="B218" t="s">
        <v>232</v>
      </c>
      <c r="C218" t="s">
        <v>24</v>
      </c>
      <c r="D218" s="3">
        <v>8.7083333333333339</v>
      </c>
      <c r="E218" s="5">
        <f t="shared" si="21"/>
        <v>1858</v>
      </c>
      <c r="F218">
        <v>0.41785</v>
      </c>
      <c r="G218">
        <f t="shared" si="22"/>
        <v>-1.84158</v>
      </c>
      <c r="H218">
        <f t="shared" si="23"/>
        <v>-1.84158</v>
      </c>
      <c r="I218" s="5">
        <f t="shared" si="24"/>
        <v>1858</v>
      </c>
      <c r="J218">
        <f t="shared" si="25"/>
        <v>-1.28916433067698</v>
      </c>
      <c r="K218">
        <f t="shared" si="26"/>
        <v>-4.2792730212730543</v>
      </c>
      <c r="P218">
        <f t="shared" si="27"/>
        <v>1</v>
      </c>
    </row>
    <row r="219" spans="1:16" x14ac:dyDescent="0.25">
      <c r="A219" s="1"/>
      <c r="B219" t="s">
        <v>233</v>
      </c>
      <c r="C219" t="s">
        <v>24</v>
      </c>
      <c r="D219" s="3">
        <v>8.75</v>
      </c>
      <c r="E219" s="5">
        <f t="shared" si="21"/>
        <v>1859</v>
      </c>
      <c r="F219">
        <v>-0.70570999999999995</v>
      </c>
      <c r="G219">
        <f t="shared" si="22"/>
        <v>0.71167999999999976</v>
      </c>
      <c r="H219">
        <f t="shared" si="23"/>
        <v>0.71167999999999976</v>
      </c>
      <c r="I219" s="5">
        <f t="shared" si="24"/>
        <v>1859</v>
      </c>
      <c r="J219">
        <f t="shared" si="25"/>
        <v>7.5214027322624888E-2</v>
      </c>
      <c r="K219">
        <f t="shared" si="26"/>
        <v>3.2821292582355088</v>
      </c>
      <c r="P219">
        <f t="shared" si="27"/>
        <v>1</v>
      </c>
    </row>
    <row r="220" spans="1:16" x14ac:dyDescent="0.25">
      <c r="A220" s="1"/>
      <c r="B220" t="s">
        <v>234</v>
      </c>
      <c r="C220" t="s">
        <v>24</v>
      </c>
      <c r="D220" s="3">
        <v>8.7916666666666661</v>
      </c>
      <c r="E220" s="5">
        <f t="shared" si="21"/>
        <v>1860</v>
      </c>
      <c r="F220">
        <v>-1.1175900000000001</v>
      </c>
      <c r="G220">
        <f t="shared" si="22"/>
        <v>0.52851000000000015</v>
      </c>
      <c r="H220">
        <f t="shared" si="23"/>
        <v>0.52851000000000015</v>
      </c>
      <c r="I220" s="5">
        <f t="shared" si="24"/>
        <v>1860</v>
      </c>
      <c r="J220">
        <f t="shared" si="25"/>
        <v>-1.2587361395909606</v>
      </c>
      <c r="K220">
        <f t="shared" si="26"/>
        <v>-3.1251374740767783</v>
      </c>
      <c r="P220">
        <f t="shared" si="27"/>
        <v>1</v>
      </c>
    </row>
    <row r="221" spans="1:16" x14ac:dyDescent="0.25">
      <c r="A221" s="1"/>
      <c r="B221" t="s">
        <v>235</v>
      </c>
      <c r="C221" t="s">
        <v>24</v>
      </c>
      <c r="D221" s="3">
        <v>8.8333333333333339</v>
      </c>
      <c r="E221" s="5">
        <f t="shared" si="21"/>
        <v>1861</v>
      </c>
      <c r="F221">
        <v>-1.0009600000000001</v>
      </c>
      <c r="G221">
        <f t="shared" si="22"/>
        <v>-0.15195000000000003</v>
      </c>
      <c r="H221">
        <f t="shared" si="23"/>
        <v>-0.15195000000000003</v>
      </c>
      <c r="I221" s="5">
        <f t="shared" si="24"/>
        <v>1861</v>
      </c>
      <c r="J221">
        <f t="shared" si="25"/>
        <v>-0.91497432756445829</v>
      </c>
      <c r="K221">
        <f t="shared" si="26"/>
        <v>0.652484447925049</v>
      </c>
      <c r="P221">
        <f t="shared" si="27"/>
        <v>0</v>
      </c>
    </row>
    <row r="222" spans="1:16" x14ac:dyDescent="0.25">
      <c r="A222" s="1"/>
      <c r="B222" t="s">
        <v>236</v>
      </c>
      <c r="C222" t="s">
        <v>24</v>
      </c>
      <c r="D222" s="3">
        <v>8.875</v>
      </c>
      <c r="E222" s="5">
        <f t="shared" si="21"/>
        <v>1862</v>
      </c>
      <c r="F222">
        <v>-1.0362800000000001</v>
      </c>
      <c r="G222">
        <f t="shared" si="22"/>
        <v>-0.14271999999999996</v>
      </c>
      <c r="H222">
        <f t="shared" si="23"/>
        <v>-0.14271999999999996</v>
      </c>
      <c r="I222" s="5">
        <f t="shared" si="24"/>
        <v>1862</v>
      </c>
      <c r="J222">
        <f t="shared" si="25"/>
        <v>-1.7876861572834783</v>
      </c>
      <c r="K222">
        <f t="shared" si="26"/>
        <v>-0.13834560878590291</v>
      </c>
      <c r="P222">
        <f t="shared" si="27"/>
        <v>1</v>
      </c>
    </row>
    <row r="223" spans="1:16" x14ac:dyDescent="0.25">
      <c r="A223" s="1"/>
      <c r="B223" t="s">
        <v>237</v>
      </c>
      <c r="C223" t="s">
        <v>24</v>
      </c>
      <c r="D223" s="3">
        <v>8.9166666666666661</v>
      </c>
      <c r="E223" s="5">
        <f t="shared" si="21"/>
        <v>1863</v>
      </c>
      <c r="F223">
        <v>-1.2143200000000001</v>
      </c>
      <c r="G223">
        <f t="shared" si="22"/>
        <v>-0.2688299999999999</v>
      </c>
      <c r="H223">
        <f t="shared" si="23"/>
        <v>-0.2688299999999999</v>
      </c>
      <c r="I223" s="5">
        <f t="shared" si="24"/>
        <v>1863</v>
      </c>
      <c r="J223">
        <f t="shared" si="25"/>
        <v>-1.3637156292078065</v>
      </c>
      <c r="K223">
        <f t="shared" si="26"/>
        <v>-2.3789673180968673</v>
      </c>
      <c r="P223">
        <f t="shared" si="27"/>
        <v>1</v>
      </c>
    </row>
    <row r="224" spans="1:16" x14ac:dyDescent="0.25">
      <c r="A224" s="1"/>
      <c r="B224" t="s">
        <v>238</v>
      </c>
      <c r="C224" t="s">
        <v>24</v>
      </c>
      <c r="D224" s="3">
        <v>8.9583333333333339</v>
      </c>
      <c r="E224" s="5">
        <f t="shared" si="21"/>
        <v>1864</v>
      </c>
      <c r="F224">
        <v>-1.6611899999999999</v>
      </c>
      <c r="G224">
        <f t="shared" si="22"/>
        <v>2.6381399999999999</v>
      </c>
      <c r="H224">
        <f t="shared" si="23"/>
        <v>2.6381399999999999</v>
      </c>
      <c r="I224" s="5">
        <f t="shared" si="24"/>
        <v>1864</v>
      </c>
      <c r="J224">
        <f t="shared" si="25"/>
        <v>0.39624282433943225</v>
      </c>
      <c r="K224">
        <f t="shared" si="26"/>
        <v>2.6434936268975351</v>
      </c>
      <c r="P224">
        <f t="shared" si="27"/>
        <v>1</v>
      </c>
    </row>
    <row r="225" spans="1:16" x14ac:dyDescent="0.25">
      <c r="A225" s="1"/>
      <c r="B225" t="s">
        <v>239</v>
      </c>
      <c r="C225" t="s">
        <v>24</v>
      </c>
      <c r="D225" s="3">
        <v>9</v>
      </c>
      <c r="E225" s="5">
        <f t="shared" si="21"/>
        <v>1865</v>
      </c>
      <c r="F225">
        <v>0.53008</v>
      </c>
      <c r="G225">
        <f t="shared" si="22"/>
        <v>-2.5571199999999998</v>
      </c>
      <c r="H225">
        <f t="shared" si="23"/>
        <v>-2.5571199999999998</v>
      </c>
      <c r="I225" s="5">
        <f t="shared" si="24"/>
        <v>1865</v>
      </c>
      <c r="J225">
        <f t="shared" si="25"/>
        <v>-1.9179971194179048</v>
      </c>
      <c r="K225">
        <f t="shared" si="26"/>
        <v>-4.1140120329434247</v>
      </c>
      <c r="P225">
        <f t="shared" si="27"/>
        <v>1</v>
      </c>
    </row>
    <row r="226" spans="1:16" x14ac:dyDescent="0.25">
      <c r="A226" s="1"/>
      <c r="B226" t="s">
        <v>240</v>
      </c>
      <c r="C226" t="s">
        <v>24</v>
      </c>
      <c r="D226" s="3">
        <v>9.0416666666666661</v>
      </c>
      <c r="E226" s="5">
        <f t="shared" si="21"/>
        <v>1866</v>
      </c>
      <c r="F226">
        <v>0.16422999999999999</v>
      </c>
      <c r="G226">
        <f t="shared" si="22"/>
        <v>0.22108000000000003</v>
      </c>
      <c r="H226">
        <f t="shared" si="23"/>
        <v>0.22108000000000003</v>
      </c>
      <c r="I226" s="5">
        <f t="shared" si="24"/>
        <v>1866</v>
      </c>
      <c r="J226">
        <f t="shared" si="25"/>
        <v>0.38946090442830927</v>
      </c>
      <c r="K226">
        <f t="shared" si="26"/>
        <v>3.836813551769271</v>
      </c>
      <c r="P226">
        <f t="shared" si="27"/>
        <v>1</v>
      </c>
    </row>
    <row r="227" spans="1:16" x14ac:dyDescent="0.25">
      <c r="A227" s="1"/>
      <c r="B227" t="s">
        <v>241</v>
      </c>
      <c r="C227" t="s">
        <v>24</v>
      </c>
      <c r="D227" s="3">
        <v>9.0833333333333339</v>
      </c>
      <c r="E227" s="5">
        <f t="shared" si="21"/>
        <v>1867</v>
      </c>
      <c r="F227">
        <v>1.9460000000000002E-2</v>
      </c>
      <c r="G227">
        <f t="shared" si="22"/>
        <v>0.33774999999999999</v>
      </c>
      <c r="H227">
        <f t="shared" si="23"/>
        <v>0.33774999999999999</v>
      </c>
      <c r="I227" s="5">
        <f t="shared" si="24"/>
        <v>1867</v>
      </c>
      <c r="J227">
        <f t="shared" si="25"/>
        <v>0.36725829905061502</v>
      </c>
      <c r="K227">
        <f t="shared" si="26"/>
        <v>-3.5751167172121647</v>
      </c>
      <c r="P227">
        <f t="shared" si="27"/>
        <v>0</v>
      </c>
    </row>
    <row r="228" spans="1:16" x14ac:dyDescent="0.25">
      <c r="A228" s="1"/>
      <c r="B228" t="s">
        <v>242</v>
      </c>
      <c r="C228" t="s">
        <v>24</v>
      </c>
      <c r="D228" s="3">
        <v>9.125</v>
      </c>
      <c r="E228" s="5">
        <f t="shared" si="21"/>
        <v>1868</v>
      </c>
      <c r="F228">
        <v>0.21243999999999999</v>
      </c>
      <c r="G228">
        <f t="shared" si="22"/>
        <v>1.2817400000000001</v>
      </c>
      <c r="H228">
        <f t="shared" si="23"/>
        <v>1.2817400000000001</v>
      </c>
      <c r="I228" s="5">
        <f t="shared" si="24"/>
        <v>1868</v>
      </c>
      <c r="J228">
        <f t="shared" si="25"/>
        <v>1.4499590665431279</v>
      </c>
      <c r="K228">
        <f t="shared" si="26"/>
        <v>2.6280049782395269</v>
      </c>
      <c r="P228">
        <f t="shared" si="27"/>
        <v>1</v>
      </c>
    </row>
    <row r="229" spans="1:16" x14ac:dyDescent="0.25">
      <c r="A229" s="1"/>
      <c r="B229" t="s">
        <v>243</v>
      </c>
      <c r="C229" t="s">
        <v>24</v>
      </c>
      <c r="D229" s="3">
        <v>9.1666666666666661</v>
      </c>
      <c r="E229" s="5">
        <f t="shared" si="21"/>
        <v>1869</v>
      </c>
      <c r="F229">
        <v>1.68716</v>
      </c>
      <c r="G229">
        <f t="shared" si="22"/>
        <v>-3.8360799999999999</v>
      </c>
      <c r="H229">
        <f t="shared" si="23"/>
        <v>-3.8360799999999999</v>
      </c>
      <c r="I229" s="5">
        <f t="shared" si="24"/>
        <v>1869</v>
      </c>
      <c r="J229">
        <f t="shared" si="25"/>
        <v>-1.0784581254859675</v>
      </c>
      <c r="K229">
        <f t="shared" si="26"/>
        <v>-0.586976298771543</v>
      </c>
      <c r="P229">
        <f t="shared" si="27"/>
        <v>1</v>
      </c>
    </row>
    <row r="230" spans="1:16" x14ac:dyDescent="0.25">
      <c r="A230" s="1"/>
      <c r="B230" t="s">
        <v>244</v>
      </c>
      <c r="C230" t="s">
        <v>24</v>
      </c>
      <c r="D230" s="3">
        <v>9.2083333333333339</v>
      </c>
      <c r="E230" s="5">
        <f t="shared" si="21"/>
        <v>1870</v>
      </c>
      <c r="F230">
        <v>-0.67420000000000002</v>
      </c>
      <c r="G230">
        <f t="shared" si="22"/>
        <v>1.8069799999999998</v>
      </c>
      <c r="H230">
        <f t="shared" si="23"/>
        <v>1.8069799999999998</v>
      </c>
      <c r="I230" s="5">
        <f t="shared" si="24"/>
        <v>1870</v>
      </c>
      <c r="J230">
        <f t="shared" si="25"/>
        <v>1.2364430181371155</v>
      </c>
      <c r="K230">
        <f t="shared" si="26"/>
        <v>-0.60118705363044866</v>
      </c>
      <c r="P230">
        <f t="shared" si="27"/>
        <v>0</v>
      </c>
    </row>
    <row r="231" spans="1:16" x14ac:dyDescent="0.25">
      <c r="A231" s="1"/>
      <c r="B231" t="s">
        <v>245</v>
      </c>
      <c r="C231" t="s">
        <v>24</v>
      </c>
      <c r="D231" s="3">
        <v>9.25</v>
      </c>
      <c r="E231" s="5">
        <f t="shared" si="21"/>
        <v>1871</v>
      </c>
      <c r="F231">
        <v>-1.22858</v>
      </c>
      <c r="G231">
        <f t="shared" si="22"/>
        <v>0.84607999999999994</v>
      </c>
      <c r="H231">
        <f t="shared" si="23"/>
        <v>0.84607999999999994</v>
      </c>
      <c r="I231" s="5">
        <f t="shared" si="24"/>
        <v>1871</v>
      </c>
      <c r="J231">
        <f t="shared" si="25"/>
        <v>-0.8837531468133738</v>
      </c>
      <c r="K231">
        <f t="shared" si="26"/>
        <v>3.2235033579468499</v>
      </c>
      <c r="P231">
        <f t="shared" si="27"/>
        <v>0</v>
      </c>
    </row>
    <row r="232" spans="1:16" x14ac:dyDescent="0.25">
      <c r="A232" s="1"/>
      <c r="B232" t="s">
        <v>246</v>
      </c>
      <c r="C232" t="s">
        <v>24</v>
      </c>
      <c r="D232" s="3">
        <v>9.2916666666666661</v>
      </c>
      <c r="E232" s="5">
        <f t="shared" si="21"/>
        <v>1872</v>
      </c>
      <c r="F232">
        <v>-0.93688000000000005</v>
      </c>
      <c r="G232">
        <f t="shared" si="22"/>
        <v>-0.18365999999999993</v>
      </c>
      <c r="H232">
        <f t="shared" si="23"/>
        <v>-0.18365999999999993</v>
      </c>
      <c r="I232" s="5">
        <f t="shared" si="24"/>
        <v>1872</v>
      </c>
      <c r="J232">
        <f t="shared" si="25"/>
        <v>-1.3290878068348584</v>
      </c>
      <c r="K232">
        <f t="shared" si="26"/>
        <v>-3.2898901347650114</v>
      </c>
      <c r="P232">
        <f t="shared" si="27"/>
        <v>1</v>
      </c>
    </row>
    <row r="233" spans="1:16" x14ac:dyDescent="0.25">
      <c r="A233" s="1"/>
      <c r="B233" t="s">
        <v>247</v>
      </c>
      <c r="C233" t="s">
        <v>24</v>
      </c>
      <c r="D233" s="3">
        <v>9.3333333333333339</v>
      </c>
      <c r="E233" s="5">
        <f t="shared" si="21"/>
        <v>1873</v>
      </c>
      <c r="F233">
        <v>-0.82884000000000002</v>
      </c>
      <c r="G233">
        <f t="shared" si="22"/>
        <v>0.55813000000000001</v>
      </c>
      <c r="H233">
        <f t="shared" si="23"/>
        <v>0.55813000000000001</v>
      </c>
      <c r="I233" s="5">
        <f t="shared" si="24"/>
        <v>1873</v>
      </c>
      <c r="J233">
        <f t="shared" si="25"/>
        <v>-0.25121535688368507</v>
      </c>
      <c r="K233">
        <f t="shared" si="26"/>
        <v>4.4483524522143432</v>
      </c>
      <c r="P233">
        <f t="shared" si="27"/>
        <v>0</v>
      </c>
    </row>
    <row r="234" spans="1:16" x14ac:dyDescent="0.25">
      <c r="A234" s="1"/>
      <c r="B234" t="s">
        <v>248</v>
      </c>
      <c r="C234" t="s">
        <v>24</v>
      </c>
      <c r="D234" s="3">
        <v>9.375</v>
      </c>
      <c r="E234" s="5">
        <f t="shared" si="21"/>
        <v>1874</v>
      </c>
      <c r="F234">
        <v>-0.16267000000000001</v>
      </c>
      <c r="G234">
        <f t="shared" si="22"/>
        <v>-0.27478000000000002</v>
      </c>
      <c r="H234">
        <f t="shared" si="23"/>
        <v>-0.27478000000000002</v>
      </c>
      <c r="I234" s="5">
        <f t="shared" si="24"/>
        <v>1874</v>
      </c>
      <c r="J234">
        <f t="shared" si="25"/>
        <v>-0.53426077715928244</v>
      </c>
      <c r="K234">
        <f t="shared" si="26"/>
        <v>-2.4042388519805522</v>
      </c>
      <c r="P234">
        <f t="shared" si="27"/>
        <v>1</v>
      </c>
    </row>
    <row r="235" spans="1:16" x14ac:dyDescent="0.25">
      <c r="A235" s="1"/>
      <c r="B235" t="s">
        <v>249</v>
      </c>
      <c r="C235" t="s">
        <v>24</v>
      </c>
      <c r="D235" s="3">
        <v>9.4166666666666661</v>
      </c>
      <c r="E235" s="5">
        <f t="shared" si="21"/>
        <v>1875</v>
      </c>
      <c r="F235">
        <v>0.22872000000000001</v>
      </c>
      <c r="G235">
        <f t="shared" si="22"/>
        <v>-1.0702400000000001</v>
      </c>
      <c r="H235">
        <f t="shared" si="23"/>
        <v>-1.0702400000000001</v>
      </c>
      <c r="I235" s="5">
        <f t="shared" si="24"/>
        <v>1875</v>
      </c>
      <c r="J235">
        <f t="shared" si="25"/>
        <v>-0.89297116123815923</v>
      </c>
      <c r="K235">
        <f t="shared" si="26"/>
        <v>1.4687950727716801</v>
      </c>
      <c r="P235">
        <f t="shared" si="27"/>
        <v>0</v>
      </c>
    </row>
    <row r="236" spans="1:16" x14ac:dyDescent="0.25">
      <c r="A236" s="1"/>
      <c r="B236" t="s">
        <v>250</v>
      </c>
      <c r="C236" t="s">
        <v>24</v>
      </c>
      <c r="D236" s="3">
        <v>9.4583333333333339</v>
      </c>
      <c r="E236" s="5">
        <f t="shared" si="21"/>
        <v>1876</v>
      </c>
      <c r="F236">
        <v>-0.45012999999999997</v>
      </c>
      <c r="G236">
        <f t="shared" si="22"/>
        <v>2.2897299999999996</v>
      </c>
      <c r="H236">
        <f t="shared" si="23"/>
        <v>2.2897299999999996</v>
      </c>
      <c r="I236" s="5">
        <f t="shared" si="24"/>
        <v>1876</v>
      </c>
      <c r="J236">
        <f t="shared" si="25"/>
        <v>1.5864376768012458</v>
      </c>
      <c r="K236">
        <f t="shared" si="26"/>
        <v>1.3512712642863964</v>
      </c>
      <c r="P236">
        <f t="shared" si="27"/>
        <v>1</v>
      </c>
    </row>
    <row r="237" spans="1:16" x14ac:dyDescent="0.25">
      <c r="A237" s="1"/>
      <c r="B237" t="s">
        <v>251</v>
      </c>
      <c r="C237" t="s">
        <v>24</v>
      </c>
      <c r="D237" s="3">
        <v>9.5</v>
      </c>
      <c r="E237" s="5">
        <f t="shared" si="21"/>
        <v>1877</v>
      </c>
      <c r="F237">
        <v>1.1607499999999999</v>
      </c>
      <c r="G237">
        <f t="shared" si="22"/>
        <v>-1.5945399999999998</v>
      </c>
      <c r="H237">
        <f t="shared" si="23"/>
        <v>-1.5945399999999998</v>
      </c>
      <c r="I237" s="5">
        <f t="shared" si="24"/>
        <v>1877</v>
      </c>
      <c r="J237">
        <f t="shared" si="25"/>
        <v>-0.41174865866987559</v>
      </c>
      <c r="K237">
        <f t="shared" si="26"/>
        <v>-2.6953387502830788</v>
      </c>
      <c r="P237">
        <f t="shared" si="27"/>
        <v>1</v>
      </c>
    </row>
    <row r="238" spans="1:16" x14ac:dyDescent="0.25">
      <c r="A238" s="1"/>
      <c r="B238" t="s">
        <v>252</v>
      </c>
      <c r="C238" t="s">
        <v>24</v>
      </c>
      <c r="D238" s="3">
        <v>9.5416666666666661</v>
      </c>
      <c r="E238" s="5">
        <f t="shared" si="21"/>
        <v>1878</v>
      </c>
      <c r="F238">
        <v>1.17709</v>
      </c>
      <c r="G238">
        <f t="shared" si="22"/>
        <v>-2.12297</v>
      </c>
      <c r="H238">
        <f t="shared" si="23"/>
        <v>-2.12297</v>
      </c>
      <c r="I238" s="5">
        <f t="shared" si="24"/>
        <v>1878</v>
      </c>
      <c r="J238">
        <f t="shared" si="25"/>
        <v>-0.73790465512410397</v>
      </c>
      <c r="K238">
        <f t="shared" si="26"/>
        <v>3.8530755201907065</v>
      </c>
      <c r="P238">
        <f t="shared" si="27"/>
        <v>0</v>
      </c>
    </row>
    <row r="239" spans="1:16" x14ac:dyDescent="0.25">
      <c r="A239" s="1"/>
      <c r="B239" t="s">
        <v>253</v>
      </c>
      <c r="C239" t="s">
        <v>24</v>
      </c>
      <c r="D239" s="3">
        <v>9.5833333333333339</v>
      </c>
      <c r="E239" s="5">
        <f t="shared" si="21"/>
        <v>1879</v>
      </c>
      <c r="F239">
        <v>-0.92954000000000003</v>
      </c>
      <c r="G239">
        <f t="shared" si="22"/>
        <v>1.21221</v>
      </c>
      <c r="H239">
        <f t="shared" si="23"/>
        <v>1.21221</v>
      </c>
      <c r="I239" s="5">
        <f t="shared" si="24"/>
        <v>1879</v>
      </c>
      <c r="J239">
        <f t="shared" si="25"/>
        <v>-0.11184137595318089</v>
      </c>
      <c r="K239">
        <f t="shared" si="26"/>
        <v>-4.088223080920903</v>
      </c>
      <c r="P239">
        <f t="shared" si="27"/>
        <v>1</v>
      </c>
    </row>
    <row r="240" spans="1:16" x14ac:dyDescent="0.25">
      <c r="A240" s="1"/>
      <c r="B240" t="s">
        <v>254</v>
      </c>
      <c r="C240" t="s">
        <v>24</v>
      </c>
      <c r="D240" s="3">
        <v>9.625</v>
      </c>
      <c r="E240" s="5">
        <f t="shared" si="21"/>
        <v>1880</v>
      </c>
      <c r="F240">
        <v>-1.82396</v>
      </c>
      <c r="G240">
        <f t="shared" si="22"/>
        <v>3.1040900000000002</v>
      </c>
      <c r="H240">
        <f t="shared" si="23"/>
        <v>3.1040900000000002</v>
      </c>
      <c r="I240" s="5">
        <f t="shared" si="24"/>
        <v>1880</v>
      </c>
      <c r="J240">
        <f t="shared" si="25"/>
        <v>1.5816328041794541</v>
      </c>
      <c r="K240">
        <f t="shared" si="26"/>
        <v>2.8738029210903631</v>
      </c>
      <c r="P240">
        <f t="shared" si="27"/>
        <v>1</v>
      </c>
    </row>
    <row r="241" spans="1:16" x14ac:dyDescent="0.25">
      <c r="A241" s="1"/>
      <c r="B241" t="s">
        <v>255</v>
      </c>
      <c r="C241" t="s">
        <v>24</v>
      </c>
      <c r="D241" s="3">
        <v>9.6666666666666661</v>
      </c>
      <c r="E241" s="5">
        <f t="shared" si="21"/>
        <v>1881</v>
      </c>
      <c r="F241">
        <v>0.38571</v>
      </c>
      <c r="G241">
        <f t="shared" si="22"/>
        <v>-2.3247300000000002</v>
      </c>
      <c r="H241">
        <f t="shared" si="23"/>
        <v>-2.3247300000000002</v>
      </c>
      <c r="I241" s="5">
        <f t="shared" si="24"/>
        <v>1881</v>
      </c>
      <c r="J241">
        <f t="shared" si="25"/>
        <v>-1.6972416033282578</v>
      </c>
      <c r="K241">
        <f t="shared" si="26"/>
        <v>-2.2628443675326899</v>
      </c>
      <c r="P241">
        <f t="shared" si="27"/>
        <v>1</v>
      </c>
    </row>
    <row r="242" spans="1:16" x14ac:dyDescent="0.25">
      <c r="A242" s="1"/>
      <c r="B242" t="s">
        <v>256</v>
      </c>
      <c r="C242" t="s">
        <v>24</v>
      </c>
      <c r="D242" s="3">
        <v>9.7083333333333339</v>
      </c>
      <c r="E242" s="5">
        <f t="shared" si="21"/>
        <v>1882</v>
      </c>
      <c r="F242">
        <v>0.27065</v>
      </c>
      <c r="G242">
        <f t="shared" si="22"/>
        <v>-0.93714000000000008</v>
      </c>
      <c r="H242">
        <f t="shared" si="23"/>
        <v>-0.93714000000000008</v>
      </c>
      <c r="I242" s="5">
        <f t="shared" si="24"/>
        <v>1882</v>
      </c>
      <c r="J242">
        <f t="shared" si="25"/>
        <v>-0.7263767617406357</v>
      </c>
      <c r="K242">
        <f t="shared" si="26"/>
        <v>-0.23017371976542145</v>
      </c>
      <c r="P242">
        <f t="shared" si="27"/>
        <v>1</v>
      </c>
    </row>
    <row r="243" spans="1:16" x14ac:dyDescent="0.25">
      <c r="A243" s="1"/>
      <c r="B243" t="s">
        <v>257</v>
      </c>
      <c r="C243" t="s">
        <v>24</v>
      </c>
      <c r="D243" s="3">
        <v>9.75</v>
      </c>
      <c r="E243" s="5">
        <f t="shared" si="21"/>
        <v>1883</v>
      </c>
      <c r="F243">
        <v>-0.78154999999999997</v>
      </c>
      <c r="G243">
        <f t="shared" si="22"/>
        <v>2.1461699999999997</v>
      </c>
      <c r="H243">
        <f t="shared" si="23"/>
        <v>2.1461699999999997</v>
      </c>
      <c r="I243" s="5">
        <f t="shared" si="24"/>
        <v>1883</v>
      </c>
      <c r="J243">
        <f t="shared" si="25"/>
        <v>0.9460296122176336</v>
      </c>
      <c r="K243">
        <f t="shared" si="26"/>
        <v>0.75771625915901086</v>
      </c>
      <c r="P243">
        <f t="shared" si="27"/>
        <v>1</v>
      </c>
    </row>
    <row r="244" spans="1:16" x14ac:dyDescent="0.25">
      <c r="A244" s="1"/>
      <c r="B244" t="s">
        <v>258</v>
      </c>
      <c r="C244" t="s">
        <v>24</v>
      </c>
      <c r="D244" s="3">
        <v>9.7916666666666661</v>
      </c>
      <c r="E244" s="5">
        <f t="shared" si="21"/>
        <v>1884</v>
      </c>
      <c r="F244">
        <v>0.31241999999999998</v>
      </c>
      <c r="G244">
        <f t="shared" si="22"/>
        <v>0.26290000000000013</v>
      </c>
      <c r="H244">
        <f t="shared" si="23"/>
        <v>0.26290000000000013</v>
      </c>
      <c r="I244" s="5">
        <f t="shared" si="24"/>
        <v>1884</v>
      </c>
      <c r="J244">
        <f t="shared" si="25"/>
        <v>0.56923473074383624</v>
      </c>
      <c r="K244">
        <f t="shared" si="26"/>
        <v>-3.1609130244238948</v>
      </c>
      <c r="P244">
        <f t="shared" si="27"/>
        <v>0</v>
      </c>
    </row>
    <row r="245" spans="1:16" x14ac:dyDescent="0.25">
      <c r="A245" s="1"/>
      <c r="B245" t="s">
        <v>259</v>
      </c>
      <c r="C245" t="s">
        <v>24</v>
      </c>
      <c r="D245" s="3">
        <v>9.8333333333333339</v>
      </c>
      <c r="E245" s="5">
        <f t="shared" si="21"/>
        <v>1885</v>
      </c>
      <c r="F245">
        <v>1.6692899999999999</v>
      </c>
      <c r="G245">
        <f t="shared" si="22"/>
        <v>-3.0097399999999999</v>
      </c>
      <c r="H245">
        <f t="shared" si="23"/>
        <v>-3.0097399999999999</v>
      </c>
      <c r="I245" s="5">
        <f t="shared" si="24"/>
        <v>1885</v>
      </c>
      <c r="J245">
        <f t="shared" si="25"/>
        <v>-0.91585957050948419</v>
      </c>
      <c r="K245">
        <f t="shared" si="26"/>
        <v>3.0780260721207724</v>
      </c>
      <c r="P245">
        <f t="shared" si="27"/>
        <v>0</v>
      </c>
    </row>
    <row r="246" spans="1:16" x14ac:dyDescent="0.25">
      <c r="A246" s="1"/>
      <c r="B246" t="s">
        <v>260</v>
      </c>
      <c r="C246" t="s">
        <v>24</v>
      </c>
      <c r="D246" s="3">
        <v>9.875</v>
      </c>
      <c r="E246" s="5">
        <f t="shared" si="21"/>
        <v>1886</v>
      </c>
      <c r="F246">
        <v>1.6420000000000001E-2</v>
      </c>
      <c r="G246">
        <f t="shared" si="22"/>
        <v>-0.11202000000000023</v>
      </c>
      <c r="H246">
        <f t="shared" si="23"/>
        <v>-0.11202000000000023</v>
      </c>
      <c r="I246" s="5">
        <f t="shared" si="24"/>
        <v>1886</v>
      </c>
      <c r="J246">
        <f t="shared" si="25"/>
        <v>-9.0635151806767414E-2</v>
      </c>
      <c r="K246">
        <f t="shared" si="26"/>
        <v>-4.3951472846289779</v>
      </c>
      <c r="P246">
        <f t="shared" si="27"/>
        <v>1</v>
      </c>
    </row>
    <row r="247" spans="1:16" x14ac:dyDescent="0.25">
      <c r="A247" s="1"/>
      <c r="B247" t="s">
        <v>261</v>
      </c>
      <c r="C247" t="s">
        <v>24</v>
      </c>
      <c r="D247" s="3">
        <v>9.9166666666666661</v>
      </c>
      <c r="E247" s="5">
        <f t="shared" si="21"/>
        <v>1887</v>
      </c>
      <c r="F247">
        <v>-1.74847</v>
      </c>
      <c r="G247">
        <f t="shared" si="22"/>
        <v>4.7467000000000006</v>
      </c>
      <c r="H247">
        <f t="shared" si="23"/>
        <v>4.7467000000000006</v>
      </c>
      <c r="I247" s="5">
        <f t="shared" si="24"/>
        <v>1887</v>
      </c>
      <c r="J247">
        <f t="shared" si="25"/>
        <v>3.1077213446339127</v>
      </c>
      <c r="K247">
        <f t="shared" si="26"/>
        <v>3.5495438421733838</v>
      </c>
      <c r="P247">
        <f t="shared" si="27"/>
        <v>1</v>
      </c>
    </row>
    <row r="248" spans="1:16" x14ac:dyDescent="0.25">
      <c r="A248" s="1"/>
      <c r="B248" t="s">
        <v>262</v>
      </c>
      <c r="C248" t="s">
        <v>24</v>
      </c>
      <c r="D248" s="3">
        <v>9.9583333333333339</v>
      </c>
      <c r="E248" s="5">
        <f t="shared" si="21"/>
        <v>1888</v>
      </c>
      <c r="F248">
        <v>1.2333400000000001</v>
      </c>
      <c r="G248">
        <f t="shared" si="22"/>
        <v>-2.8604800000000004</v>
      </c>
      <c r="H248">
        <f t="shared" si="23"/>
        <v>-2.8604800000000004</v>
      </c>
      <c r="I248" s="5">
        <f t="shared" si="24"/>
        <v>1888</v>
      </c>
      <c r="J248">
        <f t="shared" si="25"/>
        <v>-0.91692087603328765</v>
      </c>
      <c r="K248">
        <f t="shared" si="26"/>
        <v>-3.1658994647063019</v>
      </c>
      <c r="P248">
        <f t="shared" si="27"/>
        <v>1</v>
      </c>
    </row>
    <row r="249" spans="1:16" x14ac:dyDescent="0.25">
      <c r="A249" s="1"/>
      <c r="B249" t="s">
        <v>263</v>
      </c>
      <c r="C249" t="s">
        <v>24</v>
      </c>
      <c r="D249" s="3">
        <v>10</v>
      </c>
      <c r="E249" s="5">
        <f t="shared" si="21"/>
        <v>1889</v>
      </c>
      <c r="F249">
        <v>1.35467</v>
      </c>
      <c r="G249">
        <f t="shared" si="22"/>
        <v>-2.9236499999999999</v>
      </c>
      <c r="H249">
        <f t="shared" si="23"/>
        <v>-2.9236499999999999</v>
      </c>
      <c r="I249" s="5">
        <f t="shared" si="24"/>
        <v>1889</v>
      </c>
      <c r="J249">
        <f t="shared" si="25"/>
        <v>-1.882364355699871</v>
      </c>
      <c r="K249">
        <f t="shared" si="26"/>
        <v>1.6671177256903558</v>
      </c>
      <c r="P249">
        <f t="shared" si="27"/>
        <v>0</v>
      </c>
    </row>
    <row r="250" spans="1:16" x14ac:dyDescent="0.25">
      <c r="A250" s="1"/>
      <c r="B250" t="s">
        <v>264</v>
      </c>
      <c r="C250" t="s">
        <v>24</v>
      </c>
      <c r="D250" s="3">
        <v>10.041666666666666</v>
      </c>
      <c r="E250" s="5">
        <f t="shared" si="21"/>
        <v>1890</v>
      </c>
      <c r="F250">
        <v>-1.4476500000000001</v>
      </c>
      <c r="G250">
        <f t="shared" si="22"/>
        <v>4.2313499999999999</v>
      </c>
      <c r="H250">
        <f t="shared" si="23"/>
        <v>4.2313499999999999</v>
      </c>
      <c r="I250" s="5">
        <f t="shared" si="24"/>
        <v>1890</v>
      </c>
      <c r="J250">
        <f t="shared" si="25"/>
        <v>1.9058622905446256</v>
      </c>
      <c r="K250">
        <f t="shared" si="26"/>
        <v>0.30400912237685795</v>
      </c>
      <c r="P250">
        <f t="shared" si="27"/>
        <v>1</v>
      </c>
    </row>
    <row r="251" spans="1:16" x14ac:dyDescent="0.25">
      <c r="A251" s="1"/>
      <c r="B251" t="s">
        <v>265</v>
      </c>
      <c r="C251" t="s">
        <v>24</v>
      </c>
      <c r="D251" s="3">
        <v>10.083333333333334</v>
      </c>
      <c r="E251" s="5">
        <f t="shared" si="21"/>
        <v>1891</v>
      </c>
      <c r="F251">
        <v>-1.8620000000000001E-2</v>
      </c>
      <c r="G251">
        <f t="shared" si="22"/>
        <v>-1.7558</v>
      </c>
      <c r="H251">
        <f t="shared" si="23"/>
        <v>-1.7558</v>
      </c>
      <c r="I251" s="5">
        <f t="shared" si="24"/>
        <v>1891</v>
      </c>
      <c r="J251">
        <f t="shared" si="25"/>
        <v>-1.7729155008741946</v>
      </c>
      <c r="K251">
        <f t="shared" si="26"/>
        <v>-1.6586891442935976</v>
      </c>
      <c r="P251">
        <f t="shared" si="27"/>
        <v>1</v>
      </c>
    </row>
    <row r="252" spans="1:16" x14ac:dyDescent="0.25">
      <c r="A252" s="1"/>
      <c r="B252" t="s">
        <v>266</v>
      </c>
      <c r="C252" t="s">
        <v>24</v>
      </c>
      <c r="D252" s="3">
        <v>10.125</v>
      </c>
      <c r="E252" s="5">
        <f t="shared" si="21"/>
        <v>1892</v>
      </c>
      <c r="F252">
        <v>-0.34538999999999997</v>
      </c>
      <c r="G252">
        <f t="shared" si="22"/>
        <v>-1.5630200000000001</v>
      </c>
      <c r="H252">
        <f t="shared" si="23"/>
        <v>-1.5630200000000001</v>
      </c>
      <c r="I252" s="5">
        <f t="shared" si="24"/>
        <v>1892</v>
      </c>
      <c r="J252">
        <f t="shared" si="25"/>
        <v>-2.0115847023653881</v>
      </c>
      <c r="K252">
        <f t="shared" si="26"/>
        <v>3.8341885789988637</v>
      </c>
      <c r="P252">
        <f t="shared" si="27"/>
        <v>0</v>
      </c>
    </row>
    <row r="253" spans="1:16" x14ac:dyDescent="0.25">
      <c r="A253" s="1"/>
      <c r="B253" t="s">
        <v>267</v>
      </c>
      <c r="C253" t="s">
        <v>24</v>
      </c>
      <c r="D253" s="3">
        <v>10.166666666666666</v>
      </c>
      <c r="E253" s="5">
        <f t="shared" si="21"/>
        <v>1893</v>
      </c>
      <c r="F253">
        <v>-2.2351800000000002</v>
      </c>
      <c r="G253">
        <f t="shared" si="22"/>
        <v>2.3824900000000002</v>
      </c>
      <c r="H253">
        <f t="shared" si="23"/>
        <v>2.3824900000000002</v>
      </c>
      <c r="I253" s="5">
        <f t="shared" si="24"/>
        <v>1893</v>
      </c>
      <c r="J253">
        <f t="shared" si="25"/>
        <v>-0.60745507861410786</v>
      </c>
      <c r="K253">
        <f t="shared" si="26"/>
        <v>-3.5068987099137003</v>
      </c>
      <c r="P253">
        <f t="shared" si="27"/>
        <v>1</v>
      </c>
    </row>
    <row r="254" spans="1:16" x14ac:dyDescent="0.25">
      <c r="A254" s="1"/>
      <c r="B254" t="s">
        <v>268</v>
      </c>
      <c r="C254" t="s">
        <v>24</v>
      </c>
      <c r="D254" s="3">
        <v>10.208333333333334</v>
      </c>
      <c r="E254" s="5">
        <f t="shared" si="21"/>
        <v>1894</v>
      </c>
      <c r="F254">
        <v>-1.74248</v>
      </c>
      <c r="G254">
        <f t="shared" si="22"/>
        <v>0.96674999999999978</v>
      </c>
      <c r="H254">
        <f t="shared" si="23"/>
        <v>0.96674999999999978</v>
      </c>
      <c r="I254" s="5">
        <f t="shared" si="24"/>
        <v>1894</v>
      </c>
      <c r="J254">
        <f t="shared" si="25"/>
        <v>-0.57607878387943856</v>
      </c>
      <c r="K254">
        <f t="shared" si="26"/>
        <v>4.0610344000032903</v>
      </c>
      <c r="P254">
        <f t="shared" si="27"/>
        <v>0</v>
      </c>
    </row>
    <row r="255" spans="1:16" x14ac:dyDescent="0.25">
      <c r="A255" s="1"/>
      <c r="B255" t="s">
        <v>269</v>
      </c>
      <c r="C255" t="s">
        <v>24</v>
      </c>
      <c r="D255" s="3">
        <v>10.25</v>
      </c>
      <c r="E255" s="5">
        <f t="shared" si="21"/>
        <v>1895</v>
      </c>
      <c r="F255">
        <v>-0.28303</v>
      </c>
      <c r="G255">
        <f t="shared" si="22"/>
        <v>-1.5630499999999998</v>
      </c>
      <c r="H255">
        <f t="shared" si="23"/>
        <v>-1.5630499999999998</v>
      </c>
      <c r="I255" s="5">
        <f t="shared" si="24"/>
        <v>1895</v>
      </c>
      <c r="J255">
        <f t="shared" si="25"/>
        <v>-2.0255092486732442</v>
      </c>
      <c r="K255">
        <f t="shared" si="26"/>
        <v>-1.4991738644008272</v>
      </c>
      <c r="P255">
        <f t="shared" si="27"/>
        <v>1</v>
      </c>
    </row>
    <row r="256" spans="1:16" x14ac:dyDescent="0.25">
      <c r="A256" s="1"/>
      <c r="B256" t="s">
        <v>270</v>
      </c>
      <c r="C256" t="s">
        <v>24</v>
      </c>
      <c r="D256" s="3">
        <v>10.291666666666666</v>
      </c>
      <c r="E256" s="5">
        <f t="shared" si="21"/>
        <v>1896</v>
      </c>
      <c r="F256">
        <v>-0.38662999999999997</v>
      </c>
      <c r="G256">
        <f t="shared" si="22"/>
        <v>1.8875199999999999</v>
      </c>
      <c r="H256">
        <f t="shared" si="23"/>
        <v>1.8875199999999999</v>
      </c>
      <c r="I256" s="5">
        <f t="shared" si="24"/>
        <v>1896</v>
      </c>
      <c r="J256">
        <f t="shared" si="25"/>
        <v>1.5780353573206494</v>
      </c>
      <c r="K256">
        <f t="shared" si="26"/>
        <v>0.44803536077966871</v>
      </c>
      <c r="P256">
        <f t="shared" si="27"/>
        <v>1</v>
      </c>
    </row>
    <row r="257" spans="1:16" x14ac:dyDescent="0.25">
      <c r="A257" s="1"/>
      <c r="B257" t="s">
        <v>271</v>
      </c>
      <c r="C257" t="s">
        <v>24</v>
      </c>
      <c r="D257" s="3">
        <v>10.333333333333334</v>
      </c>
      <c r="E257" s="5">
        <f t="shared" si="21"/>
        <v>1897</v>
      </c>
      <c r="F257">
        <v>1.3972899999999999</v>
      </c>
      <c r="G257">
        <f t="shared" si="22"/>
        <v>-3.03003</v>
      </c>
      <c r="H257">
        <f t="shared" si="23"/>
        <v>-3.03003</v>
      </c>
      <c r="I257" s="5">
        <f t="shared" si="24"/>
        <v>1897</v>
      </c>
      <c r="J257">
        <f t="shared" si="25"/>
        <v>-0.95651137556250332</v>
      </c>
      <c r="K257">
        <f t="shared" si="26"/>
        <v>2.4487703061914141</v>
      </c>
      <c r="P257">
        <f t="shared" si="27"/>
        <v>0</v>
      </c>
    </row>
    <row r="258" spans="1:16" x14ac:dyDescent="0.25">
      <c r="A258" s="1"/>
      <c r="B258" t="s">
        <v>272</v>
      </c>
      <c r="C258" t="s">
        <v>24</v>
      </c>
      <c r="D258" s="3">
        <v>10.375</v>
      </c>
      <c r="E258" s="5">
        <f t="shared" si="21"/>
        <v>1898</v>
      </c>
      <c r="F258">
        <v>0.15118000000000001</v>
      </c>
      <c r="G258">
        <f t="shared" si="22"/>
        <v>-0.33862000000000037</v>
      </c>
      <c r="H258">
        <f t="shared" si="23"/>
        <v>-0.33862000000000037</v>
      </c>
      <c r="I258" s="5">
        <f t="shared" si="24"/>
        <v>1898</v>
      </c>
      <c r="J258">
        <f t="shared" si="25"/>
        <v>-0.16778064250710564</v>
      </c>
      <c r="K258">
        <f t="shared" si="26"/>
        <v>-3.223971904835309</v>
      </c>
      <c r="P258">
        <f t="shared" si="27"/>
        <v>1</v>
      </c>
    </row>
    <row r="259" spans="1:16" x14ac:dyDescent="0.25">
      <c r="A259" s="1"/>
      <c r="B259" t="s">
        <v>273</v>
      </c>
      <c r="C259" t="s">
        <v>24</v>
      </c>
      <c r="D259" s="3">
        <v>10.416666666666666</v>
      </c>
      <c r="E259" s="5">
        <f t="shared" si="21"/>
        <v>1899</v>
      </c>
      <c r="F259">
        <v>-1.4335500000000001</v>
      </c>
      <c r="G259">
        <f t="shared" si="22"/>
        <v>3.4573100000000005</v>
      </c>
      <c r="H259">
        <f t="shared" si="23"/>
        <v>3.4573100000000005</v>
      </c>
      <c r="I259" s="5">
        <f t="shared" si="24"/>
        <v>1899</v>
      </c>
      <c r="J259">
        <f t="shared" si="25"/>
        <v>1.9265290376118529</v>
      </c>
      <c r="K259">
        <f t="shared" si="26"/>
        <v>4.1325259534164935</v>
      </c>
      <c r="P259">
        <f t="shared" si="27"/>
        <v>1</v>
      </c>
    </row>
    <row r="260" spans="1:16" x14ac:dyDescent="0.25">
      <c r="A260" s="1"/>
      <c r="B260" s="4">
        <v>1</v>
      </c>
      <c r="C260" t="s">
        <v>24</v>
      </c>
      <c r="D260" s="3">
        <v>10.458333333333334</v>
      </c>
      <c r="E260" s="5">
        <f t="shared" si="21"/>
        <v>1900</v>
      </c>
      <c r="F260">
        <v>0.43902999999999998</v>
      </c>
      <c r="G260">
        <f t="shared" si="22"/>
        <v>-1.2742800000000001</v>
      </c>
      <c r="H260">
        <f t="shared" si="23"/>
        <v>-1.2742800000000001</v>
      </c>
      <c r="I260" s="5">
        <f t="shared" si="24"/>
        <v>1900</v>
      </c>
      <c r="J260">
        <f t="shared" si="25"/>
        <v>-0.61061595192629881</v>
      </c>
      <c r="K260">
        <f t="shared" si="26"/>
        <v>-3.6391010164167699</v>
      </c>
      <c r="P260">
        <f t="shared" si="27"/>
        <v>1</v>
      </c>
    </row>
    <row r="261" spans="1:16" x14ac:dyDescent="0.25">
      <c r="A261" s="1"/>
      <c r="B261" s="4">
        <v>367</v>
      </c>
      <c r="C261" t="s">
        <v>24</v>
      </c>
      <c r="D261" s="3">
        <v>10.5</v>
      </c>
      <c r="E261" s="5">
        <f t="shared" si="21"/>
        <v>1901</v>
      </c>
      <c r="F261">
        <v>1.0373300000000001</v>
      </c>
      <c r="G261">
        <f t="shared" si="22"/>
        <v>-2.6122100000000001</v>
      </c>
      <c r="H261">
        <f t="shared" si="23"/>
        <v>-2.6122100000000001</v>
      </c>
      <c r="I261" s="5">
        <f t="shared" si="24"/>
        <v>1901</v>
      </c>
      <c r="J261">
        <f t="shared" si="25"/>
        <v>-1.7925772145093612</v>
      </c>
      <c r="K261">
        <f t="shared" si="26"/>
        <v>2.2962248536987842</v>
      </c>
      <c r="P261">
        <f t="shared" si="27"/>
        <v>0</v>
      </c>
    </row>
    <row r="262" spans="1:16" x14ac:dyDescent="0.25">
      <c r="A262" s="1"/>
      <c r="B262" s="4">
        <v>732</v>
      </c>
      <c r="C262" t="s">
        <v>24</v>
      </c>
      <c r="D262" s="3">
        <v>10.541666666666666</v>
      </c>
      <c r="E262" s="5">
        <f t="shared" si="21"/>
        <v>1902</v>
      </c>
      <c r="F262">
        <v>-0.97658</v>
      </c>
      <c r="G262">
        <f t="shared" si="22"/>
        <v>4.6636100000000003</v>
      </c>
      <c r="H262">
        <f t="shared" si="23"/>
        <v>4.6636100000000003</v>
      </c>
      <c r="I262" s="5">
        <f t="shared" si="24"/>
        <v>1902</v>
      </c>
      <c r="J262">
        <f t="shared" si="25"/>
        <v>3.0715702223097545</v>
      </c>
      <c r="K262">
        <f t="shared" si="26"/>
        <v>-1.2807726183332262</v>
      </c>
      <c r="P262">
        <f t="shared" si="27"/>
        <v>0</v>
      </c>
    </row>
    <row r="263" spans="1:16" x14ac:dyDescent="0.25">
      <c r="A263" s="1"/>
      <c r="B263" s="4">
        <v>1097</v>
      </c>
      <c r="C263" t="s">
        <v>24</v>
      </c>
      <c r="D263" s="3">
        <v>10.583333333333334</v>
      </c>
      <c r="E263" s="5">
        <f t="shared" si="21"/>
        <v>1903</v>
      </c>
      <c r="F263">
        <v>1.6731199999999999</v>
      </c>
      <c r="G263">
        <f t="shared" si="22"/>
        <v>-6.1806000000000001</v>
      </c>
      <c r="H263">
        <f t="shared" si="23"/>
        <v>-6.1806000000000001</v>
      </c>
      <c r="I263" s="5">
        <f t="shared" si="24"/>
        <v>1903</v>
      </c>
      <c r="J263">
        <f t="shared" si="25"/>
        <v>-4.812361707201779</v>
      </c>
      <c r="K263">
        <f t="shared" si="26"/>
        <v>-1.0939559550237474</v>
      </c>
      <c r="P263">
        <f t="shared" si="27"/>
        <v>1</v>
      </c>
    </row>
    <row r="264" spans="1:16" x14ac:dyDescent="0.25">
      <c r="A264" s="1"/>
      <c r="B264" s="4">
        <v>1462</v>
      </c>
      <c r="C264" t="s">
        <v>24</v>
      </c>
      <c r="D264" s="3">
        <v>10.625</v>
      </c>
      <c r="E264" s="5">
        <f t="shared" si="21"/>
        <v>1904</v>
      </c>
      <c r="F264">
        <v>-1.85778</v>
      </c>
      <c r="G264">
        <f t="shared" si="22"/>
        <v>7.8058199999999998</v>
      </c>
      <c r="H264">
        <f t="shared" si="23"/>
        <v>7.8058199999999998</v>
      </c>
      <c r="I264" s="5">
        <f t="shared" si="24"/>
        <v>1904</v>
      </c>
      <c r="J264">
        <f t="shared" si="25"/>
        <v>5.0808856290327942</v>
      </c>
      <c r="K264">
        <f t="shared" si="26"/>
        <v>1.6114381084392659</v>
      </c>
      <c r="P264">
        <f t="shared" si="27"/>
        <v>1</v>
      </c>
    </row>
    <row r="265" spans="1:16" x14ac:dyDescent="0.25">
      <c r="A265" s="1"/>
      <c r="B265" s="4">
        <v>1828</v>
      </c>
      <c r="C265" t="s">
        <v>24</v>
      </c>
      <c r="D265" s="3">
        <v>10.666666666666666</v>
      </c>
      <c r="E265" s="5">
        <f t="shared" si="21"/>
        <v>1905</v>
      </c>
      <c r="F265">
        <v>2.4171399999999998</v>
      </c>
      <c r="G265">
        <f t="shared" si="22"/>
        <v>-4.6000300000000003</v>
      </c>
      <c r="H265">
        <f t="shared" si="23"/>
        <v>-4.6000300000000003</v>
      </c>
      <c r="I265" s="5">
        <f t="shared" si="24"/>
        <v>1905</v>
      </c>
      <c r="J265">
        <f t="shared" si="25"/>
        <v>-2.0124182704684936</v>
      </c>
      <c r="K265">
        <f t="shared" si="26"/>
        <v>-3.7794607616576306</v>
      </c>
      <c r="P265">
        <f t="shared" si="27"/>
        <v>1</v>
      </c>
    </row>
    <row r="266" spans="1:16" x14ac:dyDescent="0.25">
      <c r="A266" s="1"/>
      <c r="B266" s="4">
        <v>2193</v>
      </c>
      <c r="C266" t="s">
        <v>24</v>
      </c>
      <c r="D266" s="3">
        <v>10.708333333333334</v>
      </c>
      <c r="E266" s="5">
        <f t="shared" si="21"/>
        <v>1906</v>
      </c>
      <c r="F266">
        <v>2.0920299999999998</v>
      </c>
      <c r="G266">
        <f t="shared" si="22"/>
        <v>-1.3063799999999999</v>
      </c>
      <c r="H266">
        <f t="shared" si="23"/>
        <v>-1.3063799999999999</v>
      </c>
      <c r="I266" s="5">
        <f t="shared" si="24"/>
        <v>1906</v>
      </c>
      <c r="J266">
        <f t="shared" si="25"/>
        <v>1.1126892923205987</v>
      </c>
      <c r="K266">
        <f t="shared" si="26"/>
        <v>3.3581279405509874</v>
      </c>
      <c r="P266">
        <f t="shared" si="27"/>
        <v>1</v>
      </c>
    </row>
    <row r="267" spans="1:16" x14ac:dyDescent="0.25">
      <c r="A267" s="1"/>
      <c r="B267" s="4">
        <v>2558</v>
      </c>
      <c r="C267" t="s">
        <v>24</v>
      </c>
      <c r="D267" s="3">
        <v>10.75</v>
      </c>
      <c r="E267" s="5">
        <f t="shared" si="21"/>
        <v>1907</v>
      </c>
      <c r="F267">
        <v>0.46054</v>
      </c>
      <c r="G267">
        <f t="shared" si="22"/>
        <v>1.47526</v>
      </c>
      <c r="H267">
        <f t="shared" si="23"/>
        <v>1.47526</v>
      </c>
      <c r="I267" s="5">
        <f t="shared" si="24"/>
        <v>1907</v>
      </c>
      <c r="J267">
        <f t="shared" si="25"/>
        <v>2.1173661578700833</v>
      </c>
      <c r="K267">
        <f t="shared" si="26"/>
        <v>-4.4480044961037297</v>
      </c>
      <c r="P267">
        <f t="shared" si="27"/>
        <v>0</v>
      </c>
    </row>
    <row r="268" spans="1:16" x14ac:dyDescent="0.25">
      <c r="A268" s="1"/>
      <c r="B268" s="4">
        <v>2923</v>
      </c>
      <c r="C268" t="s">
        <v>24</v>
      </c>
      <c r="D268" s="3">
        <v>10.791666666666666</v>
      </c>
      <c r="E268" s="5">
        <f t="shared" ref="E268:E331" si="28">+E267+1</f>
        <v>1908</v>
      </c>
      <c r="F268">
        <v>0.30431000000000002</v>
      </c>
      <c r="G268">
        <f t="shared" ref="G268:G331" si="29">+(F269-F268)-(F268-F267)</f>
        <v>-1.2863600000000002</v>
      </c>
      <c r="H268">
        <f t="shared" ref="H268:H331" si="30">+G268</f>
        <v>-1.2863600000000002</v>
      </c>
      <c r="I268" s="5">
        <f t="shared" si="24"/>
        <v>1908</v>
      </c>
      <c r="J268">
        <f t="shared" si="25"/>
        <v>-1.023695087378492</v>
      </c>
      <c r="K268">
        <f t="shared" si="26"/>
        <v>3.0691921480566804</v>
      </c>
      <c r="P268">
        <f t="shared" si="27"/>
        <v>0</v>
      </c>
    </row>
    <row r="269" spans="1:16" x14ac:dyDescent="0.25">
      <c r="A269" s="1"/>
      <c r="B269" s="4">
        <v>3289</v>
      </c>
      <c r="C269" t="s">
        <v>24</v>
      </c>
      <c r="D269" s="3">
        <v>10.833333333333334</v>
      </c>
      <c r="E269" s="5">
        <f t="shared" si="28"/>
        <v>1909</v>
      </c>
      <c r="F269">
        <v>-1.13828</v>
      </c>
      <c r="G269">
        <f t="shared" si="29"/>
        <v>0.48252000000000006</v>
      </c>
      <c r="H269">
        <f t="shared" si="30"/>
        <v>0.48252000000000006</v>
      </c>
      <c r="I269" s="5">
        <f t="shared" ref="I269:I332" si="31">+E269</f>
        <v>1909</v>
      </c>
      <c r="J269">
        <f t="shared" ref="J269:J332" si="32">+$J$6*F269+F269*$J$7*COS(2*PI()*$I269/$K$6+$K$5*COS($J$5*$I269+$K$8)+$J$9)+H269+F269*$J$3*COS(2*PI()*$I269/$J$8+$K$3)</f>
        <v>-1.3553226423501803</v>
      </c>
      <c r="K269">
        <f t="shared" ref="K269:K332" si="33">+$K$8*COS(2*PI()*$I269/$K$6+$K$5*COS($J$5*$I269+$K$8)+$K$7) +$K$4*COS(2*PI()*$I269/$J$8+$J$4)</f>
        <v>-2.572291730261492</v>
      </c>
      <c r="P269">
        <f t="shared" ref="P269:P332" si="34">+IF(J269*K269&gt;0,1, 0)</f>
        <v>1</v>
      </c>
    </row>
    <row r="270" spans="1:16" x14ac:dyDescent="0.25">
      <c r="A270" s="1"/>
      <c r="B270" s="4">
        <v>3654</v>
      </c>
      <c r="C270" t="s">
        <v>24</v>
      </c>
      <c r="D270" s="3">
        <v>10.875</v>
      </c>
      <c r="E270" s="5">
        <f t="shared" si="28"/>
        <v>1910</v>
      </c>
      <c r="F270">
        <v>-2.0983499999999999</v>
      </c>
      <c r="G270">
        <f t="shared" si="29"/>
        <v>2.6539299999999999</v>
      </c>
      <c r="H270">
        <f t="shared" si="30"/>
        <v>2.6539299999999999</v>
      </c>
      <c r="I270" s="5">
        <f t="shared" si="31"/>
        <v>1910</v>
      </c>
      <c r="J270">
        <f t="shared" si="32"/>
        <v>1.0352281721163199</v>
      </c>
      <c r="K270">
        <f t="shared" si="33"/>
        <v>0.59771710317872251</v>
      </c>
      <c r="P270">
        <f t="shared" si="34"/>
        <v>1</v>
      </c>
    </row>
    <row r="271" spans="1:16" x14ac:dyDescent="0.25">
      <c r="A271" s="1"/>
      <c r="B271" s="4">
        <v>4019</v>
      </c>
      <c r="C271" t="s">
        <v>24</v>
      </c>
      <c r="D271" s="3">
        <v>10.916666666666666</v>
      </c>
      <c r="E271" s="5">
        <f t="shared" si="28"/>
        <v>1911</v>
      </c>
      <c r="F271">
        <v>-0.40449000000000002</v>
      </c>
      <c r="G271">
        <f t="shared" si="29"/>
        <v>0.65920000000000023</v>
      </c>
      <c r="H271">
        <f t="shared" si="30"/>
        <v>0.65920000000000023</v>
      </c>
      <c r="I271" s="5">
        <f t="shared" si="31"/>
        <v>1911</v>
      </c>
      <c r="J271">
        <f t="shared" si="32"/>
        <v>3.1394694611334921E-2</v>
      </c>
      <c r="K271">
        <f t="shared" si="33"/>
        <v>1.1867293205791927</v>
      </c>
      <c r="P271">
        <f t="shared" si="34"/>
        <v>1</v>
      </c>
    </row>
    <row r="272" spans="1:16" x14ac:dyDescent="0.25">
      <c r="A272" s="1"/>
      <c r="B272" s="4">
        <v>4384</v>
      </c>
      <c r="C272" t="s">
        <v>24</v>
      </c>
      <c r="D272" s="3">
        <v>10.958333333333334</v>
      </c>
      <c r="E272" s="5">
        <f t="shared" si="28"/>
        <v>1912</v>
      </c>
      <c r="F272">
        <v>1.9485699999999999</v>
      </c>
      <c r="G272">
        <f t="shared" si="29"/>
        <v>-3.4008099999999999</v>
      </c>
      <c r="H272">
        <f t="shared" si="30"/>
        <v>-3.4008099999999999</v>
      </c>
      <c r="I272" s="5">
        <f t="shared" si="31"/>
        <v>1912</v>
      </c>
      <c r="J272">
        <f t="shared" si="32"/>
        <v>-1.4288339603543703</v>
      </c>
      <c r="K272">
        <f t="shared" si="33"/>
        <v>-2.6072286355256762</v>
      </c>
      <c r="P272">
        <f t="shared" si="34"/>
        <v>1</v>
      </c>
    </row>
    <row r="273" spans="1:16" x14ac:dyDescent="0.25">
      <c r="A273" s="1"/>
      <c r="B273" s="4">
        <v>4750</v>
      </c>
      <c r="C273" t="s">
        <v>24</v>
      </c>
      <c r="D273" s="3">
        <v>11</v>
      </c>
      <c r="E273" s="5">
        <f t="shared" si="28"/>
        <v>1913</v>
      </c>
      <c r="F273">
        <v>0.90081999999999995</v>
      </c>
      <c r="G273">
        <f t="shared" si="29"/>
        <v>1.9676</v>
      </c>
      <c r="H273">
        <f t="shared" si="30"/>
        <v>1.9676</v>
      </c>
      <c r="I273" s="5">
        <f t="shared" si="31"/>
        <v>1913</v>
      </c>
      <c r="J273">
        <f t="shared" si="32"/>
        <v>3.032249769004709</v>
      </c>
      <c r="K273">
        <f t="shared" si="33"/>
        <v>4.1835846171443203</v>
      </c>
      <c r="P273">
        <f t="shared" si="34"/>
        <v>1</v>
      </c>
    </row>
    <row r="274" spans="1:16" x14ac:dyDescent="0.25">
      <c r="A274" s="1"/>
      <c r="B274" s="4">
        <v>5115</v>
      </c>
      <c r="C274" t="s">
        <v>24</v>
      </c>
      <c r="D274" s="3">
        <v>11.041666666666666</v>
      </c>
      <c r="E274" s="5">
        <f t="shared" si="28"/>
        <v>1914</v>
      </c>
      <c r="F274">
        <v>1.82067</v>
      </c>
      <c r="G274">
        <f t="shared" si="29"/>
        <v>-0.67032000000000025</v>
      </c>
      <c r="H274">
        <f t="shared" si="30"/>
        <v>-0.67032000000000025</v>
      </c>
      <c r="I274" s="5">
        <f t="shared" si="31"/>
        <v>1914</v>
      </c>
      <c r="J274">
        <f t="shared" si="32"/>
        <v>1.9575546845420784</v>
      </c>
      <c r="K274">
        <f t="shared" si="33"/>
        <v>-3.4554467099972319</v>
      </c>
      <c r="P274">
        <f t="shared" si="34"/>
        <v>0</v>
      </c>
    </row>
    <row r="275" spans="1:16" x14ac:dyDescent="0.25">
      <c r="A275" s="1"/>
      <c r="B275" s="4">
        <v>5480</v>
      </c>
      <c r="C275" t="s">
        <v>24</v>
      </c>
      <c r="D275" s="3">
        <v>11.083333333333334</v>
      </c>
      <c r="E275" s="5">
        <f t="shared" si="28"/>
        <v>1915</v>
      </c>
      <c r="F275">
        <v>2.0701999999999998</v>
      </c>
      <c r="G275">
        <f t="shared" si="29"/>
        <v>-2.86402</v>
      </c>
      <c r="H275">
        <f t="shared" si="30"/>
        <v>-2.86402</v>
      </c>
      <c r="I275" s="5">
        <f t="shared" si="31"/>
        <v>1915</v>
      </c>
      <c r="J275">
        <f t="shared" si="32"/>
        <v>-1.1702433444745215</v>
      </c>
      <c r="K275">
        <f t="shared" si="33"/>
        <v>3.378085203753967</v>
      </c>
      <c r="P275">
        <f t="shared" si="34"/>
        <v>0</v>
      </c>
    </row>
    <row r="276" spans="1:16" x14ac:dyDescent="0.25">
      <c r="A276" s="1"/>
      <c r="B276" s="4">
        <v>5845</v>
      </c>
      <c r="C276" t="s">
        <v>24</v>
      </c>
      <c r="D276" s="3">
        <v>11.125</v>
      </c>
      <c r="E276" s="5">
        <f t="shared" si="28"/>
        <v>1916</v>
      </c>
      <c r="F276">
        <v>-0.54429000000000005</v>
      </c>
      <c r="G276">
        <f t="shared" si="29"/>
        <v>1.9921000000000002</v>
      </c>
      <c r="H276">
        <f t="shared" si="30"/>
        <v>1.9921000000000002</v>
      </c>
      <c r="I276" s="5">
        <f t="shared" si="31"/>
        <v>1916</v>
      </c>
      <c r="J276">
        <f t="shared" si="32"/>
        <v>1.0993907647592154</v>
      </c>
      <c r="K276">
        <f t="shared" si="33"/>
        <v>-0.46899267592105531</v>
      </c>
      <c r="P276">
        <f t="shared" si="34"/>
        <v>0</v>
      </c>
    </row>
    <row r="277" spans="1:16" x14ac:dyDescent="0.25">
      <c r="A277" s="1"/>
      <c r="B277" s="4">
        <v>6211</v>
      </c>
      <c r="C277" t="s">
        <v>24</v>
      </c>
      <c r="D277" s="3">
        <v>11.166666666666666</v>
      </c>
      <c r="E277" s="5">
        <f t="shared" si="28"/>
        <v>1917</v>
      </c>
      <c r="F277">
        <v>-1.1666799999999999</v>
      </c>
      <c r="G277">
        <f t="shared" si="29"/>
        <v>9.9349999999999716E-2</v>
      </c>
      <c r="H277">
        <f t="shared" si="30"/>
        <v>9.9349999999999716E-2</v>
      </c>
      <c r="I277" s="5">
        <f t="shared" si="31"/>
        <v>1917</v>
      </c>
      <c r="J277">
        <f t="shared" si="32"/>
        <v>-0.89933916536287806</v>
      </c>
      <c r="K277">
        <f t="shared" si="33"/>
        <v>-0.5928988053051869</v>
      </c>
      <c r="P277">
        <f t="shared" si="34"/>
        <v>1</v>
      </c>
    </row>
    <row r="278" spans="1:16" x14ac:dyDescent="0.25">
      <c r="A278" s="1"/>
      <c r="B278" s="4">
        <v>6576</v>
      </c>
      <c r="C278" t="s">
        <v>24</v>
      </c>
      <c r="D278" s="3">
        <v>11.208333333333334</v>
      </c>
      <c r="E278" s="5">
        <f t="shared" si="28"/>
        <v>1918</v>
      </c>
      <c r="F278">
        <v>-1.6897200000000001</v>
      </c>
      <c r="G278">
        <f t="shared" si="29"/>
        <v>4.5624900000000004</v>
      </c>
      <c r="H278">
        <f t="shared" si="30"/>
        <v>4.5624900000000004</v>
      </c>
      <c r="I278" s="5">
        <f t="shared" si="31"/>
        <v>1918</v>
      </c>
      <c r="J278">
        <f t="shared" si="32"/>
        <v>2.2214595526322536</v>
      </c>
      <c r="K278">
        <f t="shared" si="33"/>
        <v>3.3700088502024395</v>
      </c>
      <c r="P278">
        <f t="shared" si="34"/>
        <v>1</v>
      </c>
    </row>
    <row r="279" spans="1:16" x14ac:dyDescent="0.25">
      <c r="A279" s="1"/>
      <c r="B279" s="4">
        <v>6941</v>
      </c>
      <c r="C279" t="s">
        <v>24</v>
      </c>
      <c r="D279" s="3">
        <v>11.25</v>
      </c>
      <c r="E279" s="5">
        <f t="shared" si="28"/>
        <v>1919</v>
      </c>
      <c r="F279">
        <v>2.3497300000000001</v>
      </c>
      <c r="G279">
        <f t="shared" si="29"/>
        <v>-4.90611</v>
      </c>
      <c r="H279">
        <f t="shared" si="30"/>
        <v>-4.90611</v>
      </c>
      <c r="I279" s="5">
        <f t="shared" si="31"/>
        <v>1919</v>
      </c>
      <c r="J279">
        <f t="shared" si="32"/>
        <v>-1.9798337452286694</v>
      </c>
      <c r="K279">
        <f t="shared" si="33"/>
        <v>-3.5183311021058921</v>
      </c>
      <c r="P279">
        <f t="shared" si="34"/>
        <v>1</v>
      </c>
    </row>
    <row r="280" spans="1:16" x14ac:dyDescent="0.25">
      <c r="A280" s="1"/>
      <c r="B280" s="4">
        <v>7306</v>
      </c>
      <c r="C280" t="s">
        <v>24</v>
      </c>
      <c r="D280" s="3">
        <v>11.291666666666666</v>
      </c>
      <c r="E280" s="5">
        <f t="shared" si="28"/>
        <v>1920</v>
      </c>
      <c r="F280">
        <v>1.4830700000000001</v>
      </c>
      <c r="G280">
        <f t="shared" si="29"/>
        <v>-1.3225099999999999</v>
      </c>
      <c r="H280">
        <f t="shared" si="30"/>
        <v>-1.3225099999999999</v>
      </c>
      <c r="I280" s="5">
        <f t="shared" si="31"/>
        <v>1920</v>
      </c>
      <c r="J280">
        <f t="shared" si="32"/>
        <v>0.11433816231096766</v>
      </c>
      <c r="K280">
        <f t="shared" si="33"/>
        <v>4.1382036045363204</v>
      </c>
      <c r="P280">
        <f t="shared" si="34"/>
        <v>1</v>
      </c>
    </row>
    <row r="281" spans="1:16" x14ac:dyDescent="0.25">
      <c r="A281" s="1"/>
      <c r="B281" s="4">
        <v>7672</v>
      </c>
      <c r="C281" t="s">
        <v>24</v>
      </c>
      <c r="D281" s="3">
        <v>11.333333333333334</v>
      </c>
      <c r="E281" s="5">
        <f t="shared" si="28"/>
        <v>1921</v>
      </c>
      <c r="F281">
        <v>-0.70609999999999995</v>
      </c>
      <c r="G281">
        <f t="shared" si="29"/>
        <v>1.6403299999999998</v>
      </c>
      <c r="H281">
        <f t="shared" si="30"/>
        <v>1.6403299999999998</v>
      </c>
      <c r="I281" s="5">
        <f t="shared" si="31"/>
        <v>1921</v>
      </c>
      <c r="J281">
        <f t="shared" si="32"/>
        <v>0.5255829598308589</v>
      </c>
      <c r="K281">
        <f t="shared" si="33"/>
        <v>-2.9660114962097759</v>
      </c>
      <c r="P281">
        <f t="shared" si="34"/>
        <v>0</v>
      </c>
    </row>
    <row r="282" spans="1:16" x14ac:dyDescent="0.25">
      <c r="A282" s="1"/>
      <c r="B282" s="4">
        <v>8037</v>
      </c>
      <c r="C282" t="s">
        <v>24</v>
      </c>
      <c r="D282" s="3">
        <v>11.375</v>
      </c>
      <c r="E282" s="5">
        <f t="shared" si="28"/>
        <v>1922</v>
      </c>
      <c r="F282">
        <v>-1.2549399999999999</v>
      </c>
      <c r="G282">
        <f t="shared" si="29"/>
        <v>1.2729200000000001</v>
      </c>
      <c r="H282">
        <f t="shared" si="30"/>
        <v>1.2729200000000001</v>
      </c>
      <c r="I282" s="5">
        <f t="shared" si="31"/>
        <v>1922</v>
      </c>
      <c r="J282">
        <f t="shared" si="32"/>
        <v>0.30637791653169261</v>
      </c>
      <c r="K282">
        <f t="shared" si="33"/>
        <v>1.5891676643260357</v>
      </c>
      <c r="P282">
        <f t="shared" si="34"/>
        <v>1</v>
      </c>
    </row>
    <row r="283" spans="1:16" x14ac:dyDescent="0.25">
      <c r="A283" s="1"/>
      <c r="B283" s="4">
        <v>8402</v>
      </c>
      <c r="C283" t="s">
        <v>24</v>
      </c>
      <c r="D283" s="3">
        <v>11.416666666666666</v>
      </c>
      <c r="E283" s="5">
        <f t="shared" si="28"/>
        <v>1923</v>
      </c>
      <c r="F283">
        <v>-0.53086</v>
      </c>
      <c r="G283">
        <f t="shared" si="29"/>
        <v>0.36950000000000005</v>
      </c>
      <c r="H283">
        <f t="shared" si="30"/>
        <v>0.36950000000000005</v>
      </c>
      <c r="I283" s="5">
        <f t="shared" si="31"/>
        <v>1923</v>
      </c>
      <c r="J283">
        <f t="shared" si="32"/>
        <v>-0.4850660662008367</v>
      </c>
      <c r="K283">
        <f t="shared" si="33"/>
        <v>-0.23554466343800887</v>
      </c>
      <c r="P283">
        <f t="shared" si="34"/>
        <v>1</v>
      </c>
    </row>
    <row r="284" spans="1:16" x14ac:dyDescent="0.25">
      <c r="A284" s="1"/>
      <c r="B284" s="4">
        <v>8767</v>
      </c>
      <c r="C284" t="s">
        <v>24</v>
      </c>
      <c r="D284" s="3">
        <v>11.458333333333334</v>
      </c>
      <c r="E284" s="5">
        <f t="shared" si="28"/>
        <v>1924</v>
      </c>
      <c r="F284">
        <v>0.56272</v>
      </c>
      <c r="G284">
        <f t="shared" si="29"/>
        <v>-3.4095500000000003</v>
      </c>
      <c r="H284">
        <f t="shared" si="30"/>
        <v>-3.4095500000000003</v>
      </c>
      <c r="I284" s="5">
        <f t="shared" si="31"/>
        <v>1924</v>
      </c>
      <c r="J284">
        <f t="shared" si="32"/>
        <v>-2.9160821400503778</v>
      </c>
      <c r="K284">
        <f t="shared" si="33"/>
        <v>-1.8935206305576311</v>
      </c>
      <c r="P284">
        <f t="shared" si="34"/>
        <v>1</v>
      </c>
    </row>
    <row r="285" spans="1:16" x14ac:dyDescent="0.25">
      <c r="A285" s="1"/>
      <c r="B285" s="4">
        <v>9133</v>
      </c>
      <c r="C285" t="s">
        <v>24</v>
      </c>
      <c r="D285" s="3">
        <v>11.5</v>
      </c>
      <c r="E285" s="5">
        <f t="shared" si="28"/>
        <v>1925</v>
      </c>
      <c r="F285">
        <v>-1.75325</v>
      </c>
      <c r="G285">
        <f t="shared" si="29"/>
        <v>5.95662</v>
      </c>
      <c r="H285">
        <f t="shared" si="30"/>
        <v>5.95662</v>
      </c>
      <c r="I285" s="5">
        <f t="shared" si="31"/>
        <v>1925</v>
      </c>
      <c r="J285">
        <f t="shared" si="32"/>
        <v>3.5290592418186235</v>
      </c>
      <c r="K285">
        <f t="shared" si="33"/>
        <v>2.3805121327124965</v>
      </c>
      <c r="P285">
        <f t="shared" si="34"/>
        <v>1</v>
      </c>
    </row>
    <row r="286" spans="1:16" x14ac:dyDescent="0.25">
      <c r="A286" s="1"/>
      <c r="B286" s="4">
        <v>9498</v>
      </c>
      <c r="C286" t="s">
        <v>24</v>
      </c>
      <c r="D286" s="3">
        <v>11.541666666666666</v>
      </c>
      <c r="E286" s="5">
        <f t="shared" si="28"/>
        <v>1926</v>
      </c>
      <c r="F286">
        <v>1.8874</v>
      </c>
      <c r="G286">
        <f t="shared" si="29"/>
        <v>-5.6693199999999999</v>
      </c>
      <c r="H286">
        <f t="shared" si="30"/>
        <v>-5.6693199999999999</v>
      </c>
      <c r="I286" s="5">
        <f t="shared" si="31"/>
        <v>1926</v>
      </c>
      <c r="J286">
        <f t="shared" si="32"/>
        <v>-3.4664507884155396</v>
      </c>
      <c r="K286">
        <f t="shared" si="33"/>
        <v>-4.2043013209996207</v>
      </c>
      <c r="P286">
        <f t="shared" si="34"/>
        <v>1</v>
      </c>
    </row>
    <row r="287" spans="1:16" x14ac:dyDescent="0.25">
      <c r="A287" s="1"/>
      <c r="B287" s="4">
        <v>9863</v>
      </c>
      <c r="C287" t="s">
        <v>24</v>
      </c>
      <c r="D287" s="3">
        <v>11.583333333333334</v>
      </c>
      <c r="E287" s="5">
        <f t="shared" si="28"/>
        <v>1927</v>
      </c>
      <c r="F287">
        <v>-0.14127000000000001</v>
      </c>
      <c r="G287">
        <f t="shared" si="29"/>
        <v>2.4368499999999997</v>
      </c>
      <c r="H287">
        <f t="shared" si="30"/>
        <v>2.4368499999999997</v>
      </c>
      <c r="I287" s="5">
        <f t="shared" si="31"/>
        <v>1927</v>
      </c>
      <c r="J287">
        <f t="shared" si="32"/>
        <v>2.2870493822077496</v>
      </c>
      <c r="K287">
        <f t="shared" si="33"/>
        <v>3.468782561170169</v>
      </c>
      <c r="P287">
        <f t="shared" si="34"/>
        <v>1</v>
      </c>
    </row>
    <row r="288" spans="1:16" x14ac:dyDescent="0.25">
      <c r="A288" s="1"/>
      <c r="B288" s="4">
        <v>10228</v>
      </c>
      <c r="C288" t="s">
        <v>24</v>
      </c>
      <c r="D288" s="3">
        <v>11.625</v>
      </c>
      <c r="E288" s="5">
        <f t="shared" si="28"/>
        <v>1928</v>
      </c>
      <c r="F288">
        <v>0.26690999999999998</v>
      </c>
      <c r="G288">
        <f t="shared" si="29"/>
        <v>-1.9864899999999999</v>
      </c>
      <c r="H288">
        <f t="shared" si="30"/>
        <v>-1.9864899999999999</v>
      </c>
      <c r="I288" s="5">
        <f t="shared" si="31"/>
        <v>1928</v>
      </c>
      <c r="J288">
        <f t="shared" si="32"/>
        <v>-1.5923910899118627</v>
      </c>
      <c r="K288">
        <f t="shared" si="33"/>
        <v>-4.2665497127998417</v>
      </c>
      <c r="P288">
        <f t="shared" si="34"/>
        <v>1</v>
      </c>
    </row>
    <row r="289" spans="1:16" x14ac:dyDescent="0.25">
      <c r="A289" s="1"/>
      <c r="B289" s="4">
        <v>10594</v>
      </c>
      <c r="C289" t="s">
        <v>24</v>
      </c>
      <c r="D289" s="3">
        <v>11.666666666666666</v>
      </c>
      <c r="E289" s="5">
        <f t="shared" si="28"/>
        <v>1929</v>
      </c>
      <c r="F289">
        <v>-1.3113999999999999</v>
      </c>
      <c r="G289">
        <f t="shared" si="29"/>
        <v>3.6171199999999999</v>
      </c>
      <c r="H289">
        <f t="shared" si="30"/>
        <v>3.6171199999999999</v>
      </c>
      <c r="I289" s="5">
        <f t="shared" si="31"/>
        <v>1929</v>
      </c>
      <c r="J289">
        <f t="shared" si="32"/>
        <v>2.5589234957087199</v>
      </c>
      <c r="K289">
        <f t="shared" si="33"/>
        <v>2.4171101988941799</v>
      </c>
      <c r="P289">
        <f t="shared" si="34"/>
        <v>1</v>
      </c>
    </row>
    <row r="290" spans="1:16" x14ac:dyDescent="0.25">
      <c r="A290" s="1"/>
      <c r="B290" s="4">
        <v>10959</v>
      </c>
      <c r="C290" t="s">
        <v>24</v>
      </c>
      <c r="D290" s="3">
        <v>11.708333333333334</v>
      </c>
      <c r="E290" s="5">
        <f t="shared" si="28"/>
        <v>1930</v>
      </c>
      <c r="F290">
        <v>0.72741</v>
      </c>
      <c r="G290">
        <f t="shared" si="29"/>
        <v>-0.54781999999999975</v>
      </c>
      <c r="H290">
        <f t="shared" si="30"/>
        <v>-0.54781999999999975</v>
      </c>
      <c r="I290" s="5">
        <f t="shared" si="31"/>
        <v>1930</v>
      </c>
      <c r="J290">
        <f t="shared" si="32"/>
        <v>0.63766055427608082</v>
      </c>
      <c r="K290">
        <f t="shared" si="33"/>
        <v>-1.8242163202103472</v>
      </c>
      <c r="P290">
        <f t="shared" si="34"/>
        <v>0</v>
      </c>
    </row>
    <row r="291" spans="1:16" x14ac:dyDescent="0.25">
      <c r="A291" s="1"/>
      <c r="B291" s="4">
        <v>11324</v>
      </c>
      <c r="C291" t="s">
        <v>24</v>
      </c>
      <c r="D291" s="3">
        <v>11.75</v>
      </c>
      <c r="E291" s="5">
        <f t="shared" si="28"/>
        <v>1931</v>
      </c>
      <c r="F291">
        <v>2.2183999999999999</v>
      </c>
      <c r="G291">
        <f t="shared" si="29"/>
        <v>-3.2621199999999999</v>
      </c>
      <c r="H291">
        <f t="shared" si="30"/>
        <v>-3.2621199999999999</v>
      </c>
      <c r="I291" s="5">
        <f t="shared" si="31"/>
        <v>1931</v>
      </c>
      <c r="J291">
        <f t="shared" si="32"/>
        <v>-1.4858975419242979</v>
      </c>
      <c r="K291">
        <f t="shared" si="33"/>
        <v>-0.51836853444863473</v>
      </c>
      <c r="P291">
        <f t="shared" si="34"/>
        <v>1</v>
      </c>
    </row>
    <row r="292" spans="1:16" x14ac:dyDescent="0.25">
      <c r="A292" s="1"/>
      <c r="B292" s="4">
        <v>11689</v>
      </c>
      <c r="C292" t="s">
        <v>24</v>
      </c>
      <c r="D292" s="3">
        <v>11.791666666666666</v>
      </c>
      <c r="E292" s="5">
        <f t="shared" si="28"/>
        <v>1932</v>
      </c>
      <c r="F292">
        <v>0.44727</v>
      </c>
      <c r="G292">
        <f t="shared" si="29"/>
        <v>1.1273599999999999</v>
      </c>
      <c r="H292">
        <f t="shared" si="30"/>
        <v>1.1273599999999999</v>
      </c>
      <c r="I292" s="5">
        <f t="shared" si="31"/>
        <v>1932</v>
      </c>
      <c r="J292">
        <f t="shared" si="32"/>
        <v>1.7868118884955453</v>
      </c>
      <c r="K292">
        <f t="shared" si="33"/>
        <v>2.0016656519112614</v>
      </c>
      <c r="P292">
        <f t="shared" si="34"/>
        <v>1</v>
      </c>
    </row>
    <row r="293" spans="1:16" x14ac:dyDescent="0.25">
      <c r="A293" s="1"/>
      <c r="B293" s="4">
        <v>12055</v>
      </c>
      <c r="C293" t="s">
        <v>24</v>
      </c>
      <c r="D293" s="3">
        <v>11.833333333333334</v>
      </c>
      <c r="E293" s="5">
        <f t="shared" si="28"/>
        <v>1933</v>
      </c>
      <c r="F293">
        <v>-0.19650000000000001</v>
      </c>
      <c r="G293">
        <f t="shared" si="29"/>
        <v>-0.84888999999999992</v>
      </c>
      <c r="H293">
        <f t="shared" si="30"/>
        <v>-0.84888999999999992</v>
      </c>
      <c r="I293" s="5">
        <f t="shared" si="31"/>
        <v>1933</v>
      </c>
      <c r="J293">
        <f t="shared" si="32"/>
        <v>-1.0687134435234082</v>
      </c>
      <c r="K293">
        <f t="shared" si="33"/>
        <v>-3.3793445264454109</v>
      </c>
      <c r="P293">
        <f t="shared" si="34"/>
        <v>1</v>
      </c>
    </row>
    <row r="294" spans="1:16" x14ac:dyDescent="0.25">
      <c r="A294" s="1"/>
      <c r="B294" s="4">
        <v>12420</v>
      </c>
      <c r="C294" t="s">
        <v>24</v>
      </c>
      <c r="D294" s="3">
        <v>11.875</v>
      </c>
      <c r="E294" s="5">
        <f t="shared" si="28"/>
        <v>1934</v>
      </c>
      <c r="F294">
        <v>-1.68916</v>
      </c>
      <c r="G294">
        <f t="shared" si="29"/>
        <v>2.8805499999999999</v>
      </c>
      <c r="H294">
        <f t="shared" si="30"/>
        <v>2.8805499999999999</v>
      </c>
      <c r="I294" s="5">
        <f t="shared" si="31"/>
        <v>1934</v>
      </c>
      <c r="J294">
        <f t="shared" si="32"/>
        <v>1.0802601449030385</v>
      </c>
      <c r="K294">
        <f t="shared" si="33"/>
        <v>4.239767902498258</v>
      </c>
      <c r="P294">
        <f t="shared" si="34"/>
        <v>1</v>
      </c>
    </row>
    <row r="295" spans="1:16" x14ac:dyDescent="0.25">
      <c r="A295" s="1"/>
      <c r="B295" s="4">
        <v>12785</v>
      </c>
      <c r="C295" t="s">
        <v>24</v>
      </c>
      <c r="D295" s="3">
        <v>11.916666666666666</v>
      </c>
      <c r="E295" s="5">
        <f t="shared" si="28"/>
        <v>1935</v>
      </c>
      <c r="F295">
        <v>-0.30126999999999998</v>
      </c>
      <c r="G295">
        <f t="shared" si="29"/>
        <v>-1.0414099999999999</v>
      </c>
      <c r="H295">
        <f t="shared" si="30"/>
        <v>-1.0414099999999999</v>
      </c>
      <c r="I295" s="5">
        <f t="shared" si="31"/>
        <v>1935</v>
      </c>
      <c r="J295">
        <f t="shared" si="32"/>
        <v>-1.5028171803351555</v>
      </c>
      <c r="K295">
        <f t="shared" si="33"/>
        <v>-3.1368370826074914</v>
      </c>
      <c r="P295">
        <f t="shared" si="34"/>
        <v>1</v>
      </c>
    </row>
    <row r="296" spans="1:16" x14ac:dyDescent="0.25">
      <c r="A296" s="1"/>
      <c r="B296" s="4">
        <v>13150</v>
      </c>
      <c r="C296" t="s">
        <v>24</v>
      </c>
      <c r="D296" s="3">
        <v>11.958333333333334</v>
      </c>
      <c r="E296" s="5">
        <f t="shared" si="28"/>
        <v>1936</v>
      </c>
      <c r="F296">
        <v>4.521E-2</v>
      </c>
      <c r="G296">
        <f t="shared" si="29"/>
        <v>4.8209999999999975E-2</v>
      </c>
      <c r="H296">
        <f t="shared" si="30"/>
        <v>4.8209999999999975E-2</v>
      </c>
      <c r="I296" s="5">
        <f t="shared" si="31"/>
        <v>1936</v>
      </c>
      <c r="J296">
        <f t="shared" si="32"/>
        <v>8.3473557751314723E-2</v>
      </c>
      <c r="K296">
        <f t="shared" si="33"/>
        <v>2.449707849550613</v>
      </c>
      <c r="P296">
        <f t="shared" si="34"/>
        <v>1</v>
      </c>
    </row>
    <row r="297" spans="1:16" x14ac:dyDescent="0.25">
      <c r="A297" s="1"/>
      <c r="B297" s="4">
        <v>13516</v>
      </c>
      <c r="C297" t="s">
        <v>24</v>
      </c>
      <c r="D297" s="3">
        <v>12</v>
      </c>
      <c r="E297" s="5">
        <f t="shared" si="28"/>
        <v>1937</v>
      </c>
      <c r="F297">
        <v>0.43990000000000001</v>
      </c>
      <c r="G297">
        <f t="shared" si="29"/>
        <v>-0.63463999999999998</v>
      </c>
      <c r="H297">
        <f t="shared" si="30"/>
        <v>-0.63463999999999998</v>
      </c>
      <c r="I297" s="5">
        <f t="shared" si="31"/>
        <v>1937</v>
      </c>
      <c r="J297">
        <f t="shared" si="32"/>
        <v>7.5036268685725604E-2</v>
      </c>
      <c r="K297">
        <f t="shared" si="33"/>
        <v>0.607350682157901</v>
      </c>
      <c r="P297">
        <f t="shared" si="34"/>
        <v>1</v>
      </c>
    </row>
    <row r="298" spans="1:16" x14ac:dyDescent="0.25">
      <c r="A298" s="1"/>
      <c r="B298" s="4">
        <v>13881</v>
      </c>
      <c r="C298" t="s">
        <v>24</v>
      </c>
      <c r="D298" s="3">
        <v>12.041666666666666</v>
      </c>
      <c r="E298" s="5">
        <f t="shared" si="28"/>
        <v>1938</v>
      </c>
      <c r="F298">
        <v>0.19994999999999999</v>
      </c>
      <c r="G298">
        <f t="shared" si="29"/>
        <v>-0.62230999999999992</v>
      </c>
      <c r="H298">
        <f t="shared" si="30"/>
        <v>-0.62230999999999992</v>
      </c>
      <c r="I298" s="5">
        <f t="shared" si="31"/>
        <v>1938</v>
      </c>
      <c r="J298">
        <f t="shared" si="32"/>
        <v>-0.43491735518435842</v>
      </c>
      <c r="K298">
        <f t="shared" si="33"/>
        <v>-1.5748412041595889</v>
      </c>
      <c r="P298">
        <f t="shared" si="34"/>
        <v>1</v>
      </c>
    </row>
    <row r="299" spans="1:16" x14ac:dyDescent="0.25">
      <c r="A299" s="1"/>
      <c r="B299" s="4">
        <v>14246</v>
      </c>
      <c r="C299" t="s">
        <v>24</v>
      </c>
      <c r="D299" s="3">
        <v>12.083333333333334</v>
      </c>
      <c r="E299" s="5">
        <f t="shared" si="28"/>
        <v>1939</v>
      </c>
      <c r="F299">
        <v>-0.66230999999999995</v>
      </c>
      <c r="G299">
        <f t="shared" si="29"/>
        <v>2.4085000000000001</v>
      </c>
      <c r="H299">
        <f t="shared" si="30"/>
        <v>2.4085000000000001</v>
      </c>
      <c r="I299" s="5">
        <f t="shared" si="31"/>
        <v>1939</v>
      </c>
      <c r="J299">
        <f t="shared" si="32"/>
        <v>1.5644343233631515</v>
      </c>
      <c r="K299">
        <f t="shared" si="33"/>
        <v>4.0520686115522047</v>
      </c>
      <c r="P299">
        <f t="shared" si="34"/>
        <v>1</v>
      </c>
    </row>
    <row r="300" spans="1:16" x14ac:dyDescent="0.25">
      <c r="A300" s="1"/>
      <c r="B300" s="4">
        <v>14611</v>
      </c>
      <c r="C300" t="s">
        <v>24</v>
      </c>
      <c r="D300" s="3">
        <v>12.125</v>
      </c>
      <c r="E300" s="5">
        <f t="shared" si="28"/>
        <v>1940</v>
      </c>
      <c r="F300">
        <v>0.88392999999999999</v>
      </c>
      <c r="G300">
        <f t="shared" si="29"/>
        <v>0.60088000000000008</v>
      </c>
      <c r="H300">
        <f t="shared" si="30"/>
        <v>0.60088000000000008</v>
      </c>
      <c r="I300" s="5">
        <f t="shared" si="31"/>
        <v>1940</v>
      </c>
      <c r="J300">
        <f t="shared" si="32"/>
        <v>1.8002662761727755</v>
      </c>
      <c r="K300">
        <f t="shared" si="33"/>
        <v>-3.5620318592258173</v>
      </c>
      <c r="P300">
        <f t="shared" si="34"/>
        <v>0</v>
      </c>
    </row>
    <row r="301" spans="1:16" x14ac:dyDescent="0.25">
      <c r="A301" s="1"/>
      <c r="B301" s="4">
        <v>14977</v>
      </c>
      <c r="C301" t="s">
        <v>24</v>
      </c>
      <c r="D301" s="3">
        <v>12.166666666666666</v>
      </c>
      <c r="E301" s="5">
        <f t="shared" si="28"/>
        <v>1941</v>
      </c>
      <c r="F301">
        <v>3.03105</v>
      </c>
      <c r="G301">
        <f t="shared" si="29"/>
        <v>-2.4285700000000001</v>
      </c>
      <c r="H301">
        <f t="shared" si="30"/>
        <v>-2.4285700000000001</v>
      </c>
      <c r="I301" s="5">
        <f t="shared" si="31"/>
        <v>1941</v>
      </c>
      <c r="J301">
        <f t="shared" si="32"/>
        <v>0.25678829380650342</v>
      </c>
      <c r="K301">
        <f t="shared" si="33"/>
        <v>3.8782667963467947</v>
      </c>
      <c r="P301">
        <f t="shared" si="34"/>
        <v>1</v>
      </c>
    </row>
    <row r="302" spans="1:16" x14ac:dyDescent="0.25">
      <c r="A302" s="1"/>
      <c r="B302" s="4">
        <v>15342</v>
      </c>
      <c r="C302" t="s">
        <v>24</v>
      </c>
      <c r="D302" s="3">
        <v>12.208333333333334</v>
      </c>
      <c r="E302" s="5">
        <f t="shared" si="28"/>
        <v>1942</v>
      </c>
      <c r="F302">
        <v>2.7496</v>
      </c>
      <c r="G302">
        <f t="shared" si="29"/>
        <v>-2.8032699999999999</v>
      </c>
      <c r="H302">
        <f t="shared" si="30"/>
        <v>-2.8032699999999999</v>
      </c>
      <c r="I302" s="5">
        <f t="shared" si="31"/>
        <v>1942</v>
      </c>
      <c r="J302">
        <f t="shared" si="32"/>
        <v>1.6568790071646589</v>
      </c>
      <c r="K302">
        <f t="shared" si="33"/>
        <v>-2.1156988981909164</v>
      </c>
      <c r="P302">
        <f t="shared" si="34"/>
        <v>0</v>
      </c>
    </row>
    <row r="303" spans="1:16" x14ac:dyDescent="0.25">
      <c r="A303" s="1"/>
      <c r="B303" s="4">
        <v>15707</v>
      </c>
      <c r="C303" t="s">
        <v>24</v>
      </c>
      <c r="D303" s="3">
        <v>12.25</v>
      </c>
      <c r="E303" s="5">
        <f t="shared" si="28"/>
        <v>1943</v>
      </c>
      <c r="F303">
        <v>-0.33511999999999997</v>
      </c>
      <c r="G303">
        <f t="shared" si="29"/>
        <v>4.7054</v>
      </c>
      <c r="H303">
        <f t="shared" si="30"/>
        <v>4.7054</v>
      </c>
      <c r="I303" s="5">
        <f t="shared" si="31"/>
        <v>1943</v>
      </c>
      <c r="J303">
        <f t="shared" si="32"/>
        <v>4.4455700466749688</v>
      </c>
      <c r="K303">
        <f t="shared" si="33"/>
        <v>0.79772140334644082</v>
      </c>
      <c r="P303">
        <f t="shared" si="34"/>
        <v>1</v>
      </c>
    </row>
    <row r="304" spans="1:16" x14ac:dyDescent="0.25">
      <c r="A304" s="1"/>
      <c r="B304" s="4">
        <v>16072</v>
      </c>
      <c r="C304" t="s">
        <v>24</v>
      </c>
      <c r="D304" s="3">
        <v>12.291666666666666</v>
      </c>
      <c r="E304" s="5">
        <f t="shared" si="28"/>
        <v>1944</v>
      </c>
      <c r="F304">
        <v>1.28556</v>
      </c>
      <c r="G304">
        <f t="shared" si="29"/>
        <v>-2.65632</v>
      </c>
      <c r="H304">
        <f t="shared" si="30"/>
        <v>-2.65632</v>
      </c>
      <c r="I304" s="5">
        <f t="shared" si="31"/>
        <v>1944</v>
      </c>
      <c r="J304">
        <f t="shared" si="32"/>
        <v>-0.64158929715314494</v>
      </c>
      <c r="K304">
        <f t="shared" si="33"/>
        <v>0.81506902454484798</v>
      </c>
      <c r="P304">
        <f t="shared" si="34"/>
        <v>0</v>
      </c>
    </row>
    <row r="305" spans="1:16" x14ac:dyDescent="0.25">
      <c r="A305" s="1"/>
      <c r="B305" s="4">
        <v>16438</v>
      </c>
      <c r="C305" t="s">
        <v>24</v>
      </c>
      <c r="D305" s="3">
        <v>12.333333333333334</v>
      </c>
      <c r="E305" s="5">
        <f t="shared" si="28"/>
        <v>1945</v>
      </c>
      <c r="F305">
        <v>0.24992</v>
      </c>
      <c r="G305">
        <f t="shared" si="29"/>
        <v>-0.86904999999999988</v>
      </c>
      <c r="H305">
        <f t="shared" si="30"/>
        <v>-0.86904999999999988</v>
      </c>
      <c r="I305" s="5">
        <f t="shared" si="31"/>
        <v>1945</v>
      </c>
      <c r="J305">
        <f t="shared" si="32"/>
        <v>-0.63093102568816395</v>
      </c>
      <c r="K305">
        <f t="shared" si="33"/>
        <v>-2.5884538044601442</v>
      </c>
      <c r="P305">
        <f t="shared" si="34"/>
        <v>1</v>
      </c>
    </row>
    <row r="306" spans="1:16" x14ac:dyDescent="0.25">
      <c r="A306" s="1"/>
      <c r="B306" s="4">
        <v>16803</v>
      </c>
      <c r="C306" t="s">
        <v>24</v>
      </c>
      <c r="D306" s="3">
        <v>12.375</v>
      </c>
      <c r="E306" s="5">
        <f t="shared" si="28"/>
        <v>1946</v>
      </c>
      <c r="F306">
        <v>-1.6547700000000001</v>
      </c>
      <c r="G306">
        <f t="shared" si="29"/>
        <v>4.01302</v>
      </c>
      <c r="H306">
        <f t="shared" si="30"/>
        <v>4.01302</v>
      </c>
      <c r="I306" s="5">
        <f t="shared" si="31"/>
        <v>1946</v>
      </c>
      <c r="J306">
        <f t="shared" si="32"/>
        <v>1.8728226536772534</v>
      </c>
      <c r="K306">
        <f t="shared" si="33"/>
        <v>3.0272872548749201</v>
      </c>
      <c r="P306">
        <f t="shared" si="34"/>
        <v>1</v>
      </c>
    </row>
    <row r="307" spans="1:16" x14ac:dyDescent="0.25">
      <c r="A307" s="1"/>
      <c r="B307" s="4">
        <v>17168</v>
      </c>
      <c r="C307" t="s">
        <v>24</v>
      </c>
      <c r="D307" s="3">
        <v>12.416666666666666</v>
      </c>
      <c r="E307" s="5">
        <f t="shared" si="28"/>
        <v>1947</v>
      </c>
      <c r="F307">
        <v>0.45356000000000002</v>
      </c>
      <c r="G307">
        <f t="shared" si="29"/>
        <v>-2.3007200000000001</v>
      </c>
      <c r="H307">
        <f t="shared" si="30"/>
        <v>-2.3007200000000001</v>
      </c>
      <c r="I307" s="5">
        <f t="shared" si="31"/>
        <v>1947</v>
      </c>
      <c r="J307">
        <f t="shared" si="32"/>
        <v>-1.7267079790663376</v>
      </c>
      <c r="K307">
        <f t="shared" si="33"/>
        <v>-4.4144705836764278</v>
      </c>
      <c r="P307">
        <f t="shared" si="34"/>
        <v>1</v>
      </c>
    </row>
    <row r="308" spans="1:16" x14ac:dyDescent="0.25">
      <c r="A308" s="1"/>
      <c r="B308" s="4">
        <v>17533</v>
      </c>
      <c r="C308" t="s">
        <v>24</v>
      </c>
      <c r="D308" s="3">
        <v>12.458333333333334</v>
      </c>
      <c r="E308" s="5">
        <f t="shared" si="28"/>
        <v>1948</v>
      </c>
      <c r="F308">
        <v>0.26117000000000001</v>
      </c>
      <c r="G308">
        <f t="shared" si="29"/>
        <v>0.22387999999999997</v>
      </c>
      <c r="H308">
        <f t="shared" si="30"/>
        <v>0.22387999999999997</v>
      </c>
      <c r="I308" s="5">
        <f t="shared" si="31"/>
        <v>1948</v>
      </c>
      <c r="J308">
        <f t="shared" si="32"/>
        <v>0.47757841044265764</v>
      </c>
      <c r="K308">
        <f t="shared" si="33"/>
        <v>3.4026209405224161</v>
      </c>
      <c r="P308">
        <f t="shared" si="34"/>
        <v>1</v>
      </c>
    </row>
    <row r="309" spans="1:16" x14ac:dyDescent="0.25">
      <c r="A309" s="1"/>
      <c r="B309" s="4">
        <v>17899</v>
      </c>
      <c r="C309" t="s">
        <v>24</v>
      </c>
      <c r="D309" s="3">
        <v>12.5</v>
      </c>
      <c r="E309" s="5">
        <f t="shared" si="28"/>
        <v>1949</v>
      </c>
      <c r="F309">
        <v>0.29265999999999998</v>
      </c>
      <c r="G309">
        <f t="shared" si="29"/>
        <v>-1.9669099999999999</v>
      </c>
      <c r="H309">
        <f t="shared" si="30"/>
        <v>-1.9669099999999999</v>
      </c>
      <c r="I309" s="5">
        <f t="shared" si="31"/>
        <v>1949</v>
      </c>
      <c r="J309">
        <f t="shared" si="32"/>
        <v>-1.5148360679867965</v>
      </c>
      <c r="K309">
        <f t="shared" si="33"/>
        <v>-3.8565230073389967</v>
      </c>
      <c r="P309">
        <f t="shared" si="34"/>
        <v>1</v>
      </c>
    </row>
    <row r="310" spans="1:16" x14ac:dyDescent="0.25">
      <c r="A310" s="1"/>
      <c r="B310" s="4">
        <v>18264</v>
      </c>
      <c r="C310" t="s">
        <v>24</v>
      </c>
      <c r="D310" s="3">
        <v>12.541666666666666</v>
      </c>
      <c r="E310" s="5">
        <f t="shared" si="28"/>
        <v>1950</v>
      </c>
      <c r="F310">
        <v>-1.64276</v>
      </c>
      <c r="G310">
        <f t="shared" si="29"/>
        <v>1.5607</v>
      </c>
      <c r="H310">
        <f t="shared" si="30"/>
        <v>1.5607</v>
      </c>
      <c r="I310" s="5">
        <f t="shared" si="31"/>
        <v>1950</v>
      </c>
      <c r="J310">
        <f t="shared" si="32"/>
        <v>0.29210017891405882</v>
      </c>
      <c r="K310">
        <f t="shared" si="33"/>
        <v>1.6245848022701308</v>
      </c>
      <c r="P310">
        <f t="shared" si="34"/>
        <v>1</v>
      </c>
    </row>
    <row r="311" spans="1:16" x14ac:dyDescent="0.25">
      <c r="A311" s="1"/>
      <c r="B311" s="4">
        <v>18629</v>
      </c>
      <c r="C311" t="s">
        <v>24</v>
      </c>
      <c r="D311" s="3">
        <v>12.583333333333334</v>
      </c>
      <c r="E311" s="5">
        <f t="shared" si="28"/>
        <v>1951</v>
      </c>
      <c r="F311">
        <v>-2.0174799999999999</v>
      </c>
      <c r="G311">
        <f t="shared" si="29"/>
        <v>3.1111800000000001</v>
      </c>
      <c r="H311">
        <f t="shared" si="30"/>
        <v>3.1111800000000001</v>
      </c>
      <c r="I311" s="5">
        <f t="shared" si="31"/>
        <v>1951</v>
      </c>
      <c r="J311">
        <f t="shared" si="32"/>
        <v>-0.15658699112092528</v>
      </c>
      <c r="K311">
        <f t="shared" si="33"/>
        <v>-0.9623479742571508</v>
      </c>
      <c r="P311">
        <f t="shared" si="34"/>
        <v>1</v>
      </c>
    </row>
    <row r="312" spans="1:16" x14ac:dyDescent="0.25">
      <c r="A312" s="1"/>
      <c r="B312" s="4">
        <v>18994</v>
      </c>
      <c r="C312" t="s">
        <v>24</v>
      </c>
      <c r="D312" s="3">
        <v>12.625</v>
      </c>
      <c r="E312" s="5">
        <f t="shared" si="28"/>
        <v>1952</v>
      </c>
      <c r="F312">
        <v>0.71897999999999995</v>
      </c>
      <c r="G312">
        <f t="shared" si="29"/>
        <v>-4.4628800000000002</v>
      </c>
      <c r="H312">
        <f t="shared" si="30"/>
        <v>-4.4628800000000002</v>
      </c>
      <c r="I312" s="5">
        <f t="shared" si="31"/>
        <v>1952</v>
      </c>
      <c r="J312">
        <f t="shared" si="32"/>
        <v>-3.8478907663956381</v>
      </c>
      <c r="K312">
        <f t="shared" si="33"/>
        <v>-1.6134843092510589</v>
      </c>
      <c r="P312">
        <f t="shared" si="34"/>
        <v>1</v>
      </c>
    </row>
    <row r="313" spans="1:16" x14ac:dyDescent="0.25">
      <c r="A313" s="1"/>
      <c r="B313" s="4">
        <v>19360</v>
      </c>
      <c r="C313" t="s">
        <v>24</v>
      </c>
      <c r="D313" s="3">
        <v>12.666666666666666</v>
      </c>
      <c r="E313" s="5">
        <f t="shared" si="28"/>
        <v>1953</v>
      </c>
      <c r="F313">
        <v>-1.0074399999999999</v>
      </c>
      <c r="G313">
        <f t="shared" si="29"/>
        <v>1.6179499999999998</v>
      </c>
      <c r="H313">
        <f t="shared" si="30"/>
        <v>1.6179499999999998</v>
      </c>
      <c r="I313" s="5">
        <f t="shared" si="31"/>
        <v>1953</v>
      </c>
      <c r="J313">
        <f t="shared" si="32"/>
        <v>0.22986284029298765</v>
      </c>
      <c r="K313">
        <f t="shared" si="33"/>
        <v>2.6907074440191852</v>
      </c>
      <c r="P313">
        <f t="shared" si="34"/>
        <v>1</v>
      </c>
    </row>
    <row r="314" spans="1:16" x14ac:dyDescent="0.25">
      <c r="A314" s="1"/>
      <c r="B314" s="4">
        <v>19725</v>
      </c>
      <c r="C314" t="s">
        <v>24</v>
      </c>
      <c r="D314" s="3">
        <v>12.708333333333334</v>
      </c>
      <c r="E314" s="5">
        <f t="shared" si="28"/>
        <v>1954</v>
      </c>
      <c r="F314">
        <v>-1.11591</v>
      </c>
      <c r="G314">
        <f t="shared" si="29"/>
        <v>-2.1549999999999958E-2</v>
      </c>
      <c r="H314">
        <f t="shared" si="30"/>
        <v>-2.1549999999999958E-2</v>
      </c>
      <c r="I314" s="5">
        <f t="shared" si="31"/>
        <v>1954</v>
      </c>
      <c r="J314">
        <f t="shared" si="32"/>
        <v>-1.3963523037189107</v>
      </c>
      <c r="K314">
        <f t="shared" si="33"/>
        <v>-3.9180387116570436</v>
      </c>
      <c r="P314">
        <f t="shared" si="34"/>
        <v>1</v>
      </c>
    </row>
    <row r="315" spans="1:16" x14ac:dyDescent="0.25">
      <c r="A315" s="1"/>
      <c r="B315" s="4">
        <v>20090</v>
      </c>
      <c r="C315" t="s">
        <v>24</v>
      </c>
      <c r="D315" s="3">
        <v>12.75</v>
      </c>
      <c r="E315" s="5">
        <f t="shared" si="28"/>
        <v>1955</v>
      </c>
      <c r="F315">
        <v>-1.24593</v>
      </c>
      <c r="G315">
        <f t="shared" si="29"/>
        <v>-0.64243000000000006</v>
      </c>
      <c r="H315">
        <f t="shared" si="30"/>
        <v>-0.64243000000000006</v>
      </c>
      <c r="I315" s="5">
        <f t="shared" si="31"/>
        <v>1955</v>
      </c>
      <c r="J315">
        <f t="shared" si="32"/>
        <v>-1.8373284932805689</v>
      </c>
      <c r="K315">
        <f t="shared" si="33"/>
        <v>3.9915354531498646</v>
      </c>
      <c r="P315">
        <f t="shared" si="34"/>
        <v>0</v>
      </c>
    </row>
    <row r="316" spans="1:16" x14ac:dyDescent="0.25">
      <c r="A316" s="1"/>
      <c r="B316" s="4">
        <v>20455</v>
      </c>
      <c r="C316" t="s">
        <v>24</v>
      </c>
      <c r="D316" s="3">
        <v>12.791666666666666</v>
      </c>
      <c r="E316" s="5">
        <f t="shared" si="28"/>
        <v>1956</v>
      </c>
      <c r="F316">
        <v>-2.0183800000000001</v>
      </c>
      <c r="G316">
        <f t="shared" si="29"/>
        <v>2.0367800000000003</v>
      </c>
      <c r="H316">
        <f t="shared" si="30"/>
        <v>2.0367800000000003</v>
      </c>
      <c r="I316" s="5">
        <f t="shared" si="31"/>
        <v>1956</v>
      </c>
      <c r="J316">
        <f t="shared" si="32"/>
        <v>-1.1831994912329622</v>
      </c>
      <c r="K316">
        <f t="shared" si="33"/>
        <v>-2.5739555083231211</v>
      </c>
      <c r="P316">
        <f t="shared" si="34"/>
        <v>1</v>
      </c>
    </row>
    <row r="317" spans="1:16" x14ac:dyDescent="0.25">
      <c r="A317" s="1"/>
      <c r="B317" s="4">
        <v>20821</v>
      </c>
      <c r="C317" t="s">
        <v>24</v>
      </c>
      <c r="D317" s="3">
        <v>12.833333333333334</v>
      </c>
      <c r="E317" s="5">
        <f t="shared" si="28"/>
        <v>1957</v>
      </c>
      <c r="F317">
        <v>-0.75405</v>
      </c>
      <c r="G317">
        <f t="shared" si="29"/>
        <v>1.1063399999999999</v>
      </c>
      <c r="H317">
        <f t="shared" si="30"/>
        <v>1.1063399999999999</v>
      </c>
      <c r="I317" s="5">
        <f t="shared" si="31"/>
        <v>1957</v>
      </c>
      <c r="J317">
        <f t="shared" si="32"/>
        <v>0.5227894452338806</v>
      </c>
      <c r="K317">
        <f t="shared" si="33"/>
        <v>1.3451837739902412</v>
      </c>
      <c r="P317">
        <f t="shared" si="34"/>
        <v>1</v>
      </c>
    </row>
    <row r="318" spans="1:16" x14ac:dyDescent="0.25">
      <c r="A318" s="1"/>
      <c r="B318" s="4">
        <v>21186</v>
      </c>
      <c r="C318" t="s">
        <v>24</v>
      </c>
      <c r="D318" s="3">
        <v>12.875</v>
      </c>
      <c r="E318" s="5">
        <f t="shared" si="28"/>
        <v>1958</v>
      </c>
      <c r="F318">
        <v>1.6166199999999999</v>
      </c>
      <c r="G318">
        <f t="shared" si="29"/>
        <v>-4.0720499999999999</v>
      </c>
      <c r="H318">
        <f t="shared" si="30"/>
        <v>-4.0720499999999999</v>
      </c>
      <c r="I318" s="5">
        <f t="shared" si="31"/>
        <v>1958</v>
      </c>
      <c r="J318">
        <f t="shared" si="32"/>
        <v>-1.5573176663918333</v>
      </c>
      <c r="K318">
        <f t="shared" si="33"/>
        <v>1.6470184621016295</v>
      </c>
      <c r="P318">
        <f t="shared" si="34"/>
        <v>0</v>
      </c>
    </row>
    <row r="319" spans="1:16" x14ac:dyDescent="0.25">
      <c r="A319" s="1"/>
      <c r="B319" s="4">
        <v>21551</v>
      </c>
      <c r="C319" t="s">
        <v>24</v>
      </c>
      <c r="D319" s="3">
        <v>12.916666666666666</v>
      </c>
      <c r="E319" s="5">
        <f t="shared" si="28"/>
        <v>1959</v>
      </c>
      <c r="F319">
        <v>-8.4760000000000002E-2</v>
      </c>
      <c r="G319">
        <f t="shared" si="29"/>
        <v>1.8968999999999998</v>
      </c>
      <c r="H319">
        <f t="shared" si="30"/>
        <v>1.8968999999999998</v>
      </c>
      <c r="I319" s="5">
        <f t="shared" si="31"/>
        <v>1959</v>
      </c>
      <c r="J319">
        <f t="shared" si="32"/>
        <v>1.8089481435294819</v>
      </c>
      <c r="K319">
        <f t="shared" si="33"/>
        <v>-2.4253482102164883</v>
      </c>
      <c r="P319">
        <f t="shared" si="34"/>
        <v>0</v>
      </c>
    </row>
    <row r="320" spans="1:16" x14ac:dyDescent="0.25">
      <c r="A320" s="1"/>
      <c r="B320" s="4">
        <v>21916</v>
      </c>
      <c r="C320" t="s">
        <v>24</v>
      </c>
      <c r="D320" s="3">
        <v>12.958333333333334</v>
      </c>
      <c r="E320" s="5">
        <f t="shared" si="28"/>
        <v>1960</v>
      </c>
      <c r="F320">
        <v>0.11076</v>
      </c>
      <c r="G320">
        <f t="shared" si="29"/>
        <v>-1.1359599999999999</v>
      </c>
      <c r="H320">
        <f t="shared" si="30"/>
        <v>-1.1359599999999999</v>
      </c>
      <c r="I320" s="5">
        <f t="shared" si="31"/>
        <v>1960</v>
      </c>
      <c r="J320">
        <f t="shared" si="32"/>
        <v>-1.0075802556990092</v>
      </c>
      <c r="K320">
        <f t="shared" si="33"/>
        <v>4.4509855771832134</v>
      </c>
      <c r="P320">
        <f t="shared" si="34"/>
        <v>0</v>
      </c>
    </row>
    <row r="321" spans="1:16" x14ac:dyDescent="0.25">
      <c r="A321" s="1"/>
      <c r="B321" s="4">
        <v>22282</v>
      </c>
      <c r="C321" t="s">
        <v>24</v>
      </c>
      <c r="D321" s="3">
        <v>13</v>
      </c>
      <c r="E321" s="5">
        <f t="shared" si="28"/>
        <v>1961</v>
      </c>
      <c r="F321">
        <v>-0.82967999999999997</v>
      </c>
      <c r="G321">
        <f t="shared" si="29"/>
        <v>1.8454699999999999</v>
      </c>
      <c r="H321">
        <f t="shared" si="30"/>
        <v>1.8454699999999999</v>
      </c>
      <c r="I321" s="5">
        <f t="shared" si="31"/>
        <v>1961</v>
      </c>
      <c r="J321">
        <f t="shared" si="32"/>
        <v>0.63657449896155638</v>
      </c>
      <c r="K321">
        <f t="shared" si="33"/>
        <v>-3.3574422350148678</v>
      </c>
      <c r="P321">
        <f t="shared" si="34"/>
        <v>0</v>
      </c>
    </row>
    <row r="322" spans="1:16" x14ac:dyDescent="0.25">
      <c r="A322" s="1"/>
      <c r="B322" s="4">
        <v>22647</v>
      </c>
      <c r="C322" t="s">
        <v>24</v>
      </c>
      <c r="D322" s="3">
        <v>13.041666666666666</v>
      </c>
      <c r="E322" s="5">
        <f t="shared" si="28"/>
        <v>1962</v>
      </c>
      <c r="F322">
        <v>7.535E-2</v>
      </c>
      <c r="G322">
        <f t="shared" si="29"/>
        <v>-1.6600299999999999</v>
      </c>
      <c r="H322">
        <f t="shared" si="30"/>
        <v>-1.6600299999999999</v>
      </c>
      <c r="I322" s="5">
        <f t="shared" si="31"/>
        <v>1962</v>
      </c>
      <c r="J322">
        <f t="shared" si="32"/>
        <v>-1.597936708189956</v>
      </c>
      <c r="K322">
        <f t="shared" si="33"/>
        <v>3.3774872827363662</v>
      </c>
      <c r="P322">
        <f t="shared" si="34"/>
        <v>0</v>
      </c>
    </row>
    <row r="323" spans="1:16" x14ac:dyDescent="0.25">
      <c r="A323" s="1"/>
      <c r="B323" s="4">
        <v>23012</v>
      </c>
      <c r="C323" t="s">
        <v>24</v>
      </c>
      <c r="D323" s="3">
        <v>13.083333333333334</v>
      </c>
      <c r="E323" s="5">
        <f t="shared" si="28"/>
        <v>1963</v>
      </c>
      <c r="F323">
        <v>-0.67964999999999998</v>
      </c>
      <c r="G323">
        <f t="shared" si="29"/>
        <v>2.6599699999999999</v>
      </c>
      <c r="H323">
        <f t="shared" si="30"/>
        <v>2.6599699999999999</v>
      </c>
      <c r="I323" s="5">
        <f t="shared" si="31"/>
        <v>1963</v>
      </c>
      <c r="J323">
        <f t="shared" si="32"/>
        <v>1.5454542792825334</v>
      </c>
      <c r="K323">
        <f t="shared" si="33"/>
        <v>-1.1437968527126328</v>
      </c>
      <c r="P323">
        <f t="shared" si="34"/>
        <v>0</v>
      </c>
    </row>
    <row r="324" spans="1:16" x14ac:dyDescent="0.25">
      <c r="A324" s="1"/>
      <c r="B324" s="4">
        <v>23377</v>
      </c>
      <c r="C324" t="s">
        <v>24</v>
      </c>
      <c r="D324" s="3">
        <v>13.125</v>
      </c>
      <c r="E324" s="5">
        <f t="shared" si="28"/>
        <v>1964</v>
      </c>
      <c r="F324">
        <v>1.22532</v>
      </c>
      <c r="G324">
        <f t="shared" si="29"/>
        <v>-2.9074200000000001</v>
      </c>
      <c r="H324">
        <f t="shared" si="30"/>
        <v>-2.9074200000000001</v>
      </c>
      <c r="I324" s="5">
        <f t="shared" si="31"/>
        <v>1964</v>
      </c>
      <c r="J324">
        <f t="shared" si="32"/>
        <v>-1.9215166549965081</v>
      </c>
      <c r="K324">
        <f t="shared" si="33"/>
        <v>-3.0687533750397844E-2</v>
      </c>
      <c r="P324">
        <f t="shared" si="34"/>
        <v>1</v>
      </c>
    </row>
    <row r="325" spans="1:16" x14ac:dyDescent="0.25">
      <c r="A325" s="1"/>
      <c r="B325" s="4">
        <v>23743</v>
      </c>
      <c r="C325" t="s">
        <v>24</v>
      </c>
      <c r="D325" s="3">
        <v>13.166666666666666</v>
      </c>
      <c r="E325" s="5">
        <f t="shared" si="28"/>
        <v>1965</v>
      </c>
      <c r="F325">
        <v>0.22287000000000001</v>
      </c>
      <c r="G325">
        <f t="shared" si="29"/>
        <v>2.5870000000000002</v>
      </c>
      <c r="H325">
        <f t="shared" si="30"/>
        <v>2.5870000000000002</v>
      </c>
      <c r="I325" s="5">
        <f t="shared" si="31"/>
        <v>1965</v>
      </c>
      <c r="J325">
        <f t="shared" si="32"/>
        <v>2.9224778567444281</v>
      </c>
      <c r="K325">
        <f t="shared" si="33"/>
        <v>1.8151057126247854</v>
      </c>
      <c r="P325">
        <f t="shared" si="34"/>
        <v>1</v>
      </c>
    </row>
    <row r="326" spans="1:16" x14ac:dyDescent="0.25">
      <c r="A326" s="1"/>
      <c r="B326" s="4">
        <v>24108</v>
      </c>
      <c r="C326" t="s">
        <v>24</v>
      </c>
      <c r="D326" s="3">
        <v>13.208333333333334</v>
      </c>
      <c r="E326" s="5">
        <f t="shared" si="28"/>
        <v>1966</v>
      </c>
      <c r="F326">
        <v>1.80742</v>
      </c>
      <c r="G326">
        <f t="shared" si="29"/>
        <v>-3.9504299999999999</v>
      </c>
      <c r="H326">
        <f t="shared" si="30"/>
        <v>-3.9504299999999999</v>
      </c>
      <c r="I326" s="5">
        <f t="shared" si="31"/>
        <v>1966</v>
      </c>
      <c r="J326">
        <f t="shared" si="32"/>
        <v>-2.0685750991196663</v>
      </c>
      <c r="K326">
        <f t="shared" si="33"/>
        <v>-3.1448862033487881</v>
      </c>
      <c r="P326">
        <f t="shared" si="34"/>
        <v>1</v>
      </c>
    </row>
    <row r="327" spans="1:16" x14ac:dyDescent="0.25">
      <c r="A327" s="1"/>
      <c r="B327" s="4">
        <v>24473</v>
      </c>
      <c r="C327" t="s">
        <v>24</v>
      </c>
      <c r="D327" s="3">
        <v>13.25</v>
      </c>
      <c r="E327" s="5">
        <f t="shared" si="28"/>
        <v>1967</v>
      </c>
      <c r="F327">
        <v>-0.55845999999999996</v>
      </c>
      <c r="G327">
        <f t="shared" si="29"/>
        <v>3.9300299999999995</v>
      </c>
      <c r="H327">
        <f t="shared" si="30"/>
        <v>3.9300299999999995</v>
      </c>
      <c r="I327" s="5">
        <f t="shared" si="31"/>
        <v>1967</v>
      </c>
      <c r="J327">
        <f t="shared" si="32"/>
        <v>3.2612114480178684</v>
      </c>
      <c r="K327">
        <f t="shared" si="33"/>
        <v>3.5202160707324621</v>
      </c>
      <c r="P327">
        <f t="shared" si="34"/>
        <v>1</v>
      </c>
    </row>
    <row r="328" spans="1:16" x14ac:dyDescent="0.25">
      <c r="A328" s="1"/>
      <c r="B328" s="4">
        <v>24838</v>
      </c>
      <c r="C328" t="s">
        <v>24</v>
      </c>
      <c r="D328" s="3">
        <v>13.291666666666666</v>
      </c>
      <c r="E328" s="5">
        <f t="shared" si="28"/>
        <v>1968</v>
      </c>
      <c r="F328">
        <v>1.00569</v>
      </c>
      <c r="G328">
        <f t="shared" si="29"/>
        <v>-1.7698700000000001</v>
      </c>
      <c r="H328">
        <f t="shared" si="30"/>
        <v>-1.7698700000000001</v>
      </c>
      <c r="I328" s="5">
        <f t="shared" si="31"/>
        <v>1968</v>
      </c>
      <c r="J328">
        <f t="shared" si="32"/>
        <v>-0.40122867218811303</v>
      </c>
      <c r="K328">
        <f t="shared" si="33"/>
        <v>-4.399189742972986</v>
      </c>
      <c r="P328">
        <f t="shared" si="34"/>
        <v>1</v>
      </c>
    </row>
    <row r="329" spans="1:16" x14ac:dyDescent="0.25">
      <c r="A329" s="1"/>
      <c r="B329" s="4">
        <v>25204</v>
      </c>
      <c r="C329" t="s">
        <v>24</v>
      </c>
      <c r="D329" s="3">
        <v>13.333333333333334</v>
      </c>
      <c r="E329" s="5">
        <f t="shared" si="28"/>
        <v>1969</v>
      </c>
      <c r="F329">
        <v>0.79996999999999996</v>
      </c>
      <c r="G329">
        <f t="shared" si="29"/>
        <v>-0.42859999999999998</v>
      </c>
      <c r="H329">
        <f t="shared" si="30"/>
        <v>-0.42859999999999998</v>
      </c>
      <c r="I329" s="5">
        <f t="shared" si="31"/>
        <v>1969</v>
      </c>
      <c r="J329">
        <f t="shared" si="32"/>
        <v>0.28654395541687422</v>
      </c>
      <c r="K329">
        <f t="shared" si="33"/>
        <v>3.1604849811582918</v>
      </c>
      <c r="P329">
        <f t="shared" si="34"/>
        <v>1</v>
      </c>
    </row>
    <row r="330" spans="1:16" x14ac:dyDescent="0.25">
      <c r="A330" s="1"/>
      <c r="B330" s="4">
        <v>25569</v>
      </c>
      <c r="C330" t="s">
        <v>24</v>
      </c>
      <c r="D330" s="3">
        <v>13.375</v>
      </c>
      <c r="E330" s="5">
        <f t="shared" si="28"/>
        <v>1970</v>
      </c>
      <c r="F330">
        <v>0.16564999999999999</v>
      </c>
      <c r="G330">
        <f t="shared" si="29"/>
        <v>-2.63009</v>
      </c>
      <c r="H330">
        <f t="shared" si="30"/>
        <v>-2.63009</v>
      </c>
      <c r="I330" s="5">
        <f t="shared" si="31"/>
        <v>1970</v>
      </c>
      <c r="J330">
        <f t="shared" si="32"/>
        <v>-2.3658991439801595</v>
      </c>
      <c r="K330">
        <f t="shared" si="33"/>
        <v>-3.2357222573032485</v>
      </c>
      <c r="P330">
        <f t="shared" si="34"/>
        <v>1</v>
      </c>
    </row>
    <row r="331" spans="1:16" x14ac:dyDescent="0.25">
      <c r="A331" s="1"/>
      <c r="B331" s="4">
        <v>25934</v>
      </c>
      <c r="C331" t="s">
        <v>24</v>
      </c>
      <c r="D331" s="3">
        <v>13.416666666666666</v>
      </c>
      <c r="E331" s="5">
        <f t="shared" si="28"/>
        <v>1971</v>
      </c>
      <c r="F331">
        <v>-3.09876</v>
      </c>
      <c r="G331">
        <f t="shared" si="29"/>
        <v>5.3416499999999996</v>
      </c>
      <c r="H331">
        <f t="shared" si="30"/>
        <v>5.3416499999999996</v>
      </c>
      <c r="I331" s="5">
        <f t="shared" si="31"/>
        <v>1971</v>
      </c>
      <c r="J331">
        <f t="shared" si="32"/>
        <v>2.9816310165556299</v>
      </c>
      <c r="K331">
        <f t="shared" si="33"/>
        <v>0.73191770856506544</v>
      </c>
      <c r="P331">
        <f t="shared" si="34"/>
        <v>1</v>
      </c>
    </row>
    <row r="332" spans="1:16" x14ac:dyDescent="0.25">
      <c r="A332" s="1"/>
      <c r="B332" s="4">
        <v>26299</v>
      </c>
      <c r="C332" t="s">
        <v>24</v>
      </c>
      <c r="D332" s="3">
        <v>13.458333333333334</v>
      </c>
      <c r="E332" s="5">
        <f t="shared" ref="E332:E337" si="35">+E331+1</f>
        <v>1972</v>
      </c>
      <c r="F332">
        <v>-1.02152</v>
      </c>
      <c r="G332">
        <f t="shared" ref="G332:G336" si="36">+(F333-F332)-(F332-F331)</f>
        <v>0.82197999999999993</v>
      </c>
      <c r="H332">
        <f t="shared" ref="H332:H336" si="37">+G332</f>
        <v>0.82197999999999993</v>
      </c>
      <c r="I332" s="5">
        <f t="shared" si="31"/>
        <v>1972</v>
      </c>
      <c r="J332">
        <f t="shared" si="32"/>
        <v>-0.79655465739060982</v>
      </c>
      <c r="K332">
        <f t="shared" si="33"/>
        <v>-3.6394771028143369E-2</v>
      </c>
      <c r="P332">
        <f t="shared" si="34"/>
        <v>1</v>
      </c>
    </row>
    <row r="333" spans="1:16" x14ac:dyDescent="0.25">
      <c r="A333" s="1"/>
      <c r="B333" s="4">
        <v>26665</v>
      </c>
      <c r="C333" t="s">
        <v>24</v>
      </c>
      <c r="D333" s="3">
        <v>13.5</v>
      </c>
      <c r="E333" s="5">
        <f t="shared" si="35"/>
        <v>1973</v>
      </c>
      <c r="F333">
        <v>1.8776999999999999</v>
      </c>
      <c r="G333">
        <f t="shared" si="36"/>
        <v>-7.8435699999999997</v>
      </c>
      <c r="H333">
        <f t="shared" si="37"/>
        <v>-7.8435699999999997</v>
      </c>
      <c r="I333" s="5">
        <f t="shared" ref="I333:I335" si="38">+E333</f>
        <v>1973</v>
      </c>
      <c r="J333">
        <f t="shared" ref="J333:J335" si="39">+$J$6*F333+F333*$J$7*COS(2*PI()*$I333/$K$6+$K$5*COS($J$5*$I333+$K$8)+$J$9)+H333+F333*$J$3*COS(2*PI()*$I333/$J$8+$K$3)</f>
        <v>-6.0922756803880773</v>
      </c>
      <c r="K333">
        <f t="shared" ref="K333:K335" si="40">+$K$8*COS(2*PI()*$I333/$K$6+$K$5*COS($J$5*$I333+$K$8)+$K$7) +$K$4*COS(2*PI()*$I333/$J$8+$J$4)</f>
        <v>-2.6181098372578901</v>
      </c>
      <c r="P333">
        <f t="shared" ref="P333:P335" si="41">+IF(J333*K333&gt;0,1, 0)</f>
        <v>1</v>
      </c>
    </row>
    <row r="334" spans="1:16" x14ac:dyDescent="0.25">
      <c r="A334" s="1"/>
      <c r="B334" s="4">
        <v>27030</v>
      </c>
      <c r="C334" t="s">
        <v>24</v>
      </c>
      <c r="D334" s="3">
        <v>13.541666666666666</v>
      </c>
      <c r="E334" s="5">
        <f t="shared" si="35"/>
        <v>1974</v>
      </c>
      <c r="F334">
        <v>-3.0666500000000001</v>
      </c>
      <c r="G334">
        <f t="shared" si="36"/>
        <v>7.5886700000000005</v>
      </c>
      <c r="H334">
        <f t="shared" si="37"/>
        <v>7.5886700000000005</v>
      </c>
      <c r="I334" s="5">
        <f t="shared" si="38"/>
        <v>1974</v>
      </c>
      <c r="J334">
        <f t="shared" si="39"/>
        <v>3.6986653050550315</v>
      </c>
      <c r="K334">
        <f t="shared" si="40"/>
        <v>3.2015825093158279</v>
      </c>
      <c r="P334">
        <f t="shared" si="41"/>
        <v>1</v>
      </c>
    </row>
    <row r="335" spans="1:16" x14ac:dyDescent="0.25">
      <c r="A335" s="1"/>
      <c r="B335" s="4">
        <v>27395</v>
      </c>
      <c r="C335" t="s">
        <v>24</v>
      </c>
      <c r="D335" s="3">
        <v>13.583333333333334</v>
      </c>
      <c r="E335" s="5">
        <f t="shared" si="35"/>
        <v>1975</v>
      </c>
      <c r="F335">
        <v>-0.42232999999999998</v>
      </c>
      <c r="G335">
        <f t="shared" si="36"/>
        <v>-2.9693899999999998</v>
      </c>
      <c r="H335">
        <f t="shared" si="37"/>
        <v>-2.9693899999999998</v>
      </c>
      <c r="I335" s="5">
        <f t="shared" si="38"/>
        <v>1975</v>
      </c>
      <c r="J335">
        <f t="shared" si="39"/>
        <v>-3.5369645420274156</v>
      </c>
      <c r="K335">
        <f t="shared" si="40"/>
        <v>-4.1816737074114299</v>
      </c>
      <c r="P335">
        <f t="shared" si="41"/>
        <v>1</v>
      </c>
    </row>
    <row r="336" spans="1:16" x14ac:dyDescent="0.25">
      <c r="A336" s="1"/>
      <c r="B336" s="4">
        <v>27760</v>
      </c>
      <c r="C336" t="s">
        <v>24</v>
      </c>
      <c r="D336" s="3">
        <v>13.625</v>
      </c>
      <c r="E336" s="5">
        <f t="shared" si="35"/>
        <v>1976</v>
      </c>
      <c r="F336">
        <v>-0.74739999999999995</v>
      </c>
      <c r="G336">
        <f t="shared" si="36"/>
        <v>1.7224299999999999</v>
      </c>
      <c r="H336">
        <f t="shared" si="37"/>
        <v>1.7224299999999999</v>
      </c>
    </row>
    <row r="337" spans="1:6" x14ac:dyDescent="0.25">
      <c r="A337" s="1"/>
      <c r="B337" s="4">
        <v>28126</v>
      </c>
      <c r="C337" t="s">
        <v>24</v>
      </c>
      <c r="D337" s="3">
        <v>13.666666666666666</v>
      </c>
      <c r="E337" s="5">
        <f t="shared" si="35"/>
        <v>1977</v>
      </c>
      <c r="F337">
        <v>0.64995999999999998</v>
      </c>
    </row>
  </sheetData>
  <pageMargins left="0.25" right="0.25" top="0.75" bottom="0.75" header="0.3" footer="0.3"/>
  <pageSetup scale="6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zoomScale="60" zoomScaleNormal="60" workbookViewId="0">
      <selection activeCell="M8" sqref="M8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E2" t="s">
        <v>12</v>
      </c>
      <c r="F2" t="s">
        <v>9</v>
      </c>
      <c r="G2" t="s">
        <v>10</v>
      </c>
      <c r="H2" t="s">
        <v>11</v>
      </c>
      <c r="I2" t="s">
        <v>284</v>
      </c>
      <c r="J2">
        <v>2.3388942834678836</v>
      </c>
      <c r="K2">
        <v>8.8486908020611903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285</v>
      </c>
      <c r="J3">
        <v>8.7387722301202637E-3</v>
      </c>
      <c r="K3">
        <v>-0.97296710884716309</v>
      </c>
    </row>
    <row r="4" spans="1:16" x14ac:dyDescent="0.25">
      <c r="A4" s="1"/>
      <c r="B4" t="s">
        <v>15</v>
      </c>
      <c r="C4" t="s">
        <v>1</v>
      </c>
      <c r="I4" t="s">
        <v>286</v>
      </c>
      <c r="J4">
        <v>1.4915647284746121</v>
      </c>
      <c r="K4">
        <v>-0.4749901665472861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287</v>
      </c>
      <c r="J5">
        <v>7.7176070351298268E-2</v>
      </c>
      <c r="K5">
        <v>2.8713285895543228</v>
      </c>
    </row>
    <row r="6" spans="1:16" x14ac:dyDescent="0.25">
      <c r="A6" s="1"/>
      <c r="B6" t="s">
        <v>20</v>
      </c>
      <c r="C6" t="s">
        <v>21</v>
      </c>
      <c r="I6" t="s">
        <v>288</v>
      </c>
      <c r="J6">
        <v>-0.49542324654774073</v>
      </c>
      <c r="K6">
        <v>-5.0005856192337543E-2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289</v>
      </c>
      <c r="J7">
        <v>0.56818588114154456</v>
      </c>
      <c r="K7">
        <v>45.454830371168022</v>
      </c>
    </row>
    <row r="8" spans="1:16" x14ac:dyDescent="0.25">
      <c r="A8" s="1"/>
      <c r="B8" t="s">
        <v>21</v>
      </c>
      <c r="I8" t="s">
        <v>290</v>
      </c>
      <c r="J8">
        <v>-0.9337715761787293</v>
      </c>
      <c r="K8">
        <v>-1.3626328175765658</v>
      </c>
    </row>
    <row r="9" spans="1:16" x14ac:dyDescent="0.25">
      <c r="A9" s="1">
        <v>1</v>
      </c>
      <c r="H9">
        <f>+AVERAGE(F11:F338)</f>
        <v>-1.25238572899789E-17</v>
      </c>
      <c r="I9" t="s">
        <v>291</v>
      </c>
      <c r="J9">
        <v>-3.7231615072203956</v>
      </c>
      <c r="K9">
        <v>-20.510676604088868</v>
      </c>
    </row>
    <row r="10" spans="1:16" x14ac:dyDescent="0.25">
      <c r="A10" s="1"/>
      <c r="K10" s="6">
        <f>+CORREL(J13:J230,K13:K230)</f>
        <v>0.2869829036061472</v>
      </c>
      <c r="L10">
        <f>+K10*P10</f>
        <v>0.17721524923144574</v>
      </c>
      <c r="P10">
        <f>+SUM(P13:P230)/(230-13)</f>
        <v>0.61751152073732718</v>
      </c>
    </row>
    <row r="11" spans="1:16" x14ac:dyDescent="0.25">
      <c r="A11" s="1"/>
      <c r="B11" t="s">
        <v>23</v>
      </c>
      <c r="C11" t="s">
        <v>24</v>
      </c>
      <c r="D11" s="2">
        <v>4.1666666666666664E-2</v>
      </c>
      <c r="E11" s="5">
        <v>1650</v>
      </c>
      <c r="F11">
        <v>0.34445999999999999</v>
      </c>
      <c r="K11" s="6">
        <f>+CORREL(J231:J335,K231:K335)</f>
        <v>0.57564363441401056</v>
      </c>
      <c r="L11">
        <f>+K11*P11</f>
        <v>0.44955026687570349</v>
      </c>
      <c r="P11">
        <f>+SUM(P231:P335)/(335-230)</f>
        <v>0.78095238095238095</v>
      </c>
    </row>
    <row r="12" spans="1:16" x14ac:dyDescent="0.25">
      <c r="A12" s="1"/>
      <c r="B12" t="s">
        <v>25</v>
      </c>
      <c r="C12" t="s">
        <v>24</v>
      </c>
      <c r="D12" s="2">
        <v>8.3333333333333329E-2</v>
      </c>
      <c r="E12" s="5">
        <f>+E11+1</f>
        <v>1651</v>
      </c>
      <c r="F12">
        <v>1.25427</v>
      </c>
      <c r="G12">
        <f>+(F13-F12)-(F12-F11)</f>
        <v>-1.4716800000000001</v>
      </c>
      <c r="H12">
        <f>+G12</f>
        <v>-1.4716800000000001</v>
      </c>
      <c r="K12" s="6">
        <f>+CORREL(J13:J336,K13:K336)</f>
        <v>0.40476336079209613</v>
      </c>
      <c r="L12">
        <f>+K12*P12</f>
        <v>0.27193080276125342</v>
      </c>
      <c r="P12">
        <f>+SUM(P13:P336)/(335-12)</f>
        <v>0.67182662538699689</v>
      </c>
    </row>
    <row r="13" spans="1:16" x14ac:dyDescent="0.25">
      <c r="A13" s="1"/>
      <c r="B13" t="s">
        <v>26</v>
      </c>
      <c r="C13" t="s">
        <v>24</v>
      </c>
      <c r="D13" s="2">
        <v>0.125</v>
      </c>
      <c r="E13" s="5">
        <f t="shared" ref="E13:E76" si="0">+E12+1</f>
        <v>1652</v>
      </c>
      <c r="F13">
        <v>0.69240000000000002</v>
      </c>
      <c r="G13">
        <f t="shared" ref="G13:G76" si="1">+(F14-F13)-(F13-F12)</f>
        <v>-0.72932999999999992</v>
      </c>
      <c r="H13">
        <f t="shared" ref="H13:H76" si="2">+G13</f>
        <v>-0.72932999999999992</v>
      </c>
      <c r="I13" s="5">
        <f>+E13</f>
        <v>1652</v>
      </c>
      <c r="J13">
        <f>+H13+CF*F13*(1+($I13-1850)*slope/1000)+F13*hQc*COS(2*PI()*$I13/qbo+$L13)+F13*hQs*SIN(2*PI()*$I13/qbo+$L13)+F13*hCs*SIN(2*PI()*$I13/cw)+F13*hCc*COS(2*PI()*$I13/cw) +mix*F13*(hQc*COS(2*PI()*$I13/qbo+$L13)+hQs*SIN(2*PI()*$I13/qbo+$L13))*(hCs*SIN(2*PI()*$I13/cw)+hCc*COS(2*PI()*$I13/cw))</f>
        <v>-0.43699643653402542</v>
      </c>
      <c r="K13">
        <f>fQc*COS(2*PI()*$I13/qbo+$L13)+fQs*SIN(2*PI()*$I13/qbo+$L13)+fCs*SIN(2*PI()*$I13/cw)+fCc*COS(2*PI()*$I13/cw)</f>
        <v>1.2219732766285019</v>
      </c>
      <c r="L13">
        <f>+QMA*COS(2*PI()*$I13/QM+QMP)</f>
        <v>-0.65233668512047138</v>
      </c>
      <c r="N13">
        <f>+$K$8*COS(2*PI()*$I13/$K$6+$K$5*COS($J$5*$I13+$K$8)+$K$7)</f>
        <v>1.3591277354362532</v>
      </c>
      <c r="P13">
        <f>+IF(J13*K13&gt;0,1, 0)</f>
        <v>0</v>
      </c>
    </row>
    <row r="14" spans="1:16" x14ac:dyDescent="0.25">
      <c r="A14" s="1"/>
      <c r="B14" t="s">
        <v>27</v>
      </c>
      <c r="C14" t="s">
        <v>24</v>
      </c>
      <c r="D14" s="2">
        <v>0.16666666666666666</v>
      </c>
      <c r="E14" s="5">
        <f t="shared" si="0"/>
        <v>1653</v>
      </c>
      <c r="F14">
        <v>-0.5988</v>
      </c>
      <c r="G14">
        <f t="shared" si="1"/>
        <v>1.2937099999999999</v>
      </c>
      <c r="H14">
        <f t="shared" si="2"/>
        <v>1.2937099999999999</v>
      </c>
      <c r="I14" s="5">
        <f t="shared" ref="I14:I77" si="3">+E14</f>
        <v>1653</v>
      </c>
      <c r="J14">
        <f>+H14+CF*F14*(1+($I14-1850)*slope/1000)+F14*hQc*COS(2*PI()*$I14/qbo+$L14)+F14*hQs*SIN(2*PI()*$I14/qbo+$L14)+F14*hCs*SIN(2*PI()*$I14/cw)+F14*hCc*COS(2*PI()*$I14/cw) +mix*F14*(hQc*COS(2*PI()*$I14/qbo+$L14)+hQs*SIN(2*PI()*$I14/qbo+$L14))*(hCs*SIN(2*PI()*$I14/cw)+hCc*COS(2*PI()*$I14/cw))</f>
        <v>-1.667646137630225</v>
      </c>
      <c r="K14">
        <f>fQc*COS(2*PI()*$I14/qbo+$L14)+fQs*SIN(2*PI()*$I14/qbo+$L14)+fCs*SIN(2*PI()*$I14/cw)+fCc*COS(2*PI()*$I14/cw)</f>
        <v>-1.2165451328466683</v>
      </c>
      <c r="L14">
        <f>+QMA*COS(2*PI()*$I14/QM+QMP)</f>
        <v>-0.55405433244786439</v>
      </c>
      <c r="P14">
        <f t="shared" ref="P14:P77" si="4">+IF(J14*K14&gt;0,1, 0)</f>
        <v>1</v>
      </c>
    </row>
    <row r="15" spans="1:16" x14ac:dyDescent="0.25">
      <c r="A15" s="1"/>
      <c r="B15" t="s">
        <v>28</v>
      </c>
      <c r="C15" t="s">
        <v>24</v>
      </c>
      <c r="D15" s="2">
        <v>0.20833333333333334</v>
      </c>
      <c r="E15" s="5">
        <f t="shared" si="0"/>
        <v>1654</v>
      </c>
      <c r="F15">
        <v>-0.59628999999999999</v>
      </c>
      <c r="G15">
        <f t="shared" si="1"/>
        <v>0.75729999999999997</v>
      </c>
      <c r="H15">
        <f t="shared" si="2"/>
        <v>0.75729999999999997</v>
      </c>
      <c r="I15" s="5">
        <f t="shared" si="3"/>
        <v>1654</v>
      </c>
      <c r="J15">
        <f>+H15+CF*F15*(1+($I15-1850)*slope/1000)+F15*hQc*COS(2*PI()*$I15/qbo+$L15)+F15*hQs*SIN(2*PI()*$I15/qbo+$L15)+F15*hCs*SIN(2*PI()*$I15/cw)+F15*hCc*COS(2*PI()*$I15/cw) +mix*F15*(hQc*COS(2*PI()*$I15/qbo+$L15)+hQs*SIN(2*PI()*$I15/qbo+$L15))*(hCs*SIN(2*PI()*$I15/cw)+hCc*COS(2*PI()*$I15/cw))</f>
        <v>2.1544317220364908</v>
      </c>
      <c r="K15">
        <f>fQc*COS(2*PI()*$I15/qbo+$L15)+fQs*SIN(2*PI()*$I15/qbo+$L15)+fCs*SIN(2*PI()*$I15/cw)+fCc*COS(2*PI()*$I15/cw)</f>
        <v>2.5529583157133575</v>
      </c>
      <c r="L15">
        <f>+QMA*COS(2*PI()*$I15/QM+QMP)</f>
        <v>-0.44520233523282987</v>
      </c>
      <c r="P15">
        <f t="shared" si="4"/>
        <v>1</v>
      </c>
    </row>
    <row r="16" spans="1:16" x14ac:dyDescent="0.25">
      <c r="A16" s="1"/>
      <c r="B16" t="s">
        <v>29</v>
      </c>
      <c r="C16" t="s">
        <v>24</v>
      </c>
      <c r="D16" s="2">
        <v>0.25</v>
      </c>
      <c r="E16" s="5">
        <f t="shared" si="0"/>
        <v>1655</v>
      </c>
      <c r="F16">
        <v>0.16352</v>
      </c>
      <c r="G16">
        <f t="shared" si="1"/>
        <v>0.10324</v>
      </c>
      <c r="H16">
        <f t="shared" si="2"/>
        <v>0.10324</v>
      </c>
      <c r="I16" s="5">
        <f t="shared" si="3"/>
        <v>1655</v>
      </c>
      <c r="J16">
        <f>+H16+CF*F16*(1+($I16-1850)*slope/1000)+F16*hQc*COS(2*PI()*$I16/qbo+$L16)+F16*hQs*SIN(2*PI()*$I16/qbo+$L16)+F16*hCs*SIN(2*PI()*$I16/cw)+F16*hCc*COS(2*PI()*$I16/cw) +mix*F16*(hQc*COS(2*PI()*$I16/qbo+$L16)+hQs*SIN(2*PI()*$I16/qbo+$L16))*(hCs*SIN(2*PI()*$I16/cw)+hCc*COS(2*PI()*$I16/cw))</f>
        <v>0.78159448967622669</v>
      </c>
      <c r="K16">
        <f>fQc*COS(2*PI()*$I16/qbo+$L16)+fQs*SIN(2*PI()*$I16/qbo+$L16)+fCs*SIN(2*PI()*$I16/cw)+fCc*COS(2*PI()*$I16/cw)</f>
        <v>-2.9207057684221236</v>
      </c>
      <c r="L16">
        <f>+QMA*COS(2*PI()*$I16/QM+QMP)</f>
        <v>-0.32785725321140008</v>
      </c>
      <c r="P16">
        <f t="shared" si="4"/>
        <v>0</v>
      </c>
    </row>
    <row r="17" spans="1:16" x14ac:dyDescent="0.25">
      <c r="A17" s="1"/>
      <c r="B17" t="s">
        <v>30</v>
      </c>
      <c r="C17" t="s">
        <v>24</v>
      </c>
      <c r="D17" s="2">
        <v>0.29166666666666669</v>
      </c>
      <c r="E17" s="5">
        <f t="shared" si="0"/>
        <v>1656</v>
      </c>
      <c r="F17">
        <v>1.02657</v>
      </c>
      <c r="G17">
        <f t="shared" si="1"/>
        <v>-1.7184300000000001</v>
      </c>
      <c r="H17">
        <f t="shared" si="2"/>
        <v>-1.7184300000000001</v>
      </c>
      <c r="I17" s="5">
        <f t="shared" si="3"/>
        <v>1656</v>
      </c>
      <c r="J17">
        <f>+H17+CF*F17*(1+($I17-1850)*slope/1000)+F17*hQc*COS(2*PI()*$I17/qbo+$L17)+F17*hQs*SIN(2*PI()*$I17/qbo+$L17)+F17*hCs*SIN(2*PI()*$I17/cw)+F17*hCc*COS(2*PI()*$I17/cw) +mix*F17*(hQc*COS(2*PI()*$I17/qbo+$L17)+hQs*SIN(2*PI()*$I17/qbo+$L17))*(hCs*SIN(2*PI()*$I17/cw)+hCc*COS(2*PI()*$I17/cw))</f>
        <v>4.4483928780044391</v>
      </c>
      <c r="K17">
        <f>fQc*COS(2*PI()*$I17/qbo+$L17)+fQs*SIN(2*PI()*$I17/qbo+$L17)+fCs*SIN(2*PI()*$I17/cw)+fCc*COS(2*PI()*$I17/cw)</f>
        <v>2.4424927110316768</v>
      </c>
      <c r="L17">
        <f>+QMA*COS(2*PI()*$I17/QM+QMP)</f>
        <v>-0.20425766793257941</v>
      </c>
      <c r="P17">
        <f t="shared" si="4"/>
        <v>1</v>
      </c>
    </row>
    <row r="18" spans="1:16" x14ac:dyDescent="0.25">
      <c r="A18" s="1"/>
      <c r="B18" t="s">
        <v>31</v>
      </c>
      <c r="C18" t="s">
        <v>24</v>
      </c>
      <c r="D18" s="2">
        <v>0.33333333333333331</v>
      </c>
      <c r="E18" s="5">
        <f t="shared" si="0"/>
        <v>1657</v>
      </c>
      <c r="F18">
        <v>0.17119000000000001</v>
      </c>
      <c r="G18">
        <f t="shared" si="1"/>
        <v>1.14673</v>
      </c>
      <c r="H18">
        <f t="shared" si="2"/>
        <v>1.14673</v>
      </c>
      <c r="I18" s="5">
        <f t="shared" si="3"/>
        <v>1657</v>
      </c>
      <c r="J18">
        <f>+H18+CF*F18*(1+($I18-1850)*slope/1000)+F18*hQc*COS(2*PI()*$I18/qbo+$L18)+F18*hQs*SIN(2*PI()*$I18/qbo+$L18)+F18*hCs*SIN(2*PI()*$I18/cw)+F18*hCc*COS(2*PI()*$I18/cw) +mix*F18*(hQc*COS(2*PI()*$I18/qbo+$L18)+hQs*SIN(2*PI()*$I18/qbo+$L18))*(hCs*SIN(2*PI()*$I18/cw)+hCc*COS(2*PI()*$I18/cw))</f>
        <v>1.1626203248338642</v>
      </c>
      <c r="K18">
        <f>fQc*COS(2*PI()*$I18/qbo+$L18)+fQs*SIN(2*PI()*$I18/qbo+$L18)+fCs*SIN(2*PI()*$I18/cw)+fCc*COS(2*PI()*$I18/cw)</f>
        <v>-3.148312151865313</v>
      </c>
      <c r="L18">
        <f>+QMA*COS(2*PI()*$I18/QM+QMP)</f>
        <v>-7.6761477540005008E-2</v>
      </c>
      <c r="P18">
        <f t="shared" si="4"/>
        <v>0</v>
      </c>
    </row>
    <row r="19" spans="1:16" x14ac:dyDescent="0.25">
      <c r="A19" s="1"/>
      <c r="B19" t="s">
        <v>32</v>
      </c>
      <c r="C19" t="s">
        <v>24</v>
      </c>
      <c r="D19" s="2">
        <v>0.375</v>
      </c>
      <c r="E19" s="5">
        <f t="shared" si="0"/>
        <v>1658</v>
      </c>
      <c r="F19">
        <v>0.46254000000000001</v>
      </c>
      <c r="G19">
        <f t="shared" si="1"/>
        <v>-0.77851999999999999</v>
      </c>
      <c r="H19">
        <f t="shared" si="2"/>
        <v>-0.77851999999999999</v>
      </c>
      <c r="I19" s="5">
        <f t="shared" si="3"/>
        <v>1658</v>
      </c>
      <c r="J19">
        <f>+H19+CF*F19*(1+($I19-1850)*slope/1000)+F19*hQc*COS(2*PI()*$I19/qbo+$L19)+F19*hQs*SIN(2*PI()*$I19/qbo+$L19)+F19*hCs*SIN(2*PI()*$I19/cw)+F19*hCc*COS(2*PI()*$I19/cw) +mix*F19*(hQc*COS(2*PI()*$I19/qbo+$L19)+hQs*SIN(2*PI()*$I19/qbo+$L19))*(hCs*SIN(2*PI()*$I19/cw)+hCc*COS(2*PI()*$I19/cw))</f>
        <v>2.6445932753328281</v>
      </c>
      <c r="K19">
        <f>fQc*COS(2*PI()*$I19/qbo+$L19)+fQs*SIN(2*PI()*$I19/qbo+$L19)+fCs*SIN(2*PI()*$I19/cw)+fCc*COS(2*PI()*$I19/cw)</f>
        <v>1.8452290108740108</v>
      </c>
      <c r="L19">
        <f>+QMA*COS(2*PI()*$I19/QM+QMP)</f>
        <v>5.2199084638202949E-2</v>
      </c>
      <c r="P19">
        <f t="shared" si="4"/>
        <v>1</v>
      </c>
    </row>
    <row r="20" spans="1:16" x14ac:dyDescent="0.25">
      <c r="A20" s="1"/>
      <c r="B20" t="s">
        <v>33</v>
      </c>
      <c r="C20" t="s">
        <v>24</v>
      </c>
      <c r="D20" s="2">
        <v>0.41666666666666669</v>
      </c>
      <c r="E20" s="5">
        <f t="shared" si="0"/>
        <v>1659</v>
      </c>
      <c r="F20">
        <v>-2.4629999999999999E-2</v>
      </c>
      <c r="G20">
        <f t="shared" si="1"/>
        <v>0.71074999999999999</v>
      </c>
      <c r="H20">
        <f t="shared" si="2"/>
        <v>0.71074999999999999</v>
      </c>
      <c r="I20" s="5">
        <f t="shared" si="3"/>
        <v>1659</v>
      </c>
      <c r="J20">
        <f>+H20+CF*F20*(1+($I20-1850)*slope/1000)+F20*hQc*COS(2*PI()*$I20/qbo+$L20)+F20*hQs*SIN(2*PI()*$I20/qbo+$L20)+F20*hCs*SIN(2*PI()*$I20/cw)+F20*hCc*COS(2*PI()*$I20/cw) +mix*F20*(hQc*COS(2*PI()*$I20/qbo+$L20)+hQs*SIN(2*PI()*$I20/qbo+$L20))*(hCs*SIN(2*PI()*$I20/cw)+hCc*COS(2*PI()*$I20/cw))</f>
        <v>0.64317008828905919</v>
      </c>
      <c r="K20">
        <f>fQc*COS(2*PI()*$I20/qbo+$L20)+fQs*SIN(2*PI()*$I20/qbo+$L20)+fCs*SIN(2*PI()*$I20/cw)+fCc*COS(2*PI()*$I20/cw)</f>
        <v>-1.4411282689336231</v>
      </c>
      <c r="L20">
        <f>+QMA*COS(2*PI()*$I20/QM+QMP)</f>
        <v>0.18016384958540735</v>
      </c>
      <c r="P20">
        <f t="shared" si="4"/>
        <v>0</v>
      </c>
    </row>
    <row r="21" spans="1:16" x14ac:dyDescent="0.25">
      <c r="A21" s="1"/>
      <c r="B21" t="s">
        <v>34</v>
      </c>
      <c r="C21" t="s">
        <v>24</v>
      </c>
      <c r="D21" s="2">
        <v>0.45833333333333331</v>
      </c>
      <c r="E21" s="5">
        <f t="shared" si="0"/>
        <v>1660</v>
      </c>
      <c r="F21">
        <v>0.19894999999999999</v>
      </c>
      <c r="G21">
        <f t="shared" si="1"/>
        <v>0.13978000000000002</v>
      </c>
      <c r="H21">
        <f t="shared" si="2"/>
        <v>0.13978000000000002</v>
      </c>
      <c r="I21" s="5">
        <f t="shared" si="3"/>
        <v>1660</v>
      </c>
      <c r="J21">
        <f>+H21+CF*F21*(1+($I21-1850)*slope/1000)+F21*hQc*COS(2*PI()*$I21/qbo+$L21)+F21*hQs*SIN(2*PI()*$I21/qbo+$L21)+F21*hCs*SIN(2*PI()*$I21/cw)+F21*hCc*COS(2*PI()*$I21/cw) +mix*F21*(hQc*COS(2*PI()*$I21/qbo+$L21)+hQs*SIN(2*PI()*$I21/qbo+$L21))*(hCs*SIN(2*PI()*$I21/cw)+hCc*COS(2*PI()*$I21/cw))</f>
        <v>0.4745458356235428</v>
      </c>
      <c r="K21">
        <f>fQc*COS(2*PI()*$I21/qbo+$L21)+fQs*SIN(2*PI()*$I21/qbo+$L21)+fCs*SIN(2*PI()*$I21/cw)+fCc*COS(2*PI()*$I21/cw)</f>
        <v>0.88904311187110163</v>
      </c>
      <c r="L21">
        <f>+QMA*COS(2*PI()*$I21/QM+QMP)</f>
        <v>0.30469164501903684</v>
      </c>
      <c r="P21">
        <f t="shared" si="4"/>
        <v>1</v>
      </c>
    </row>
    <row r="22" spans="1:16" x14ac:dyDescent="0.25">
      <c r="A22" s="1"/>
      <c r="B22" t="s">
        <v>35</v>
      </c>
      <c r="C22" t="s">
        <v>24</v>
      </c>
      <c r="D22" s="2">
        <v>0.5</v>
      </c>
      <c r="E22" s="5">
        <f t="shared" si="0"/>
        <v>1661</v>
      </c>
      <c r="F22">
        <v>0.56230999999999998</v>
      </c>
      <c r="G22">
        <f t="shared" si="1"/>
        <v>-0.79430999999999996</v>
      </c>
      <c r="H22">
        <f t="shared" si="2"/>
        <v>-0.79430999999999996</v>
      </c>
      <c r="I22" s="5">
        <f t="shared" si="3"/>
        <v>1661</v>
      </c>
      <c r="J22">
        <f>+H22+CF*F22*(1+($I22-1850)*slope/1000)+F22*hQc*COS(2*PI()*$I22/qbo+$L22)+F22*hQs*SIN(2*PI()*$I22/qbo+$L22)+F22*hCs*SIN(2*PI()*$I22/cw)+F22*hCc*COS(2*PI()*$I22/cw) +mix*F22*(hQc*COS(2*PI()*$I22/qbo+$L22)+hQs*SIN(2*PI()*$I22/qbo+$L22))*(hCs*SIN(2*PI()*$I22/cw)+hCc*COS(2*PI()*$I22/cw))</f>
        <v>-0.32508235826278942</v>
      </c>
      <c r="K22">
        <f>fQc*COS(2*PI()*$I22/qbo+$L22)+fQs*SIN(2*PI()*$I22/qbo+$L22)+fCs*SIN(2*PI()*$I22/cw)+fCc*COS(2*PI()*$I22/cw)</f>
        <v>0.89329777445677072</v>
      </c>
      <c r="L22">
        <f>+QMA*COS(2*PI()*$I22/QM+QMP)</f>
        <v>0.42340686541397204</v>
      </c>
      <c r="P22">
        <f t="shared" si="4"/>
        <v>0</v>
      </c>
    </row>
    <row r="23" spans="1:16" x14ac:dyDescent="0.25">
      <c r="A23" s="1"/>
      <c r="B23" t="s">
        <v>36</v>
      </c>
      <c r="C23" t="s">
        <v>24</v>
      </c>
      <c r="D23" s="2">
        <v>0.54166666666666663</v>
      </c>
      <c r="E23" s="5">
        <f t="shared" si="0"/>
        <v>1662</v>
      </c>
      <c r="F23">
        <v>0.13136</v>
      </c>
      <c r="G23">
        <f t="shared" si="1"/>
        <v>-7.5390000000000068E-2</v>
      </c>
      <c r="H23">
        <f t="shared" si="2"/>
        <v>-7.5390000000000068E-2</v>
      </c>
      <c r="I23" s="5">
        <f t="shared" si="3"/>
        <v>1662</v>
      </c>
      <c r="J23">
        <f>+H23+CF*F23*(1+($I23-1850)*slope/1000)+F23*hQc*COS(2*PI()*$I23/qbo+$L23)+F23*hQs*SIN(2*PI()*$I23/qbo+$L23)+F23*hCs*SIN(2*PI()*$I23/cw)+F23*hCc*COS(2*PI()*$I23/cw) +mix*F23*(hQc*COS(2*PI()*$I23/qbo+$L23)+hQs*SIN(2*PI()*$I23/qbo+$L23))*(hCs*SIN(2*PI()*$I23/cw)+hCc*COS(2*PI()*$I23/cw))</f>
        <v>0.45840689697430864</v>
      </c>
      <c r="K23">
        <f>fQc*COS(2*PI()*$I23/qbo+$L23)+fQs*SIN(2*PI()*$I23/qbo+$L23)+fCs*SIN(2*PI()*$I23/cw)+fCc*COS(2*PI()*$I23/cw)</f>
        <v>-0.91786768090955539</v>
      </c>
      <c r="L23">
        <f>+QMA*COS(2*PI()*$I23/QM+QMP)</f>
        <v>0.53404479121491133</v>
      </c>
      <c r="P23">
        <f t="shared" si="4"/>
        <v>0</v>
      </c>
    </row>
    <row r="24" spans="1:16" x14ac:dyDescent="0.25">
      <c r="A24" s="1"/>
      <c r="B24" t="s">
        <v>37</v>
      </c>
      <c r="C24" t="s">
        <v>24</v>
      </c>
      <c r="D24" s="2">
        <v>0.58333333333333337</v>
      </c>
      <c r="E24" s="5">
        <f t="shared" si="0"/>
        <v>1663</v>
      </c>
      <c r="F24">
        <v>-0.37497999999999998</v>
      </c>
      <c r="G24">
        <f t="shared" si="1"/>
        <v>-9.8799999999999999E-2</v>
      </c>
      <c r="H24">
        <f t="shared" si="2"/>
        <v>-9.8799999999999999E-2</v>
      </c>
      <c r="I24" s="5">
        <f t="shared" si="3"/>
        <v>1663</v>
      </c>
      <c r="J24">
        <f>+H24+CF*F24*(1+($I24-1850)*slope/1000)+F24*hQc*COS(2*PI()*$I24/qbo+$L24)+F24*hQs*SIN(2*PI()*$I24/qbo+$L24)+F24*hCs*SIN(2*PI()*$I24/cw)+F24*hCc*COS(2*PI()*$I24/cw) +mix*F24*(hQc*COS(2*PI()*$I24/qbo+$L24)+hQs*SIN(2*PI()*$I24/qbo+$L24))*(hCs*SIN(2*PI()*$I24/cw)+hCc*COS(2*PI()*$I24/cw))</f>
        <v>0.50008222371312283</v>
      </c>
      <c r="K24">
        <f>fQc*COS(2*PI()*$I24/qbo+$L24)+fQs*SIN(2*PI()*$I24/qbo+$L24)+fCs*SIN(2*PI()*$I24/cw)+fCc*COS(2*PI()*$I24/cw)</f>
        <v>2.2809422527511933</v>
      </c>
      <c r="L24">
        <f>+QMA*COS(2*PI()*$I24/QM+QMP)</f>
        <v>0.63449479268744025</v>
      </c>
      <c r="P24">
        <f t="shared" si="4"/>
        <v>1</v>
      </c>
    </row>
    <row r="25" spans="1:16" x14ac:dyDescent="0.25">
      <c r="A25" s="1"/>
      <c r="B25" t="s">
        <v>38</v>
      </c>
      <c r="C25" t="s">
        <v>24</v>
      </c>
      <c r="D25" s="2">
        <v>0.625</v>
      </c>
      <c r="E25" s="5">
        <f t="shared" si="0"/>
        <v>1664</v>
      </c>
      <c r="F25">
        <v>-0.98011999999999999</v>
      </c>
      <c r="G25">
        <f t="shared" si="1"/>
        <v>1.1643399999999999</v>
      </c>
      <c r="H25">
        <f t="shared" si="2"/>
        <v>1.1643399999999999</v>
      </c>
      <c r="I25" s="5">
        <f t="shared" si="3"/>
        <v>1664</v>
      </c>
      <c r="J25">
        <f>+H25+CF*F25*(1+($I25-1850)*slope/1000)+F25*hQc*COS(2*PI()*$I25/qbo+$L25)+F25*hQs*SIN(2*PI()*$I25/qbo+$L25)+F25*hCs*SIN(2*PI()*$I25/cw)+F25*hCc*COS(2*PI()*$I25/cw) +mix*F25*(hQc*COS(2*PI()*$I25/qbo+$L25)+hQs*SIN(2*PI()*$I25/qbo+$L25))*(hCs*SIN(2*PI()*$I25/cw)+hCc*COS(2*PI()*$I25/cw))</f>
        <v>-2.3648149769070295</v>
      </c>
      <c r="K25">
        <f>fQc*COS(2*PI()*$I25/qbo+$L25)+fQs*SIN(2*PI()*$I25/qbo+$L25)+fCs*SIN(2*PI()*$I25/cw)+fCc*COS(2*PI()*$I25/cw)</f>
        <v>-2.8852144884393565</v>
      </c>
      <c r="L25">
        <f>+QMA*COS(2*PI()*$I25/QM+QMP)</f>
        <v>0.72284059421071312</v>
      </c>
      <c r="P25">
        <f t="shared" si="4"/>
        <v>1</v>
      </c>
    </row>
    <row r="26" spans="1:16" x14ac:dyDescent="0.25">
      <c r="A26" s="1"/>
      <c r="B26" t="s">
        <v>39</v>
      </c>
      <c r="C26" t="s">
        <v>24</v>
      </c>
      <c r="D26" s="2">
        <v>0.66666666666666663</v>
      </c>
      <c r="E26" s="5">
        <f t="shared" si="0"/>
        <v>1665</v>
      </c>
      <c r="F26">
        <v>-0.42092000000000002</v>
      </c>
      <c r="G26">
        <f t="shared" si="1"/>
        <v>-0.38831999999999989</v>
      </c>
      <c r="H26">
        <f t="shared" si="2"/>
        <v>-0.38831999999999989</v>
      </c>
      <c r="I26" s="5">
        <f t="shared" si="3"/>
        <v>1665</v>
      </c>
      <c r="J26">
        <f>+H26+CF*F26*(1+($I26-1850)*slope/1000)+F26*hQc*COS(2*PI()*$I26/qbo+$L26)+F26*hQs*SIN(2*PI()*$I26/qbo+$L26)+F26*hCs*SIN(2*PI()*$I26/cw)+F26*hCc*COS(2*PI()*$I26/cw) +mix*F26*(hQc*COS(2*PI()*$I26/qbo+$L26)+hQs*SIN(2*PI()*$I26/qbo+$L26))*(hCs*SIN(2*PI()*$I26/cw)+hCc*COS(2*PI()*$I26/cw))</f>
        <v>-3.1302556161335611</v>
      </c>
      <c r="K26">
        <f>fQc*COS(2*PI()*$I26/qbo+$L26)+fQs*SIN(2*PI()*$I26/qbo+$L26)+fCs*SIN(2*PI()*$I26/cw)+fCc*COS(2*PI()*$I26/cw)</f>
        <v>2.4222045800016523</v>
      </c>
      <c r="L26">
        <f>+QMA*COS(2*PI()*$I26/QM+QMP)</f>
        <v>0.79739683089500601</v>
      </c>
      <c r="P26">
        <f t="shared" si="4"/>
        <v>0</v>
      </c>
    </row>
    <row r="27" spans="1:16" x14ac:dyDescent="0.25">
      <c r="A27" s="1"/>
      <c r="B27" t="s">
        <v>40</v>
      </c>
      <c r="C27" t="s">
        <v>24</v>
      </c>
      <c r="D27" s="2">
        <v>0.70833333333333337</v>
      </c>
      <c r="E27" s="5">
        <f t="shared" si="0"/>
        <v>1666</v>
      </c>
      <c r="F27">
        <v>-0.25003999999999998</v>
      </c>
      <c r="G27">
        <f t="shared" si="1"/>
        <v>-0.16959000000000005</v>
      </c>
      <c r="H27">
        <f t="shared" si="2"/>
        <v>-0.16959000000000005</v>
      </c>
      <c r="I27" s="5">
        <f t="shared" si="3"/>
        <v>1666</v>
      </c>
      <c r="J27">
        <f>+H27+CF*F27*(1+($I27-1850)*slope/1000)+F27*hQc*COS(2*PI()*$I27/qbo+$L27)+F27*hQs*SIN(2*PI()*$I27/qbo+$L27)+F27*hCs*SIN(2*PI()*$I27/cw)+F27*hCc*COS(2*PI()*$I27/cw) +mix*F27*(hQc*COS(2*PI()*$I27/qbo+$L27)+hQs*SIN(2*PI()*$I27/qbo+$L27))*(hCs*SIN(2*PI()*$I27/cw)+hCc*COS(2*PI()*$I27/cw))</f>
        <v>-0.1559512393388085</v>
      </c>
      <c r="K27">
        <f>fQc*COS(2*PI()*$I27/qbo+$L27)+fQs*SIN(2*PI()*$I27/qbo+$L27)+fCs*SIN(2*PI()*$I27/cw)+fCc*COS(2*PI()*$I27/cw)</f>
        <v>-3.1126681676305523</v>
      </c>
      <c r="L27">
        <f>+QMA*COS(2*PI()*$I27/QM+QMP)</f>
        <v>0.85674120013567912</v>
      </c>
      <c r="P27">
        <f t="shared" si="4"/>
        <v>1</v>
      </c>
    </row>
    <row r="28" spans="1:16" x14ac:dyDescent="0.25">
      <c r="A28" s="1"/>
      <c r="B28" t="s">
        <v>41</v>
      </c>
      <c r="C28" t="s">
        <v>24</v>
      </c>
      <c r="D28" s="2">
        <v>0.75</v>
      </c>
      <c r="E28" s="5">
        <f t="shared" si="0"/>
        <v>1667</v>
      </c>
      <c r="F28">
        <v>-0.24875</v>
      </c>
      <c r="G28">
        <f t="shared" si="1"/>
        <v>-0.28654000000000002</v>
      </c>
      <c r="H28">
        <f t="shared" si="2"/>
        <v>-0.28654000000000002</v>
      </c>
      <c r="I28" s="5">
        <f t="shared" si="3"/>
        <v>1667</v>
      </c>
      <c r="J28">
        <f>+H28+CF*F28*(1+($I28-1850)*slope/1000)+F28*hQc*COS(2*PI()*$I28/qbo+$L28)+F28*hQs*SIN(2*PI()*$I28/qbo+$L28)+F28*hCs*SIN(2*PI()*$I28/cw)+F28*hCc*COS(2*PI()*$I28/cw) +mix*F28*(hQc*COS(2*PI()*$I28/qbo+$L28)+hQs*SIN(2*PI()*$I28/qbo+$L28))*(hCs*SIN(2*PI()*$I28/cw)+hCc*COS(2*PI()*$I28/cw))</f>
        <v>-1.9545924183879146</v>
      </c>
      <c r="K28">
        <f>fQc*COS(2*PI()*$I28/qbo+$L28)+fQs*SIN(2*PI()*$I28/qbo+$L28)+fCs*SIN(2*PI()*$I28/cw)+fCc*COS(2*PI()*$I28/cw)</f>
        <v>1.6726517448451059</v>
      </c>
      <c r="L28">
        <f>+QMA*COS(2*PI()*$I28/QM+QMP)</f>
        <v>0.89974159475164295</v>
      </c>
      <c r="P28">
        <f t="shared" si="4"/>
        <v>0</v>
      </c>
    </row>
    <row r="29" spans="1:16" x14ac:dyDescent="0.25">
      <c r="A29" s="1"/>
      <c r="B29" t="s">
        <v>42</v>
      </c>
      <c r="C29" t="s">
        <v>24</v>
      </c>
      <c r="D29" s="2">
        <v>0.79166666666666663</v>
      </c>
      <c r="E29" s="5">
        <f t="shared" si="0"/>
        <v>1668</v>
      </c>
      <c r="F29">
        <v>-0.53400000000000003</v>
      </c>
      <c r="G29">
        <f t="shared" si="1"/>
        <v>0.54977000000000009</v>
      </c>
      <c r="H29">
        <f t="shared" si="2"/>
        <v>0.54977000000000009</v>
      </c>
      <c r="I29" s="5">
        <f t="shared" si="3"/>
        <v>1668</v>
      </c>
      <c r="J29">
        <f>+H29+CF*F29*(1+($I29-1850)*slope/1000)+F29*hQc*COS(2*PI()*$I29/qbo+$L29)+F29*hQs*SIN(2*PI()*$I29/qbo+$L29)+F29*hCs*SIN(2*PI()*$I29/cw)+F29*hCc*COS(2*PI()*$I29/cw) +mix*F29*(hQc*COS(2*PI()*$I29/qbo+$L29)+hQs*SIN(2*PI()*$I29/qbo+$L29))*(hCs*SIN(2*PI()*$I29/cw)+hCc*COS(2*PI()*$I29/cw))</f>
        <v>-1.0048610091096108</v>
      </c>
      <c r="K29">
        <f>fQc*COS(2*PI()*$I29/qbo+$L29)+fQs*SIN(2*PI()*$I29/qbo+$L29)+fCs*SIN(2*PI()*$I29/cw)+fCc*COS(2*PI()*$I29/cw)</f>
        <v>-0.83909944259510749</v>
      </c>
      <c r="L29">
        <f>+QMA*COS(2*PI()*$I29/QM+QMP)</f>
        <v>0.92557770009206808</v>
      </c>
      <c r="P29">
        <f t="shared" si="4"/>
        <v>1</v>
      </c>
    </row>
    <row r="30" spans="1:16" x14ac:dyDescent="0.25">
      <c r="A30" s="1"/>
      <c r="B30" t="s">
        <v>43</v>
      </c>
      <c r="C30" t="s">
        <v>24</v>
      </c>
      <c r="D30" s="2">
        <v>0.83333333333333337</v>
      </c>
      <c r="E30" s="5">
        <f t="shared" si="0"/>
        <v>1669</v>
      </c>
      <c r="F30">
        <v>-0.26948</v>
      </c>
      <c r="G30">
        <f t="shared" si="1"/>
        <v>-0.27870000000000006</v>
      </c>
      <c r="H30">
        <f t="shared" si="2"/>
        <v>-0.27870000000000006</v>
      </c>
      <c r="I30" s="5">
        <f t="shared" si="3"/>
        <v>1669</v>
      </c>
      <c r="J30">
        <f>+H30+CF*F30*(1+($I30-1850)*slope/1000)+F30*hQc*COS(2*PI()*$I30/qbo+$L30)+F30*hQs*SIN(2*PI()*$I30/qbo+$L30)+F30*hCs*SIN(2*PI()*$I30/cw)+F30*hCc*COS(2*PI()*$I30/cw) +mix*F30*(hQc*COS(2*PI()*$I30/qbo+$L30)+hQs*SIN(2*PI()*$I30/qbo+$L30))*(hCs*SIN(2*PI()*$I30/cw)+hCc*COS(2*PI()*$I30/cw))</f>
        <v>-0.91173531661709684</v>
      </c>
      <c r="K30">
        <f>fQc*COS(2*PI()*$I30/qbo+$L30)+fQs*SIN(2*PI()*$I30/qbo+$L30)+fCs*SIN(2*PI()*$I30/cw)+fCc*COS(2*PI()*$I30/cw)</f>
        <v>-4.8201657762052263E-3</v>
      </c>
      <c r="L30">
        <f>+QMA*COS(2*PI()*$I30/QM+QMP)</f>
        <v>0.93375664310494388</v>
      </c>
      <c r="P30">
        <f t="shared" si="4"/>
        <v>1</v>
      </c>
    </row>
    <row r="31" spans="1:16" x14ac:dyDescent="0.25">
      <c r="A31" s="1"/>
      <c r="B31" t="s">
        <v>44</v>
      </c>
      <c r="C31" t="s">
        <v>24</v>
      </c>
      <c r="D31" s="2">
        <v>0.875</v>
      </c>
      <c r="E31" s="5">
        <f t="shared" si="0"/>
        <v>1670</v>
      </c>
      <c r="F31">
        <v>-0.28366000000000002</v>
      </c>
      <c r="G31">
        <f t="shared" si="1"/>
        <v>0.70045000000000002</v>
      </c>
      <c r="H31">
        <f t="shared" si="2"/>
        <v>0.70045000000000002</v>
      </c>
      <c r="I31" s="5">
        <f t="shared" si="3"/>
        <v>1670</v>
      </c>
      <c r="J31">
        <f>+H31+CF*F31*(1+($I31-1850)*slope/1000)+F31*hQc*COS(2*PI()*$I31/qbo+$L31)+F31*hQs*SIN(2*PI()*$I31/qbo+$L31)+F31*hCs*SIN(2*PI()*$I31/cw)+F31*hCc*COS(2*PI()*$I31/cw) +mix*F31*(hQc*COS(2*PI()*$I31/qbo+$L31)+hQs*SIN(2*PI()*$I31/qbo+$L31))*(hCs*SIN(2*PI()*$I31/cw)+hCc*COS(2*PI()*$I31/cw))</f>
        <v>1.2615200056384122</v>
      </c>
      <c r="K31">
        <f>fQc*COS(2*PI()*$I31/qbo+$L31)+fQs*SIN(2*PI()*$I31/qbo+$L31)+fCs*SIN(2*PI()*$I31/cw)+fCc*COS(2*PI()*$I31/cw)</f>
        <v>2.106073832714876</v>
      </c>
      <c r="L31">
        <f>+QMA*COS(2*PI()*$I31/QM+QMP)</f>
        <v>0.92412239483189318</v>
      </c>
      <c r="P31">
        <f t="shared" si="4"/>
        <v>1</v>
      </c>
    </row>
    <row r="32" spans="1:16" x14ac:dyDescent="0.25">
      <c r="A32" s="1"/>
      <c r="B32" t="s">
        <v>45</v>
      </c>
      <c r="C32" t="s">
        <v>24</v>
      </c>
      <c r="D32" s="2">
        <v>0.91666666666666663</v>
      </c>
      <c r="E32" s="5">
        <f t="shared" si="0"/>
        <v>1671</v>
      </c>
      <c r="F32">
        <v>0.40261000000000002</v>
      </c>
      <c r="G32">
        <f t="shared" si="1"/>
        <v>-1.4431400000000001</v>
      </c>
      <c r="H32">
        <f t="shared" si="2"/>
        <v>-1.4431400000000001</v>
      </c>
      <c r="I32" s="5">
        <f t="shared" si="3"/>
        <v>1671</v>
      </c>
      <c r="J32">
        <f>+H32+CF*F32*(1+($I32-1850)*slope/1000)+F32*hQc*COS(2*PI()*$I32/qbo+$L32)+F32*hQs*SIN(2*PI()*$I32/qbo+$L32)+F32*hCs*SIN(2*PI()*$I32/cw)+F32*hCc*COS(2*PI()*$I32/cw) +mix*F32*(hQc*COS(2*PI()*$I32/qbo+$L32)+hQs*SIN(2*PI()*$I32/qbo+$L32))*(hCs*SIN(2*PI()*$I32/cw)+hCc*COS(2*PI()*$I32/cw))</f>
        <v>1.2560282621325816</v>
      </c>
      <c r="K32">
        <f>fQc*COS(2*PI()*$I32/qbo+$L32)+fQs*SIN(2*PI()*$I32/qbo+$L32)+fCs*SIN(2*PI()*$I32/cw)+fCc*COS(2*PI()*$I32/cw)</f>
        <v>-2.140377914062936</v>
      </c>
      <c r="L32">
        <f>+QMA*COS(2*PI()*$I32/QM+QMP)</f>
        <v>0.89685874695852008</v>
      </c>
      <c r="P32">
        <f t="shared" si="4"/>
        <v>0</v>
      </c>
    </row>
    <row r="33" spans="1:16" x14ac:dyDescent="0.25">
      <c r="A33" s="1"/>
      <c r="B33" t="s">
        <v>46</v>
      </c>
      <c r="C33" t="s">
        <v>24</v>
      </c>
      <c r="D33" s="2">
        <v>0.95833333333333337</v>
      </c>
      <c r="E33" s="5">
        <f t="shared" si="0"/>
        <v>1672</v>
      </c>
      <c r="F33">
        <v>-0.35426000000000002</v>
      </c>
      <c r="G33">
        <f t="shared" si="1"/>
        <v>0.87363000000000013</v>
      </c>
      <c r="H33">
        <f t="shared" si="2"/>
        <v>0.87363000000000013</v>
      </c>
      <c r="I33" s="5">
        <f t="shared" si="3"/>
        <v>1672</v>
      </c>
      <c r="J33">
        <f>+H33+CF*F33*(1+($I33-1850)*slope/1000)+F33*hQc*COS(2*PI()*$I33/qbo+$L33)+F33*hQs*SIN(2*PI()*$I33/qbo+$L33)+F33*hCs*SIN(2*PI()*$I33/cw)+F33*hCc*COS(2*PI()*$I33/cw) +mix*F33*(hQc*COS(2*PI()*$I33/qbo+$L33)+hQs*SIN(2*PI()*$I33/qbo+$L33))*(hCs*SIN(2*PI()*$I33/cw)+hCc*COS(2*PI()*$I33/cw))</f>
        <v>1.7165333778725573</v>
      </c>
      <c r="K33">
        <f>fQc*COS(2*PI()*$I33/qbo+$L33)+fQs*SIN(2*PI()*$I33/qbo+$L33)+fCs*SIN(2*PI()*$I33/cw)+fCc*COS(2*PI()*$I33/cw)</f>
        <v>2.9640383694761683</v>
      </c>
      <c r="L33">
        <f>+QMA*COS(2*PI()*$I33/QM+QMP)</f>
        <v>0.85248580563699683</v>
      </c>
      <c r="P33">
        <f t="shared" si="4"/>
        <v>1</v>
      </c>
    </row>
    <row r="34" spans="1:16" x14ac:dyDescent="0.25">
      <c r="A34" s="1"/>
      <c r="B34" t="s">
        <v>47</v>
      </c>
      <c r="C34" t="s">
        <v>24</v>
      </c>
      <c r="D34" s="3">
        <v>1</v>
      </c>
      <c r="E34" s="5">
        <f t="shared" si="0"/>
        <v>1673</v>
      </c>
      <c r="F34">
        <v>-0.23749999999999999</v>
      </c>
      <c r="G34">
        <f t="shared" si="1"/>
        <v>0.73222000000000009</v>
      </c>
      <c r="H34">
        <f t="shared" si="2"/>
        <v>0.73222000000000009</v>
      </c>
      <c r="I34" s="5">
        <f t="shared" si="3"/>
        <v>1673</v>
      </c>
      <c r="J34">
        <f>+H34+CF*F34*(1+($I34-1850)*slope/1000)+F34*hQc*COS(2*PI()*$I34/qbo+$L34)+F34*hQs*SIN(2*PI()*$I34/qbo+$L34)+F34*hCs*SIN(2*PI()*$I34/cw)+F34*hCc*COS(2*PI()*$I34/cw) +mix*F34*(hQc*COS(2*PI()*$I34/qbo+$L34)+hQs*SIN(2*PI()*$I34/qbo+$L34))*(hCs*SIN(2*PI()*$I34/cw)+hCc*COS(2*PI()*$I34/cw))</f>
        <v>-2.228815270670037E-3</v>
      </c>
      <c r="K34">
        <f>fQc*COS(2*PI()*$I34/qbo+$L34)+fQs*SIN(2*PI()*$I34/qbo+$L34)+fCs*SIN(2*PI()*$I34/cw)+fCc*COS(2*PI()*$I34/cw)</f>
        <v>-2.7401511931413185</v>
      </c>
      <c r="L34">
        <f>+QMA*COS(2*PI()*$I34/QM+QMP)</f>
        <v>0.79185006946794545</v>
      </c>
      <c r="P34">
        <f t="shared" si="4"/>
        <v>1</v>
      </c>
    </row>
    <row r="35" spans="1:16" x14ac:dyDescent="0.25">
      <c r="A35" s="1"/>
      <c r="B35" t="s">
        <v>48</v>
      </c>
      <c r="C35" t="s">
        <v>24</v>
      </c>
      <c r="D35" s="3">
        <v>1.0416666666666667</v>
      </c>
      <c r="E35" s="5">
        <f t="shared" si="0"/>
        <v>1674</v>
      </c>
      <c r="F35">
        <v>0.61148000000000002</v>
      </c>
      <c r="G35">
        <f t="shared" si="1"/>
        <v>-1.57823</v>
      </c>
      <c r="H35">
        <f t="shared" si="2"/>
        <v>-1.57823</v>
      </c>
      <c r="I35" s="5">
        <f t="shared" si="3"/>
        <v>1674</v>
      </c>
      <c r="J35">
        <f>+H35+CF*F35*(1+($I35-1850)*slope/1000)+F35*hQc*COS(2*PI()*$I35/qbo+$L35)+F35*hQs*SIN(2*PI()*$I35/qbo+$L35)+F35*hCs*SIN(2*PI()*$I35/cw)+F35*hCc*COS(2*PI()*$I35/cw) +mix*F35*(hQc*COS(2*PI()*$I35/qbo+$L35)+hQs*SIN(2*PI()*$I35/qbo+$L35))*(hCs*SIN(2*PI()*$I35/cw)+hCc*COS(2*PI()*$I35/cw))</f>
        <v>1.7558477089804749</v>
      </c>
      <c r="K35">
        <f>fQc*COS(2*PI()*$I35/qbo+$L35)+fQs*SIN(2*PI()*$I35/qbo+$L35)+fCs*SIN(2*PI()*$I35/cw)+fCc*COS(2*PI()*$I35/cw)</f>
        <v>0.95318674152773308</v>
      </c>
      <c r="L35">
        <f>+QMA*COS(2*PI()*$I35/QM+QMP)</f>
        <v>0.71610828092285272</v>
      </c>
      <c r="P35">
        <f t="shared" si="4"/>
        <v>1</v>
      </c>
    </row>
    <row r="36" spans="1:16" x14ac:dyDescent="0.25">
      <c r="A36" s="1"/>
      <c r="B36" t="s">
        <v>49</v>
      </c>
      <c r="C36" t="s">
        <v>24</v>
      </c>
      <c r="D36" s="3">
        <v>1.0833333333333333</v>
      </c>
      <c r="E36" s="5">
        <f t="shared" si="0"/>
        <v>1675</v>
      </c>
      <c r="F36">
        <v>-0.11777</v>
      </c>
      <c r="G36">
        <f t="shared" si="1"/>
        <v>0.11476000000000008</v>
      </c>
      <c r="H36">
        <f t="shared" si="2"/>
        <v>0.11476000000000008</v>
      </c>
      <c r="I36" s="5">
        <f t="shared" si="3"/>
        <v>1675</v>
      </c>
      <c r="J36">
        <f>+H36+CF*F36*(1+($I36-1850)*slope/1000)+F36*hQc*COS(2*PI()*$I36/qbo+$L36)+F36*hQs*SIN(2*PI()*$I36/qbo+$L36)+F36*hCs*SIN(2*PI()*$I36/cw)+F36*hCc*COS(2*PI()*$I36/cw) +mix*F36*(hQc*COS(2*PI()*$I36/qbo+$L36)+hQs*SIN(2*PI()*$I36/qbo+$L36))*(hCs*SIN(2*PI()*$I36/cw)+hCc*COS(2*PI()*$I36/cw))</f>
        <v>-0.37123202965587737</v>
      </c>
      <c r="K36">
        <f>fQc*COS(2*PI()*$I36/qbo+$L36)+fQs*SIN(2*PI()*$I36/qbo+$L36)+fCs*SIN(2*PI()*$I36/cw)+fCc*COS(2*PI()*$I36/cw)</f>
        <v>-0.38830753416345187</v>
      </c>
      <c r="L36">
        <f>+QMA*COS(2*PI()*$I36/QM+QMP)</f>
        <v>0.62670535927234994</v>
      </c>
      <c r="P36">
        <f t="shared" si="4"/>
        <v>1</v>
      </c>
    </row>
    <row r="37" spans="1:16" x14ac:dyDescent="0.25">
      <c r="A37" s="1"/>
      <c r="B37" t="s">
        <v>50</v>
      </c>
      <c r="C37" t="s">
        <v>24</v>
      </c>
      <c r="D37" s="3">
        <v>1.125</v>
      </c>
      <c r="E37" s="5">
        <f t="shared" si="0"/>
        <v>1676</v>
      </c>
      <c r="F37">
        <v>-0.73226000000000002</v>
      </c>
      <c r="G37">
        <f t="shared" si="1"/>
        <v>1.7616499999999999</v>
      </c>
      <c r="H37">
        <f t="shared" si="2"/>
        <v>1.7616499999999999</v>
      </c>
      <c r="I37" s="5">
        <f t="shared" si="3"/>
        <v>1676</v>
      </c>
      <c r="J37">
        <f>+H37+CF*F37*(1+($I37-1850)*slope/1000)+F37*hQc*COS(2*PI()*$I37/qbo+$L37)+F37*hQs*SIN(2*PI()*$I37/qbo+$L37)+F37*hCs*SIN(2*PI()*$I37/cw)+F37*hCc*COS(2*PI()*$I37/cw) +mix*F37*(hQc*COS(2*PI()*$I37/qbo+$L37)+hQs*SIN(2*PI()*$I37/qbo+$L37))*(hCs*SIN(2*PI()*$I37/cw)+hCc*COS(2*PI()*$I37/cw))</f>
        <v>0.28098319536946659</v>
      </c>
      <c r="K37">
        <f>fQc*COS(2*PI()*$I37/qbo+$L37)+fQs*SIN(2*PI()*$I37/qbo+$L37)+fCs*SIN(2*PI()*$I37/cw)+fCc*COS(2*PI()*$I37/cw)</f>
        <v>-1.8135299639305456</v>
      </c>
      <c r="L37">
        <f>+QMA*COS(2*PI()*$I37/QM+QMP)</f>
        <v>0.52534683599153986</v>
      </c>
      <c r="P37">
        <f t="shared" si="4"/>
        <v>0</v>
      </c>
    </row>
    <row r="38" spans="1:16" x14ac:dyDescent="0.25">
      <c r="A38" s="1"/>
      <c r="B38" t="s">
        <v>51</v>
      </c>
      <c r="C38" t="s">
        <v>24</v>
      </c>
      <c r="D38" s="3">
        <v>1.1666666666666667</v>
      </c>
      <c r="E38" s="5">
        <f t="shared" si="0"/>
        <v>1677</v>
      </c>
      <c r="F38">
        <v>0.41489999999999999</v>
      </c>
      <c r="G38">
        <f t="shared" si="1"/>
        <v>-1.8254699999999999</v>
      </c>
      <c r="H38">
        <f t="shared" si="2"/>
        <v>-1.8254699999999999</v>
      </c>
      <c r="I38" s="5">
        <f t="shared" si="3"/>
        <v>1677</v>
      </c>
      <c r="J38">
        <f>+H38+CF*F38*(1+($I38-1850)*slope/1000)+F38*hQc*COS(2*PI()*$I38/qbo+$L38)+F38*hQs*SIN(2*PI()*$I38/qbo+$L38)+F38*hCs*SIN(2*PI()*$I38/cw)+F38*hCc*COS(2*PI()*$I38/cw) +mix*F38*(hQc*COS(2*PI()*$I38/qbo+$L38)+hQs*SIN(2*PI()*$I38/qbo+$L38))*(hCs*SIN(2*PI()*$I38/cw)+hCc*COS(2*PI()*$I38/cw))</f>
        <v>-0.60661527539389537</v>
      </c>
      <c r="K38">
        <f>fQc*COS(2*PI()*$I38/qbo+$L38)+fQs*SIN(2*PI()*$I38/qbo+$L38)+fCs*SIN(2*PI()*$I38/cw)+fCc*COS(2*PI()*$I38/cw)</f>
        <v>2.7313593239229093</v>
      </c>
      <c r="L38">
        <f>+QMA*COS(2*PI()*$I38/QM+QMP)</f>
        <v>0.41396631848975585</v>
      </c>
      <c r="P38">
        <f t="shared" si="4"/>
        <v>0</v>
      </c>
    </row>
    <row r="39" spans="1:16" x14ac:dyDescent="0.25">
      <c r="A39" s="1"/>
      <c r="B39" t="s">
        <v>52</v>
      </c>
      <c r="C39" t="s">
        <v>24</v>
      </c>
      <c r="D39" s="3">
        <v>1.2083333333333333</v>
      </c>
      <c r="E39" s="5">
        <f t="shared" si="0"/>
        <v>1678</v>
      </c>
      <c r="F39">
        <v>-0.26340999999999998</v>
      </c>
      <c r="G39">
        <f t="shared" si="1"/>
        <v>0.3245599999999999</v>
      </c>
      <c r="H39">
        <f t="shared" si="2"/>
        <v>0.3245599999999999</v>
      </c>
      <c r="I39" s="5">
        <f t="shared" si="3"/>
        <v>1678</v>
      </c>
      <c r="J39">
        <f>+H39+CF*F39*(1+($I39-1850)*slope/1000)+F39*hQc*COS(2*PI()*$I39/qbo+$L39)+F39*hQs*SIN(2*PI()*$I39/qbo+$L39)+F39*hCs*SIN(2*PI()*$I39/cw)+F39*hCc*COS(2*PI()*$I39/cw) +mix*F39*(hQc*COS(2*PI()*$I39/qbo+$L39)+hQs*SIN(2*PI()*$I39/qbo+$L39))*(hCs*SIN(2*PI()*$I39/cw)+hCc*COS(2*PI()*$I39/cw))</f>
        <v>-1.1442351031840901</v>
      </c>
      <c r="K39">
        <f>fQc*COS(2*PI()*$I39/qbo+$L39)+fQs*SIN(2*PI()*$I39/qbo+$L39)+fCs*SIN(2*PI()*$I39/cw)+fCc*COS(2*PI()*$I39/cw)</f>
        <v>-2.4385906536512043</v>
      </c>
      <c r="L39">
        <f>+QMA*COS(2*PI()*$I39/QM+QMP)</f>
        <v>0.29468860285651161</v>
      </c>
      <c r="P39">
        <f t="shared" si="4"/>
        <v>1</v>
      </c>
    </row>
    <row r="40" spans="1:16" x14ac:dyDescent="0.25">
      <c r="A40" s="1"/>
      <c r="B40" t="s">
        <v>53</v>
      </c>
      <c r="C40" t="s">
        <v>24</v>
      </c>
      <c r="D40" s="3">
        <v>1.25</v>
      </c>
      <c r="E40" s="5">
        <f t="shared" si="0"/>
        <v>1679</v>
      </c>
      <c r="F40">
        <v>-0.61716000000000004</v>
      </c>
      <c r="G40">
        <f t="shared" si="1"/>
        <v>1.15364</v>
      </c>
      <c r="H40">
        <f t="shared" si="2"/>
        <v>1.15364</v>
      </c>
      <c r="I40" s="5">
        <f t="shared" si="3"/>
        <v>1679</v>
      </c>
      <c r="J40">
        <f>+H40+CF*F40*(1+($I40-1850)*slope/1000)+F40*hQc*COS(2*PI()*$I40/qbo+$L40)+F40*hQs*SIN(2*PI()*$I40/qbo+$L40)+F40*hCs*SIN(2*PI()*$I40/cw)+F40*hCc*COS(2*PI()*$I40/cw) +mix*F40*(hQc*COS(2*PI()*$I40/qbo+$L40)+hQs*SIN(2*PI()*$I40/qbo+$L40))*(hCs*SIN(2*PI()*$I40/cw)+hCc*COS(2*PI()*$I40/cw))</f>
        <v>3.4783987909962595</v>
      </c>
      <c r="K40">
        <f>fQc*COS(2*PI()*$I40/qbo+$L40)+fQs*SIN(2*PI()*$I40/qbo+$L40)+fCs*SIN(2*PI()*$I40/cw)+fCc*COS(2*PI()*$I40/cw)</f>
        <v>2.6310796439220865</v>
      </c>
      <c r="L40">
        <f>+QMA*COS(2*PI()*$I40/QM+QMP)</f>
        <v>0.1697891393179099</v>
      </c>
      <c r="P40">
        <f t="shared" si="4"/>
        <v>1</v>
      </c>
    </row>
    <row r="41" spans="1:16" x14ac:dyDescent="0.25">
      <c r="A41" s="1"/>
      <c r="B41" t="s">
        <v>54</v>
      </c>
      <c r="C41" t="s">
        <v>24</v>
      </c>
      <c r="D41" s="3">
        <v>1.2916666666666667</v>
      </c>
      <c r="E41" s="5">
        <f t="shared" si="0"/>
        <v>1680</v>
      </c>
      <c r="F41">
        <v>0.18273</v>
      </c>
      <c r="G41">
        <f t="shared" si="1"/>
        <v>-0.71388000000000007</v>
      </c>
      <c r="H41">
        <f t="shared" si="2"/>
        <v>-0.71388000000000007</v>
      </c>
      <c r="I41" s="5">
        <f t="shared" si="3"/>
        <v>1680</v>
      </c>
      <c r="J41">
        <f>+H41+CF*F41*(1+($I41-1850)*slope/1000)+F41*hQc*COS(2*PI()*$I41/qbo+$L41)+F41*hQs*SIN(2*PI()*$I41/qbo+$L41)+F41*hCs*SIN(2*PI()*$I41/cw)+F41*hCc*COS(2*PI()*$I41/cw) +mix*F41*(hQc*COS(2*PI()*$I41/qbo+$L41)+hQs*SIN(2*PI()*$I41/qbo+$L41))*(hCs*SIN(2*PI()*$I41/cw)+hCc*COS(2*PI()*$I41/cw))</f>
        <v>-0.18740937794437929</v>
      </c>
      <c r="K41">
        <f>fQc*COS(2*PI()*$I41/qbo+$L41)+fQs*SIN(2*PI()*$I41/qbo+$L41)+fCs*SIN(2*PI()*$I41/cw)+fCc*COS(2*PI()*$I41/cw)</f>
        <v>-0.36977421620663692</v>
      </c>
      <c r="L41">
        <f>+QMA*COS(2*PI()*$I41/QM+QMP)</f>
        <v>4.1650623678017307E-2</v>
      </c>
      <c r="P41">
        <f t="shared" si="4"/>
        <v>1</v>
      </c>
    </row>
    <row r="42" spans="1:16" x14ac:dyDescent="0.25">
      <c r="A42" s="1"/>
      <c r="B42" t="s">
        <v>55</v>
      </c>
      <c r="C42" t="s">
        <v>24</v>
      </c>
      <c r="D42" s="3">
        <v>1.3333333333333333</v>
      </c>
      <c r="E42" s="5">
        <f t="shared" si="0"/>
        <v>1681</v>
      </c>
      <c r="F42">
        <v>0.26873999999999998</v>
      </c>
      <c r="G42">
        <f t="shared" si="1"/>
        <v>0.38514000000000009</v>
      </c>
      <c r="H42">
        <f t="shared" si="2"/>
        <v>0.38514000000000009</v>
      </c>
      <c r="I42" s="5">
        <f t="shared" si="3"/>
        <v>1681</v>
      </c>
      <c r="J42">
        <f>+H42+CF*F42*(1+($I42-1850)*slope/1000)+F42*hQc*COS(2*PI()*$I42/qbo+$L42)+F42*hQs*SIN(2*PI()*$I42/qbo+$L42)+F42*hCs*SIN(2*PI()*$I42/cw)+F42*hCc*COS(2*PI()*$I42/cw) +mix*F42*(hQc*COS(2*PI()*$I42/qbo+$L42)+hQs*SIN(2*PI()*$I42/qbo+$L42))*(hCs*SIN(2*PI()*$I42/cw)+hCc*COS(2*PI()*$I42/cw))</f>
        <v>1.1526212681697929</v>
      </c>
      <c r="K42">
        <f>fQc*COS(2*PI()*$I42/qbo+$L42)+fQs*SIN(2*PI()*$I42/qbo+$L42)+fCs*SIN(2*PI()*$I42/cw)+fCc*COS(2*PI()*$I42/cw)</f>
        <v>-0.89146756878581968</v>
      </c>
      <c r="L42">
        <f>+QMA*COS(2*PI()*$I42/QM+QMP)</f>
        <v>-8.7282457154218202E-2</v>
      </c>
      <c r="P42">
        <f t="shared" si="4"/>
        <v>0</v>
      </c>
    </row>
    <row r="43" spans="1:16" x14ac:dyDescent="0.25">
      <c r="A43" s="1"/>
      <c r="B43" t="s">
        <v>56</v>
      </c>
      <c r="C43" t="s">
        <v>24</v>
      </c>
      <c r="D43" s="3">
        <v>1.375</v>
      </c>
      <c r="E43" s="5">
        <f t="shared" si="0"/>
        <v>1682</v>
      </c>
      <c r="F43">
        <v>0.73989000000000005</v>
      </c>
      <c r="G43">
        <f t="shared" si="1"/>
        <v>-1.0157100000000001</v>
      </c>
      <c r="H43">
        <f t="shared" si="2"/>
        <v>-1.0157100000000001</v>
      </c>
      <c r="I43" s="5">
        <f t="shared" si="3"/>
        <v>1682</v>
      </c>
      <c r="J43">
        <f>+H43+CF*F43*(1+($I43-1850)*slope/1000)+F43*hQc*COS(2*PI()*$I43/qbo+$L43)+F43*hQs*SIN(2*PI()*$I43/qbo+$L43)+F43*hCs*SIN(2*PI()*$I43/cw)+F43*hCc*COS(2*PI()*$I43/cw) +mix*F43*(hQc*COS(2*PI()*$I43/qbo+$L43)+hQs*SIN(2*PI()*$I43/qbo+$L43))*(hCs*SIN(2*PI()*$I43/cw)+hCc*COS(2*PI()*$I43/cw))</f>
        <v>1.270823567209546</v>
      </c>
      <c r="K43">
        <f>fQc*COS(2*PI()*$I43/qbo+$L43)+fQs*SIN(2*PI()*$I43/qbo+$L43)+fCs*SIN(2*PI()*$I43/cw)+fCc*COS(2*PI()*$I43/cw)</f>
        <v>1.977437490588845</v>
      </c>
      <c r="L43">
        <f>+QMA*COS(2*PI()*$I43/QM+QMP)</f>
        <v>-0.21455045842139767</v>
      </c>
      <c r="P43">
        <f t="shared" si="4"/>
        <v>1</v>
      </c>
    </row>
    <row r="44" spans="1:16" x14ac:dyDescent="0.25">
      <c r="A44" s="1"/>
      <c r="B44" t="s">
        <v>57</v>
      </c>
      <c r="C44" t="s">
        <v>24</v>
      </c>
      <c r="D44" s="3">
        <v>1.4166666666666667</v>
      </c>
      <c r="E44" s="5">
        <f t="shared" si="0"/>
        <v>1683</v>
      </c>
      <c r="F44">
        <v>0.19533</v>
      </c>
      <c r="G44">
        <f t="shared" si="1"/>
        <v>0.24701000000000006</v>
      </c>
      <c r="H44">
        <f t="shared" si="2"/>
        <v>0.24701000000000006</v>
      </c>
      <c r="I44" s="5">
        <f t="shared" si="3"/>
        <v>1683</v>
      </c>
      <c r="J44">
        <f>+H44+CF*F44*(1+($I44-1850)*slope/1000)+F44*hQc*COS(2*PI()*$I44/qbo+$L44)+F44*hQs*SIN(2*PI()*$I44/qbo+$L44)+F44*hCs*SIN(2*PI()*$I44/cw)+F44*hCc*COS(2*PI()*$I44/cw) +mix*F44*(hQc*COS(2*PI()*$I44/qbo+$L44)+hQs*SIN(2*PI()*$I44/qbo+$L44))*(hCs*SIN(2*PI()*$I44/cw)+hCc*COS(2*PI()*$I44/cw))</f>
        <v>0.28843579795072694</v>
      </c>
      <c r="K44">
        <f>fQc*COS(2*PI()*$I44/qbo+$L44)+fQs*SIN(2*PI()*$I44/qbo+$L44)+fCs*SIN(2*PI()*$I44/cw)+fCc*COS(2*PI()*$I44/cw)</f>
        <v>-3.3481410515320662</v>
      </c>
      <c r="L44">
        <f>+QMA*COS(2*PI()*$I44/QM+QMP)</f>
        <v>-0.33772549993879386</v>
      </c>
      <c r="P44">
        <f t="shared" si="4"/>
        <v>0</v>
      </c>
    </row>
    <row r="45" spans="1:16" x14ac:dyDescent="0.25">
      <c r="A45" s="1"/>
      <c r="B45" t="s">
        <v>58</v>
      </c>
      <c r="C45" t="s">
        <v>24</v>
      </c>
      <c r="D45" s="3">
        <v>1.4583333333333333</v>
      </c>
      <c r="E45" s="5">
        <f t="shared" si="0"/>
        <v>1684</v>
      </c>
      <c r="F45">
        <v>-0.10222000000000001</v>
      </c>
      <c r="G45">
        <f t="shared" si="1"/>
        <v>-0.73465000000000003</v>
      </c>
      <c r="H45">
        <f t="shared" si="2"/>
        <v>-0.73465000000000003</v>
      </c>
      <c r="I45" s="5">
        <f t="shared" si="3"/>
        <v>1684</v>
      </c>
      <c r="J45">
        <f>+H45+CF*F45*(1+($I45-1850)*slope/1000)+F45*hQc*COS(2*PI()*$I45/qbo+$L45)+F45*hQs*SIN(2*PI()*$I45/qbo+$L45)+F45*hCs*SIN(2*PI()*$I45/cw)+F45*hCc*COS(2*PI()*$I45/cw) +mix*F45*(hQc*COS(2*PI()*$I45/qbo+$L45)+hQs*SIN(2*PI()*$I45/qbo+$L45))*(hCs*SIN(2*PI()*$I45/cw)+hCc*COS(2*PI()*$I45/cw))</f>
        <v>-1.5798534068957255</v>
      </c>
      <c r="K45">
        <f>fQc*COS(2*PI()*$I45/qbo+$L45)+fQs*SIN(2*PI()*$I45/qbo+$L45)+fCs*SIN(2*PI()*$I45/cw)+fCc*COS(2*PI()*$I45/cw)</f>
        <v>2.0906922464395956</v>
      </c>
      <c r="L45">
        <f>+QMA*COS(2*PI()*$I45/QM+QMP)</f>
        <v>-0.45445778254570179</v>
      </c>
      <c r="P45">
        <f t="shared" si="4"/>
        <v>0</v>
      </c>
    </row>
    <row r="46" spans="1:16" x14ac:dyDescent="0.25">
      <c r="A46" s="1"/>
      <c r="B46" t="s">
        <v>59</v>
      </c>
      <c r="C46" t="s">
        <v>24</v>
      </c>
      <c r="D46" s="3">
        <v>1.5</v>
      </c>
      <c r="E46" s="5">
        <f t="shared" si="0"/>
        <v>1685</v>
      </c>
      <c r="F46">
        <v>-1.13442</v>
      </c>
      <c r="G46">
        <f t="shared" si="1"/>
        <v>2.4325399999999999</v>
      </c>
      <c r="H46">
        <f t="shared" si="2"/>
        <v>2.4325399999999999</v>
      </c>
      <c r="I46" s="5">
        <f t="shared" si="3"/>
        <v>1685</v>
      </c>
      <c r="J46">
        <f>+H46+CF*F46*(1+($I46-1850)*slope/1000)+F46*hQc*COS(2*PI()*$I46/qbo+$L46)+F46*hQs*SIN(2*PI()*$I46/qbo+$L46)+F46*hCs*SIN(2*PI()*$I46/cw)+F46*hCc*COS(2*PI()*$I46/cw) +mix*F46*(hQc*COS(2*PI()*$I46/qbo+$L46)+hQs*SIN(2*PI()*$I46/qbo+$L46))*(hCs*SIN(2*PI()*$I46/cw)+hCc*COS(2*PI()*$I46/cw))</f>
        <v>0.15935031191109728</v>
      </c>
      <c r="K46">
        <f>fQc*COS(2*PI()*$I46/qbo+$L46)+fQs*SIN(2*PI()*$I46/qbo+$L46)+fCs*SIN(2*PI()*$I46/cw)+fCc*COS(2*PI()*$I46/cw)</f>
        <v>-1.6009535721872541</v>
      </c>
      <c r="L46">
        <f>+QMA*COS(2*PI()*$I46/QM+QMP)</f>
        <v>-0.56252041501237149</v>
      </c>
      <c r="P46">
        <f t="shared" si="4"/>
        <v>0</v>
      </c>
    </row>
    <row r="47" spans="1:16" x14ac:dyDescent="0.25">
      <c r="A47" s="1"/>
      <c r="B47" t="s">
        <v>60</v>
      </c>
      <c r="C47" t="s">
        <v>24</v>
      </c>
      <c r="D47" s="3">
        <v>1.5416666666666667</v>
      </c>
      <c r="E47" s="5">
        <f t="shared" si="0"/>
        <v>1686</v>
      </c>
      <c r="F47">
        <v>0.26591999999999999</v>
      </c>
      <c r="G47">
        <f t="shared" si="1"/>
        <v>-0.68174000000000001</v>
      </c>
      <c r="H47">
        <f t="shared" si="2"/>
        <v>-0.68174000000000001</v>
      </c>
      <c r="I47" s="5">
        <f t="shared" si="3"/>
        <v>1686</v>
      </c>
      <c r="J47">
        <f>+H47+CF*F47*(1+($I47-1850)*slope/1000)+F47*hQc*COS(2*PI()*$I47/qbo+$L47)+F47*hQs*SIN(2*PI()*$I47/qbo+$L47)+F47*hCs*SIN(2*PI()*$I47/cw)+F47*hCc*COS(2*PI()*$I47/cw) +mix*F47*(hQc*COS(2*PI()*$I47/qbo+$L47)+hQs*SIN(2*PI()*$I47/qbo+$L47))*(hCs*SIN(2*PI()*$I47/cw)+hCc*COS(2*PI()*$I47/cw))</f>
        <v>1.0131012871160321E-2</v>
      </c>
      <c r="K47">
        <f>fQc*COS(2*PI()*$I47/qbo+$L47)+fQs*SIN(2*PI()*$I47/qbo+$L47)+fCs*SIN(2*PI()*$I47/cw)+fCc*COS(2*PI()*$I47/cw)</f>
        <v>5.6222062518528959E-2</v>
      </c>
      <c r="L47">
        <f>+QMA*COS(2*PI()*$I47/QM+QMP)</f>
        <v>-0.65985189624295815</v>
      </c>
      <c r="P47">
        <f t="shared" si="4"/>
        <v>1</v>
      </c>
    </row>
    <row r="48" spans="1:16" x14ac:dyDescent="0.25">
      <c r="A48" s="1"/>
      <c r="B48" t="s">
        <v>61</v>
      </c>
      <c r="C48" t="s">
        <v>24</v>
      </c>
      <c r="D48" s="3">
        <v>1.5833333333333333</v>
      </c>
      <c r="E48" s="5">
        <f t="shared" si="0"/>
        <v>1687</v>
      </c>
      <c r="F48">
        <v>0.98451999999999995</v>
      </c>
      <c r="G48">
        <f t="shared" si="1"/>
        <v>-1.5032599999999998</v>
      </c>
      <c r="H48">
        <f t="shared" si="2"/>
        <v>-1.5032599999999998</v>
      </c>
      <c r="I48" s="5">
        <f t="shared" si="3"/>
        <v>1687</v>
      </c>
      <c r="J48">
        <f>+H48+CF*F48*(1+($I48-1850)*slope/1000)+F48*hQc*COS(2*PI()*$I48/qbo+$L48)+F48*hQs*SIN(2*PI()*$I48/qbo+$L48)+F48*hCs*SIN(2*PI()*$I48/cw)+F48*hCc*COS(2*PI()*$I48/cw) +mix*F48*(hQc*COS(2*PI()*$I48/qbo+$L48)+hQs*SIN(2*PI()*$I48/qbo+$L48))*(hCs*SIN(2*PI()*$I48/cw)+hCc*COS(2*PI()*$I48/cw))</f>
        <v>-2.1759357328525133</v>
      </c>
      <c r="K48">
        <f>fQc*COS(2*PI()*$I48/qbo+$L48)+fQs*SIN(2*PI()*$I48/qbo+$L48)+fCs*SIN(2*PI()*$I48/cw)+fCc*COS(2*PI()*$I48/cw)</f>
        <v>1.9958906088288662</v>
      </c>
      <c r="L48">
        <f>+QMA*COS(2*PI()*$I48/QM+QMP)</f>
        <v>-0.74459544234615471</v>
      </c>
      <c r="P48">
        <f t="shared" si="4"/>
        <v>0</v>
      </c>
    </row>
    <row r="49" spans="1:16" x14ac:dyDescent="0.25">
      <c r="A49" s="1"/>
      <c r="B49" t="s">
        <v>62</v>
      </c>
      <c r="C49" t="s">
        <v>24</v>
      </c>
      <c r="D49" s="3">
        <v>1.625</v>
      </c>
      <c r="E49" s="5">
        <f t="shared" si="0"/>
        <v>1688</v>
      </c>
      <c r="F49">
        <v>0.19986000000000001</v>
      </c>
      <c r="G49">
        <f t="shared" si="1"/>
        <v>1.1437299999999999</v>
      </c>
      <c r="H49">
        <f t="shared" si="2"/>
        <v>1.1437299999999999</v>
      </c>
      <c r="I49" s="5">
        <f t="shared" si="3"/>
        <v>1688</v>
      </c>
      <c r="J49">
        <f>+H49+CF*F49*(1+($I49-1850)*slope/1000)+F49*hQc*COS(2*PI()*$I49/qbo+$L49)+F49*hQs*SIN(2*PI()*$I49/qbo+$L49)+F49*hCs*SIN(2*PI()*$I49/cw)+F49*hCc*COS(2*PI()*$I49/cw) +mix*F49*(hQc*COS(2*PI()*$I49/qbo+$L49)+hQs*SIN(2*PI()*$I49/qbo+$L49))*(hCs*SIN(2*PI()*$I49/cw)+hCc*COS(2*PI()*$I49/cw))</f>
        <v>2.466673903700237</v>
      </c>
      <c r="K49">
        <f>fQc*COS(2*PI()*$I49/qbo+$L49)+fQs*SIN(2*PI()*$I49/qbo+$L49)+fCs*SIN(2*PI()*$I49/cw)+fCc*COS(2*PI()*$I49/cw)</f>
        <v>-2.0731866896484781</v>
      </c>
      <c r="L49">
        <f>+QMA*COS(2*PI()*$I49/QM+QMP)</f>
        <v>-0.81513440833410611</v>
      </c>
      <c r="P49">
        <f t="shared" si="4"/>
        <v>0</v>
      </c>
    </row>
    <row r="50" spans="1:16" x14ac:dyDescent="0.25">
      <c r="A50" s="1"/>
      <c r="B50" t="s">
        <v>63</v>
      </c>
      <c r="C50" t="s">
        <v>24</v>
      </c>
      <c r="D50" s="3">
        <v>1.6666666666666667</v>
      </c>
      <c r="E50" s="5">
        <f t="shared" si="0"/>
        <v>1689</v>
      </c>
      <c r="F50">
        <v>0.55893000000000004</v>
      </c>
      <c r="G50">
        <f t="shared" si="1"/>
        <v>-0.55098000000000003</v>
      </c>
      <c r="H50">
        <f t="shared" si="2"/>
        <v>-0.55098000000000003</v>
      </c>
      <c r="I50" s="5">
        <f t="shared" si="3"/>
        <v>1689</v>
      </c>
      <c r="J50">
        <f>+H50+CF*F50*(1+($I50-1850)*slope/1000)+F50*hQc*COS(2*PI()*$I50/qbo+$L50)+F50*hQs*SIN(2*PI()*$I50/qbo+$L50)+F50*hCs*SIN(2*PI()*$I50/cw)+F50*hCc*COS(2*PI()*$I50/cw) +mix*F50*(hQc*COS(2*PI()*$I50/qbo+$L50)+hQs*SIN(2*PI()*$I50/qbo+$L50))*(hCs*SIN(2*PI()*$I50/cw)+hCc*COS(2*PI()*$I50/cw))</f>
        <v>-3.3132056741290512</v>
      </c>
      <c r="K50">
        <f>fQc*COS(2*PI()*$I50/qbo+$L50)+fQs*SIN(2*PI()*$I50/qbo+$L50)+fCs*SIN(2*PI()*$I50/cw)+fCc*COS(2*PI()*$I50/cw)</f>
        <v>3.1831237373008601</v>
      </c>
      <c r="L50">
        <f>+QMA*COS(2*PI()*$I50/QM+QMP)</f>
        <v>-0.87012312871296027</v>
      </c>
      <c r="P50">
        <f t="shared" si="4"/>
        <v>0</v>
      </c>
    </row>
    <row r="51" spans="1:16" x14ac:dyDescent="0.25">
      <c r="A51" s="1"/>
      <c r="B51" t="s">
        <v>64</v>
      </c>
      <c r="C51" t="s">
        <v>24</v>
      </c>
      <c r="D51" s="3">
        <v>1.7083333333333333</v>
      </c>
      <c r="E51" s="5">
        <f t="shared" si="0"/>
        <v>1690</v>
      </c>
      <c r="F51">
        <v>0.36702000000000001</v>
      </c>
      <c r="G51">
        <f t="shared" si="1"/>
        <v>-0.22628999999999999</v>
      </c>
      <c r="H51">
        <f t="shared" si="2"/>
        <v>-0.22628999999999999</v>
      </c>
      <c r="I51" s="5">
        <f t="shared" si="3"/>
        <v>1690</v>
      </c>
      <c r="J51">
        <f>+H51+CF*F51*(1+($I51-1850)*slope/1000)+F51*hQc*COS(2*PI()*$I51/qbo+$L51)+F51*hQs*SIN(2*PI()*$I51/qbo+$L51)+F51*hCs*SIN(2*PI()*$I51/cw)+F51*hCc*COS(2*PI()*$I51/cw) +mix*F51*(hQc*COS(2*PI()*$I51/qbo+$L51)+hQs*SIN(2*PI()*$I51/qbo+$L51))*(hCs*SIN(2*PI()*$I51/cw)+hCc*COS(2*PI()*$I51/cw))</f>
        <v>1.4437529455837259</v>
      </c>
      <c r="K51">
        <f>fQc*COS(2*PI()*$I51/qbo+$L51)+fQs*SIN(2*PI()*$I51/qbo+$L51)+fCs*SIN(2*PI()*$I51/cw)+fCc*COS(2*PI()*$I51/cw)</f>
        <v>-2.4851214252720522</v>
      </c>
      <c r="L51">
        <f>+QMA*COS(2*PI()*$I51/QM+QMP)</f>
        <v>-0.90851258862227258</v>
      </c>
      <c r="P51">
        <f t="shared" si="4"/>
        <v>0</v>
      </c>
    </row>
    <row r="52" spans="1:16" x14ac:dyDescent="0.25">
      <c r="A52" s="1"/>
      <c r="B52" t="s">
        <v>65</v>
      </c>
      <c r="C52" t="s">
        <v>24</v>
      </c>
      <c r="D52" s="3">
        <v>1.75</v>
      </c>
      <c r="E52" s="5">
        <f t="shared" si="0"/>
        <v>1691</v>
      </c>
      <c r="F52">
        <v>-5.1180000000000003E-2</v>
      </c>
      <c r="G52">
        <f t="shared" si="1"/>
        <v>1.0916700000000001</v>
      </c>
      <c r="H52">
        <f t="shared" si="2"/>
        <v>1.0916700000000001</v>
      </c>
      <c r="I52" s="5">
        <f t="shared" si="3"/>
        <v>1691</v>
      </c>
      <c r="J52">
        <f>+H52+CF*F52*(1+($I52-1850)*slope/1000)+F52*hQc*COS(2*PI()*$I52/qbo+$L52)+F52*hQs*SIN(2*PI()*$I52/qbo+$L52)+F52*hCs*SIN(2*PI()*$I52/cw)+F52*hCc*COS(2*PI()*$I52/cw) +mix*F52*(hQc*COS(2*PI()*$I52/qbo+$L52)+hQs*SIN(2*PI()*$I52/qbo+$L52))*(hCs*SIN(2*PI()*$I52/cw)+hCc*COS(2*PI()*$I52/cw))</f>
        <v>0.91680910396945148</v>
      </c>
      <c r="K52">
        <f>fQc*COS(2*PI()*$I52/qbo+$L52)+fQs*SIN(2*PI()*$I52/qbo+$L52)+fCs*SIN(2*PI()*$I52/cw)+fCc*COS(2*PI()*$I52/cw)</f>
        <v>1.1879340004475638</v>
      </c>
      <c r="L52">
        <f>+QMA*COS(2*PI()*$I52/QM+QMP)</f>
        <v>-0.92957043579682486</v>
      </c>
      <c r="P52">
        <f t="shared" si="4"/>
        <v>1</v>
      </c>
    </row>
    <row r="53" spans="1:16" x14ac:dyDescent="0.25">
      <c r="A53" s="1"/>
      <c r="B53" t="s">
        <v>66</v>
      </c>
      <c r="C53" t="s">
        <v>24</v>
      </c>
      <c r="D53" s="3">
        <v>1.7916666666666667</v>
      </c>
      <c r="E53" s="5">
        <f t="shared" si="0"/>
        <v>1692</v>
      </c>
      <c r="F53">
        <v>0.62229000000000001</v>
      </c>
      <c r="G53">
        <f t="shared" si="1"/>
        <v>-0.81603000000000003</v>
      </c>
      <c r="H53">
        <f t="shared" si="2"/>
        <v>-0.81603000000000003</v>
      </c>
      <c r="I53" s="5">
        <f t="shared" si="3"/>
        <v>1692</v>
      </c>
      <c r="J53">
        <f>+H53+CF*F53*(1+($I53-1850)*slope/1000)+F53*hQc*COS(2*PI()*$I53/qbo+$L53)+F53*hQs*SIN(2*PI()*$I53/qbo+$L53)+F53*hCs*SIN(2*PI()*$I53/cw)+F53*hCc*COS(2*PI()*$I53/cw) +mix*F53*(hQc*COS(2*PI()*$I53/qbo+$L53)+hQs*SIN(2*PI()*$I53/qbo+$L53))*(hCs*SIN(2*PI()*$I53/cw)+hCc*COS(2*PI()*$I53/cw))</f>
        <v>1.1921115987288464</v>
      </c>
      <c r="K53">
        <f>fQc*COS(2*PI()*$I53/qbo+$L53)+fQs*SIN(2*PI()*$I53/qbo+$L53)+fCs*SIN(2*PI()*$I53/cw)+fCc*COS(2*PI()*$I53/cw)</f>
        <v>-0.78270650558912547</v>
      </c>
      <c r="L53">
        <f>+QMA*COS(2*PI()*$I53/QM+QMP)</f>
        <v>-0.93289495158480484</v>
      </c>
      <c r="P53">
        <f t="shared" si="4"/>
        <v>0</v>
      </c>
    </row>
    <row r="54" spans="1:16" x14ac:dyDescent="0.25">
      <c r="A54" s="1"/>
      <c r="B54" t="s">
        <v>67</v>
      </c>
      <c r="C54" t="s">
        <v>24</v>
      </c>
      <c r="D54" s="3">
        <v>1.8333333333333333</v>
      </c>
      <c r="E54" s="5">
        <f t="shared" si="0"/>
        <v>1693</v>
      </c>
      <c r="F54">
        <v>0.47972999999999999</v>
      </c>
      <c r="G54">
        <f t="shared" si="1"/>
        <v>0.33596000000000004</v>
      </c>
      <c r="H54">
        <f t="shared" si="2"/>
        <v>0.33596000000000004</v>
      </c>
      <c r="I54" s="5">
        <f t="shared" si="3"/>
        <v>1693</v>
      </c>
      <c r="J54">
        <f>+H54+CF*F54*(1+($I54-1850)*slope/1000)+F54*hQc*COS(2*PI()*$I54/qbo+$L54)+F54*hQs*SIN(2*PI()*$I54/qbo+$L54)+F54*hCs*SIN(2*PI()*$I54/cw)+F54*hCc*COS(2*PI()*$I54/cw) +mix*F54*(hQc*COS(2*PI()*$I54/qbo+$L54)+hQs*SIN(2*PI()*$I54/qbo+$L54))*(hCs*SIN(2*PI()*$I54/cw)+hCc*COS(2*PI()*$I54/cw))</f>
        <v>1.5630162623857675</v>
      </c>
      <c r="K54">
        <f>fQc*COS(2*PI()*$I54/qbo+$L54)+fQs*SIN(2*PI()*$I54/qbo+$L54)+fCs*SIN(2*PI()*$I54/cw)+fCc*COS(2*PI()*$I54/cw)</f>
        <v>-1.3723321081085178</v>
      </c>
      <c r="L54">
        <f>+QMA*COS(2*PI()*$I54/QM+QMP)</f>
        <v>-0.91842271449828516</v>
      </c>
      <c r="P54">
        <f t="shared" si="4"/>
        <v>0</v>
      </c>
    </row>
    <row r="55" spans="1:16" x14ac:dyDescent="0.25">
      <c r="A55" s="1"/>
      <c r="B55" t="s">
        <v>68</v>
      </c>
      <c r="C55" t="s">
        <v>24</v>
      </c>
      <c r="D55" s="3">
        <v>1.875</v>
      </c>
      <c r="E55" s="5">
        <f t="shared" si="0"/>
        <v>1694</v>
      </c>
      <c r="F55">
        <v>0.67313000000000001</v>
      </c>
      <c r="G55">
        <f t="shared" si="1"/>
        <v>0.17141000000000006</v>
      </c>
      <c r="H55">
        <f t="shared" si="2"/>
        <v>0.17141000000000006</v>
      </c>
      <c r="I55" s="5">
        <f t="shared" si="3"/>
        <v>1694</v>
      </c>
      <c r="J55">
        <f>+H55+CF*F55*(1+($I55-1850)*slope/1000)+F55*hQc*COS(2*PI()*$I55/qbo+$L55)+F55*hQs*SIN(2*PI()*$I55/qbo+$L55)+F55*hCs*SIN(2*PI()*$I55/cw)+F55*hCc*COS(2*PI()*$I55/cw) +mix*F55*(hQc*COS(2*PI()*$I55/qbo+$L55)+hQs*SIN(2*PI()*$I55/qbo+$L55))*(hCs*SIN(2*PI()*$I55/cw)+hCc*COS(2*PI()*$I55/cw))</f>
        <v>3.6024143765610273</v>
      </c>
      <c r="K55">
        <f>fQc*COS(2*PI()*$I55/qbo+$L55)+fQs*SIN(2*PI()*$I55/qbo+$L55)+fCs*SIN(2*PI()*$I55/cw)+fCc*COS(2*PI()*$I55/cw)</f>
        <v>1.8521931546610004</v>
      </c>
      <c r="L55">
        <f>+QMA*COS(2*PI()*$I55/QM+QMP)</f>
        <v>-0.88642981009924215</v>
      </c>
      <c r="P55">
        <f t="shared" si="4"/>
        <v>1</v>
      </c>
    </row>
    <row r="56" spans="1:16" x14ac:dyDescent="0.25">
      <c r="A56" s="1"/>
      <c r="B56" t="s">
        <v>69</v>
      </c>
      <c r="C56" t="s">
        <v>24</v>
      </c>
      <c r="D56" s="3">
        <v>1.9166666666666667</v>
      </c>
      <c r="E56" s="5">
        <f t="shared" si="0"/>
        <v>1695</v>
      </c>
      <c r="F56">
        <v>1.0379400000000001</v>
      </c>
      <c r="G56">
        <f t="shared" si="1"/>
        <v>-2.4887899999999998</v>
      </c>
      <c r="H56">
        <f t="shared" si="2"/>
        <v>-2.4887899999999998</v>
      </c>
      <c r="I56" s="5">
        <f t="shared" si="3"/>
        <v>1695</v>
      </c>
      <c r="J56">
        <f>+H56+CF*F56*(1+($I56-1850)*slope/1000)+F56*hQc*COS(2*PI()*$I56/qbo+$L56)+F56*hQs*SIN(2*PI()*$I56/qbo+$L56)+F56*hCs*SIN(2*PI()*$I56/cw)+F56*hCc*COS(2*PI()*$I56/cw) +mix*F56*(hQc*COS(2*PI()*$I56/qbo+$L56)+hQs*SIN(2*PI()*$I56/qbo+$L56))*(hCs*SIN(2*PI()*$I56/cw)+hCc*COS(2*PI()*$I56/cw))</f>
        <v>1.0001949736032734</v>
      </c>
      <c r="K56">
        <f>fQc*COS(2*PI()*$I56/qbo+$L56)+fQs*SIN(2*PI()*$I56/qbo+$L56)+fCs*SIN(2*PI()*$I56/cw)+fCc*COS(2*PI()*$I56/cw)</f>
        <v>-2.4329852475580829</v>
      </c>
      <c r="L56">
        <f>+QMA*COS(2*PI()*$I56/QM+QMP)</f>
        <v>-0.837526564140184</v>
      </c>
      <c r="P56">
        <f t="shared" si="4"/>
        <v>0</v>
      </c>
    </row>
    <row r="57" spans="1:16" x14ac:dyDescent="0.25">
      <c r="A57" s="1"/>
      <c r="B57" t="s">
        <v>70</v>
      </c>
      <c r="C57" t="s">
        <v>24</v>
      </c>
      <c r="D57" s="3">
        <v>1.9583333333333333</v>
      </c>
      <c r="E57" s="5">
        <f t="shared" si="0"/>
        <v>1696</v>
      </c>
      <c r="F57">
        <v>-1.0860399999999999</v>
      </c>
      <c r="G57">
        <f t="shared" si="1"/>
        <v>2.6817099999999998</v>
      </c>
      <c r="H57">
        <f t="shared" si="2"/>
        <v>2.6817099999999998</v>
      </c>
      <c r="I57" s="5">
        <f t="shared" si="3"/>
        <v>1696</v>
      </c>
      <c r="J57">
        <f>+H57+CF*F57*(1+($I57-1850)*slope/1000)+F57*hQc*COS(2*PI()*$I57/qbo+$L57)+F57*hQs*SIN(2*PI()*$I57/qbo+$L57)+F57*hCs*SIN(2*PI()*$I57/cw)+F57*hCc*COS(2*PI()*$I57/cw) +mix*F57*(hQc*COS(2*PI()*$I57/qbo+$L57)+hQs*SIN(2*PI()*$I57/qbo+$L57))*(hCs*SIN(2*PI()*$I57/cw)+hCc*COS(2*PI()*$I57/cw))</f>
        <v>6.4631004947426973</v>
      </c>
      <c r="K57">
        <f>fQc*COS(2*PI()*$I57/qbo+$L57)+fQs*SIN(2*PI()*$I57/qbo+$L57)+fCs*SIN(2*PI()*$I57/cw)+fCc*COS(2*PI()*$I57/cw)</f>
        <v>3.3263843903963037</v>
      </c>
      <c r="L57">
        <f>+QMA*COS(2*PI()*$I57/QM+QMP)</f>
        <v>-0.77264589943476403</v>
      </c>
      <c r="P57">
        <f t="shared" si="4"/>
        <v>1</v>
      </c>
    </row>
    <row r="58" spans="1:16" x14ac:dyDescent="0.25">
      <c r="A58" s="1"/>
      <c r="B58" t="s">
        <v>71</v>
      </c>
      <c r="C58" t="s">
        <v>24</v>
      </c>
      <c r="D58" s="3">
        <v>2</v>
      </c>
      <c r="E58" s="5">
        <f t="shared" si="0"/>
        <v>1697</v>
      </c>
      <c r="F58">
        <v>-0.52830999999999995</v>
      </c>
      <c r="G58">
        <f t="shared" si="1"/>
        <v>-1.1302399999999999</v>
      </c>
      <c r="H58">
        <f t="shared" si="2"/>
        <v>-1.1302399999999999</v>
      </c>
      <c r="I58" s="5">
        <f t="shared" si="3"/>
        <v>1697</v>
      </c>
      <c r="J58">
        <f>+H58+CF*F58*(1+($I58-1850)*slope/1000)+F58*hQc*COS(2*PI()*$I58/qbo+$L58)+F58*hQs*SIN(2*PI()*$I58/qbo+$L58)+F58*hCs*SIN(2*PI()*$I58/cw)+F58*hCc*COS(2*PI()*$I58/cw) +mix*F58*(hQc*COS(2*PI()*$I58/qbo+$L58)+hQs*SIN(2*PI()*$I58/qbo+$L58))*(hCs*SIN(2*PI()*$I58/cw)+hCc*COS(2*PI()*$I58/cw))</f>
        <v>-4.8525291095076266</v>
      </c>
      <c r="K58">
        <f>fQc*COS(2*PI()*$I58/qbo+$L58)+fQs*SIN(2*PI()*$I58/qbo+$L58)+fCs*SIN(2*PI()*$I58/cw)+fCc*COS(2*PI()*$I58/cw)</f>
        <v>-2.2059163350842637</v>
      </c>
      <c r="L58">
        <f>+QMA*COS(2*PI()*$I58/QM+QMP)</f>
        <v>-0.69302553857344273</v>
      </c>
      <c r="P58">
        <f t="shared" si="4"/>
        <v>1</v>
      </c>
    </row>
    <row r="59" spans="1:16" x14ac:dyDescent="0.25">
      <c r="A59" s="1"/>
      <c r="B59" t="s">
        <v>72</v>
      </c>
      <c r="C59" t="s">
        <v>24</v>
      </c>
      <c r="D59" s="3">
        <v>2.0416666666666665</v>
      </c>
      <c r="E59" s="5">
        <f t="shared" si="0"/>
        <v>1698</v>
      </c>
      <c r="F59">
        <v>-1.1008199999999999</v>
      </c>
      <c r="G59">
        <f t="shared" si="1"/>
        <v>1.4529199999999998</v>
      </c>
      <c r="H59">
        <f t="shared" si="2"/>
        <v>1.4529199999999998</v>
      </c>
      <c r="I59" s="5">
        <f t="shared" si="3"/>
        <v>1698</v>
      </c>
      <c r="J59">
        <f>+H59+CF*F59*(1+($I59-1850)*slope/1000)+F59*hQc*COS(2*PI()*$I59/qbo+$L59)+F59*hQs*SIN(2*PI()*$I59/qbo+$L59)+F59*hCs*SIN(2*PI()*$I59/cw)+F59*hCc*COS(2*PI()*$I59/cw) +mix*F59*(hQc*COS(2*PI()*$I59/qbo+$L59)+hQs*SIN(2*PI()*$I59/qbo+$L59))*(hCs*SIN(2*PI()*$I59/cw)+hCc*COS(2*PI()*$I59/cw))</f>
        <v>5.134926648529655</v>
      </c>
      <c r="K59">
        <f>fQc*COS(2*PI()*$I59/qbo+$L59)+fQs*SIN(2*PI()*$I59/qbo+$L59)+fCs*SIN(2*PI()*$I59/cw)+fCc*COS(2*PI()*$I59/cw)</f>
        <v>2.4158756895699782</v>
      </c>
      <c r="L59">
        <f>+QMA*COS(2*PI()*$I59/QM+QMP)</f>
        <v>-0.60018439200121632</v>
      </c>
      <c r="P59">
        <f t="shared" si="4"/>
        <v>1</v>
      </c>
    </row>
    <row r="60" spans="1:16" x14ac:dyDescent="0.25">
      <c r="A60" s="1"/>
      <c r="B60" t="s">
        <v>73</v>
      </c>
      <c r="C60" t="s">
        <v>24</v>
      </c>
      <c r="D60" s="3">
        <v>2.0833333333333335</v>
      </c>
      <c r="E60" s="5">
        <f t="shared" si="0"/>
        <v>1699</v>
      </c>
      <c r="F60">
        <v>-0.22040999999999999</v>
      </c>
      <c r="G60">
        <f t="shared" si="1"/>
        <v>-0.67158999999999991</v>
      </c>
      <c r="H60">
        <f t="shared" si="2"/>
        <v>-0.67158999999999991</v>
      </c>
      <c r="I60" s="5">
        <f t="shared" si="3"/>
        <v>1699</v>
      </c>
      <c r="J60">
        <f>+H60+CF*F60*(1+($I60-1850)*slope/1000)+F60*hQc*COS(2*PI()*$I60/qbo+$L60)+F60*hQs*SIN(2*PI()*$I60/qbo+$L60)+F60*hCs*SIN(2*PI()*$I60/cw)+F60*hCc*COS(2*PI()*$I60/cw) +mix*F60*(hQc*COS(2*PI()*$I60/qbo+$L60)+hQs*SIN(2*PI()*$I60/qbo+$L60))*(hCs*SIN(2*PI()*$I60/cw)+hCc*COS(2*PI()*$I60/cw))</f>
        <v>-1.3694607668492162</v>
      </c>
      <c r="K60">
        <f>fQc*COS(2*PI()*$I60/qbo+$L60)+fQs*SIN(2*PI()*$I60/qbo+$L60)+fCs*SIN(2*PI()*$I60/cw)+fCc*COS(2*PI()*$I60/cw)</f>
        <v>-1.4268432242784082</v>
      </c>
      <c r="L60">
        <f>+QMA*COS(2*PI()*$I60/QM+QMP)</f>
        <v>-0.49589358189994281</v>
      </c>
      <c r="P60">
        <f t="shared" si="4"/>
        <v>1</v>
      </c>
    </row>
    <row r="61" spans="1:16" x14ac:dyDescent="0.25">
      <c r="A61" s="1"/>
      <c r="B61" t="s">
        <v>74</v>
      </c>
      <c r="C61" t="s">
        <v>24</v>
      </c>
      <c r="D61" s="3">
        <v>2.125</v>
      </c>
      <c r="E61" s="5">
        <f t="shared" si="0"/>
        <v>1700</v>
      </c>
      <c r="F61">
        <v>-1.159E-2</v>
      </c>
      <c r="G61">
        <f t="shared" si="1"/>
        <v>0.22741</v>
      </c>
      <c r="H61">
        <f t="shared" si="2"/>
        <v>0.22741</v>
      </c>
      <c r="I61" s="5">
        <f t="shared" si="3"/>
        <v>1700</v>
      </c>
      <c r="J61">
        <f>+H61+CF*F61*(1+($I61-1850)*slope/1000)+F61*hQc*COS(2*PI()*$I61/qbo+$L61)+F61*hQs*SIN(2*PI()*$I61/qbo+$L61)+F61*hCs*SIN(2*PI()*$I61/cw)+F61*hCc*COS(2*PI()*$I61/cw) +mix*F61*(hQc*COS(2*PI()*$I61/qbo+$L61)+hQs*SIN(2*PI()*$I61/qbo+$L61))*(hCs*SIN(2*PI()*$I61/cw)+hCc*COS(2*PI()*$I61/cw))</f>
        <v>0.18977432279463191</v>
      </c>
      <c r="K61">
        <f>fQc*COS(2*PI()*$I61/qbo+$L61)+fQs*SIN(2*PI()*$I61/qbo+$L61)+fCs*SIN(2*PI()*$I61/cw)+fCc*COS(2*PI()*$I61/cw)</f>
        <v>5.9815315673141328E-2</v>
      </c>
      <c r="L61">
        <f>+QMA*COS(2*PI()*$I61/QM+QMP)</f>
        <v>-0.38214265465031555</v>
      </c>
      <c r="P61">
        <f t="shared" si="4"/>
        <v>1</v>
      </c>
    </row>
    <row r="62" spans="1:16" x14ac:dyDescent="0.25">
      <c r="A62" s="1"/>
      <c r="B62" t="s">
        <v>75</v>
      </c>
      <c r="C62" t="s">
        <v>24</v>
      </c>
      <c r="D62" s="3">
        <v>2.1666666666666665</v>
      </c>
      <c r="E62" s="5">
        <f t="shared" si="0"/>
        <v>1701</v>
      </c>
      <c r="F62">
        <v>0.42464000000000002</v>
      </c>
      <c r="G62">
        <f t="shared" si="1"/>
        <v>-0.60131000000000001</v>
      </c>
      <c r="H62">
        <f t="shared" si="2"/>
        <v>-0.60131000000000001</v>
      </c>
      <c r="I62" s="5">
        <f t="shared" si="3"/>
        <v>1701</v>
      </c>
      <c r="J62">
        <f>+H62+CF*F62*(1+($I62-1850)*slope/1000)+F62*hQc*COS(2*PI()*$I62/qbo+$L62)+F62*hQs*SIN(2*PI()*$I62/qbo+$L62)+F62*hCs*SIN(2*PI()*$I62/cw)+F62*hCc*COS(2*PI()*$I62/cw) +mix*F62*(hQc*COS(2*PI()*$I62/qbo+$L62)+hQs*SIN(2*PI()*$I62/qbo+$L62))*(hCs*SIN(2*PI()*$I62/cw)+hCc*COS(2*PI()*$I62/cw))</f>
        <v>1.24476473284448</v>
      </c>
      <c r="K62">
        <f>fQc*COS(2*PI()*$I62/qbo+$L62)+fQs*SIN(2*PI()*$I62/qbo+$L62)+fCs*SIN(2*PI()*$I62/cw)+fCc*COS(2*PI()*$I62/cw)</f>
        <v>2.4391554785348008E-2</v>
      </c>
      <c r="L62">
        <f>+QMA*COS(2*PI()*$I62/QM+QMP)</f>
        <v>-0.26110162643478263</v>
      </c>
      <c r="P62">
        <f t="shared" si="4"/>
        <v>1</v>
      </c>
    </row>
    <row r="63" spans="1:16" x14ac:dyDescent="0.25">
      <c r="A63" s="1"/>
      <c r="B63" t="s">
        <v>76</v>
      </c>
      <c r="C63" t="s">
        <v>24</v>
      </c>
      <c r="D63" s="3">
        <v>2.2083333333333335</v>
      </c>
      <c r="E63" s="5">
        <f t="shared" si="0"/>
        <v>1702</v>
      </c>
      <c r="F63">
        <v>0.25956000000000001</v>
      </c>
      <c r="G63">
        <f t="shared" si="1"/>
        <v>-0.81159999999999999</v>
      </c>
      <c r="H63">
        <f t="shared" si="2"/>
        <v>-0.81159999999999999</v>
      </c>
      <c r="I63" s="5">
        <f t="shared" si="3"/>
        <v>1702</v>
      </c>
      <c r="J63">
        <f>+H63+CF*F63*(1+($I63-1850)*slope/1000)+F63*hQc*COS(2*PI()*$I63/qbo+$L63)+F63*hQs*SIN(2*PI()*$I63/qbo+$L63)+F63*hCs*SIN(2*PI()*$I63/cw)+F63*hCc*COS(2*PI()*$I63/cw) +mix*F63*(hQc*COS(2*PI()*$I63/qbo+$L63)+hQs*SIN(2*PI()*$I63/qbo+$L63))*(hCs*SIN(2*PI()*$I63/cw)+hCc*COS(2*PI()*$I63/cw))</f>
        <v>-0.35804290624673635</v>
      </c>
      <c r="K63">
        <f>fQc*COS(2*PI()*$I63/qbo+$L63)+fQs*SIN(2*PI()*$I63/qbo+$L63)+fCs*SIN(2*PI()*$I63/cw)+fCc*COS(2*PI()*$I63/cw)</f>
        <v>-1.7892766265257782</v>
      </c>
      <c r="L63">
        <f>+QMA*COS(2*PI()*$I63/QM+QMP)</f>
        <v>-0.13507958603463044</v>
      </c>
      <c r="P63">
        <f t="shared" si="4"/>
        <v>1</v>
      </c>
    </row>
    <row r="64" spans="1:16" x14ac:dyDescent="0.25">
      <c r="A64" s="1"/>
      <c r="B64" t="s">
        <v>77</v>
      </c>
      <c r="C64" t="s">
        <v>24</v>
      </c>
      <c r="D64" s="3">
        <v>2.25</v>
      </c>
      <c r="E64" s="5">
        <f t="shared" si="0"/>
        <v>1703</v>
      </c>
      <c r="F64">
        <v>-0.71711999999999998</v>
      </c>
      <c r="G64">
        <f t="shared" si="1"/>
        <v>0.99912000000000001</v>
      </c>
      <c r="H64">
        <f t="shared" si="2"/>
        <v>0.99912000000000001</v>
      </c>
      <c r="I64" s="5">
        <f t="shared" si="3"/>
        <v>1703</v>
      </c>
      <c r="J64">
        <f>+H64+CF*F64*(1+($I64-1850)*slope/1000)+F64*hQc*COS(2*PI()*$I64/qbo+$L64)+F64*hQs*SIN(2*PI()*$I64/qbo+$L64)+F64*hCs*SIN(2*PI()*$I64/cw)+F64*hCc*COS(2*PI()*$I64/cw) +mix*F64*(hQc*COS(2*PI()*$I64/qbo+$L64)+hQs*SIN(2*PI()*$I64/qbo+$L64))*(hCs*SIN(2*PI()*$I64/cw)+hCc*COS(2*PI()*$I64/cw))</f>
        <v>-2.3298818679222375</v>
      </c>
      <c r="K64">
        <f>fQc*COS(2*PI()*$I64/qbo+$L64)+fQs*SIN(2*PI()*$I64/qbo+$L64)+fCs*SIN(2*PI()*$I64/cw)+fCc*COS(2*PI()*$I64/cw)</f>
        <v>2.0548414066835372</v>
      </c>
      <c r="L64">
        <f>+QMA*COS(2*PI()*$I64/QM+QMP)</f>
        <v>-6.480644551574411E-3</v>
      </c>
      <c r="P64">
        <f t="shared" si="4"/>
        <v>0</v>
      </c>
    </row>
    <row r="65" spans="1:16" x14ac:dyDescent="0.25">
      <c r="A65" s="1"/>
      <c r="B65" t="s">
        <v>78</v>
      </c>
      <c r="C65" t="s">
        <v>24</v>
      </c>
      <c r="D65" s="3">
        <v>2.2916666666666665</v>
      </c>
      <c r="E65" s="5">
        <f t="shared" si="0"/>
        <v>1704</v>
      </c>
      <c r="F65">
        <v>-0.69467999999999996</v>
      </c>
      <c r="G65">
        <f t="shared" si="1"/>
        <v>0.17132999999999998</v>
      </c>
      <c r="H65">
        <f t="shared" si="2"/>
        <v>0.17132999999999998</v>
      </c>
      <c r="I65" s="5">
        <f t="shared" si="3"/>
        <v>1704</v>
      </c>
      <c r="J65">
        <f>+H65+CF*F65*(1+($I65-1850)*slope/1000)+F65*hQc*COS(2*PI()*$I65/qbo+$L65)+F65*hQs*SIN(2*PI()*$I65/qbo+$L65)+F65*hCs*SIN(2*PI()*$I65/cw)+F65*hCc*COS(2*PI()*$I65/cw) +mix*F65*(hQc*COS(2*PI()*$I65/qbo+$L65)+hQs*SIN(2*PI()*$I65/qbo+$L65))*(hCs*SIN(2*PI()*$I65/cw)+hCc*COS(2*PI()*$I65/cw))</f>
        <v>-2.3541850752461277</v>
      </c>
      <c r="K65">
        <f>fQc*COS(2*PI()*$I65/qbo+$L65)+fQs*SIN(2*PI()*$I65/qbo+$L65)+fCs*SIN(2*PI()*$I65/cw)+fCc*COS(2*PI()*$I65/cw)</f>
        <v>-2.3807277540600924</v>
      </c>
      <c r="L65">
        <f>+QMA*COS(2*PI()*$I65/QM+QMP)</f>
        <v>0.12224192760332675</v>
      </c>
      <c r="P65">
        <f t="shared" si="4"/>
        <v>1</v>
      </c>
    </row>
    <row r="66" spans="1:16" x14ac:dyDescent="0.25">
      <c r="A66" s="1"/>
      <c r="B66" t="s">
        <v>79</v>
      </c>
      <c r="C66" t="s">
        <v>24</v>
      </c>
      <c r="D66" s="3">
        <v>2.3333333333333335</v>
      </c>
      <c r="E66" s="5">
        <f t="shared" si="0"/>
        <v>1705</v>
      </c>
      <c r="F66">
        <v>-0.50090999999999997</v>
      </c>
      <c r="G66">
        <f t="shared" si="1"/>
        <v>0.27430999999999994</v>
      </c>
      <c r="H66">
        <f t="shared" si="2"/>
        <v>0.27430999999999994</v>
      </c>
      <c r="I66" s="5">
        <f t="shared" si="3"/>
        <v>1705</v>
      </c>
      <c r="J66">
        <f>+H66+CF*F66*(1+($I66-1850)*slope/1000)+F66*hQc*COS(2*PI()*$I66/qbo+$L66)+F66*hQs*SIN(2*PI()*$I66/qbo+$L66)+F66*hCs*SIN(2*PI()*$I66/cw)+F66*hCc*COS(2*PI()*$I66/cw) +mix*F66*(hQc*COS(2*PI()*$I66/qbo+$L66)+hQs*SIN(2*PI()*$I66/qbo+$L66))*(hCs*SIN(2*PI()*$I66/cw)+hCc*COS(2*PI()*$I66/cw))</f>
        <v>2.329997344687492</v>
      </c>
      <c r="K66">
        <f>fQc*COS(2*PI()*$I66/qbo+$L66)+fQs*SIN(2*PI()*$I66/qbo+$L66)+fCs*SIN(2*PI()*$I66/cw)+fCc*COS(2*PI()*$I66/cw)</f>
        <v>3.3373368121924876</v>
      </c>
      <c r="L66">
        <f>+QMA*COS(2*PI()*$I66/QM+QMP)</f>
        <v>0.24863250152757227</v>
      </c>
      <c r="P66">
        <f t="shared" si="4"/>
        <v>1</v>
      </c>
    </row>
    <row r="67" spans="1:16" x14ac:dyDescent="0.25">
      <c r="A67" s="1"/>
      <c r="B67" t="s">
        <v>80</v>
      </c>
      <c r="C67" t="s">
        <v>24</v>
      </c>
      <c r="D67" s="3">
        <v>2.375</v>
      </c>
      <c r="E67" s="5">
        <f t="shared" si="0"/>
        <v>1706</v>
      </c>
      <c r="F67">
        <v>-3.2829999999999998E-2</v>
      </c>
      <c r="G67">
        <f t="shared" si="1"/>
        <v>-0.98914999999999986</v>
      </c>
      <c r="H67">
        <f t="shared" si="2"/>
        <v>-0.98914999999999986</v>
      </c>
      <c r="I67" s="5">
        <f t="shared" si="3"/>
        <v>1706</v>
      </c>
      <c r="J67">
        <f>+H67+CF*F67*(1+($I67-1850)*slope/1000)+F67*hQc*COS(2*PI()*$I67/qbo+$L67)+F67*hQs*SIN(2*PI()*$I67/qbo+$L67)+F67*hCs*SIN(2*PI()*$I67/cw)+F67*hCc*COS(2*PI()*$I67/cw) +mix*F67*(hQc*COS(2*PI()*$I67/qbo+$L67)+hQs*SIN(2*PI()*$I67/qbo+$L67))*(hCs*SIN(2*PI()*$I67/cw)+hCc*COS(2*PI()*$I67/cw))</f>
        <v>-1.2243138455443836</v>
      </c>
      <c r="K67">
        <f>fQc*COS(2*PI()*$I67/qbo+$L67)+fQs*SIN(2*PI()*$I67/qbo+$L67)+fCs*SIN(2*PI()*$I67/cw)+fCc*COS(2*PI()*$I67/cw)</f>
        <v>-2.3186979251681596</v>
      </c>
      <c r="L67">
        <f>+QMA*COS(2*PI()*$I67/QM+QMP)</f>
        <v>0.37027993563874445</v>
      </c>
      <c r="P67">
        <f t="shared" si="4"/>
        <v>1</v>
      </c>
    </row>
    <row r="68" spans="1:16" x14ac:dyDescent="0.25">
      <c r="A68" s="1"/>
      <c r="B68" t="s">
        <v>81</v>
      </c>
      <c r="C68" t="s">
        <v>24</v>
      </c>
      <c r="D68" s="3">
        <v>2.4166666666666665</v>
      </c>
      <c r="E68" s="5">
        <f t="shared" si="0"/>
        <v>1707</v>
      </c>
      <c r="F68">
        <v>-0.55389999999999995</v>
      </c>
      <c r="G68">
        <f t="shared" si="1"/>
        <v>1.0324299999999997</v>
      </c>
      <c r="H68">
        <f t="shared" si="2"/>
        <v>1.0324299999999997</v>
      </c>
      <c r="I68" s="5">
        <f t="shared" si="3"/>
        <v>1707</v>
      </c>
      <c r="J68">
        <f>+H68+CF*F68*(1+($I68-1850)*slope/1000)+F68*hQc*COS(2*PI()*$I68/qbo+$L68)+F68*hQs*SIN(2*PI()*$I68/qbo+$L68)+F68*hCs*SIN(2*PI()*$I68/cw)+F68*hCc*COS(2*PI()*$I68/cw) +mix*F68*(hQc*COS(2*PI()*$I68/qbo+$L68)+hQs*SIN(2*PI()*$I68/qbo+$L68))*(hCs*SIN(2*PI()*$I68/cw)+hCc*COS(2*PI()*$I68/cw))</f>
        <v>2.9559131794447708</v>
      </c>
      <c r="K68">
        <f>fQc*COS(2*PI()*$I68/qbo+$L68)+fQs*SIN(2*PI()*$I68/qbo+$L68)+fCs*SIN(2*PI()*$I68/cw)+fCc*COS(2*PI()*$I68/cw)</f>
        <v>2.5985816499052117</v>
      </c>
      <c r="L68">
        <f>+QMA*COS(2*PI()*$I68/QM+QMP)</f>
        <v>0.48486357280500991</v>
      </c>
      <c r="P68">
        <f t="shared" si="4"/>
        <v>1</v>
      </c>
    </row>
    <row r="69" spans="1:16" x14ac:dyDescent="0.25">
      <c r="A69" s="1"/>
      <c r="B69" t="s">
        <v>82</v>
      </c>
      <c r="C69" t="s">
        <v>24</v>
      </c>
      <c r="D69" s="3">
        <v>2.4583333333333335</v>
      </c>
      <c r="E69" s="5">
        <f t="shared" si="0"/>
        <v>1708</v>
      </c>
      <c r="F69">
        <v>-4.2540000000000001E-2</v>
      </c>
      <c r="G69">
        <f t="shared" si="1"/>
        <v>-1.0063</v>
      </c>
      <c r="H69">
        <f t="shared" si="2"/>
        <v>-1.0063</v>
      </c>
      <c r="I69" s="5">
        <f t="shared" si="3"/>
        <v>1708</v>
      </c>
      <c r="J69">
        <f>+H69+CF*F69*(1+($I69-1850)*slope/1000)+F69*hQc*COS(2*PI()*$I69/qbo+$L69)+F69*hQs*SIN(2*PI()*$I69/qbo+$L69)+F69*hCs*SIN(2*PI()*$I69/cw)+F69*hCc*COS(2*PI()*$I69/cw) +mix*F69*(hQc*COS(2*PI()*$I69/qbo+$L69)+hQs*SIN(2*PI()*$I69/qbo+$L69))*(hCs*SIN(2*PI()*$I69/cw)+hCc*COS(2*PI()*$I69/cw))</f>
        <v>-1.139519860339</v>
      </c>
      <c r="K69">
        <f>fQc*COS(2*PI()*$I69/qbo+$L69)+fQs*SIN(2*PI()*$I69/qbo+$L69)+fCs*SIN(2*PI()*$I69/cw)+fCc*COS(2*PI()*$I69/cw)</f>
        <v>-1.7979707661692417</v>
      </c>
      <c r="L69">
        <f>+QMA*COS(2*PI()*$I69/QM+QMP)</f>
        <v>0.59019751131185216</v>
      </c>
      <c r="P69">
        <f t="shared" si="4"/>
        <v>1</v>
      </c>
    </row>
    <row r="70" spans="1:16" x14ac:dyDescent="0.25">
      <c r="A70" s="1"/>
      <c r="B70" t="s">
        <v>83</v>
      </c>
      <c r="C70" t="s">
        <v>24</v>
      </c>
      <c r="D70" s="3">
        <v>2.5</v>
      </c>
      <c r="E70" s="5">
        <f t="shared" si="0"/>
        <v>1709</v>
      </c>
      <c r="F70">
        <v>-0.53747999999999996</v>
      </c>
      <c r="G70">
        <f t="shared" si="1"/>
        <v>2.1544999999999996</v>
      </c>
      <c r="H70">
        <f t="shared" si="2"/>
        <v>2.1544999999999996</v>
      </c>
      <c r="I70" s="5">
        <f t="shared" si="3"/>
        <v>1709</v>
      </c>
      <c r="J70">
        <f>+H70+CF*F70*(1+($I70-1850)*slope/1000)+F70*hQc*COS(2*PI()*$I70/qbo+$L70)+F70*hQs*SIN(2*PI()*$I70/qbo+$L70)+F70*hCs*SIN(2*PI()*$I70/cw)+F70*hCc*COS(2*PI()*$I70/cw) +mix*F70*(hQc*COS(2*PI()*$I70/qbo+$L70)+hQs*SIN(2*PI()*$I70/qbo+$L70))*(hCs*SIN(2*PI()*$I70/cw)+hCc*COS(2*PI()*$I70/cw))</f>
        <v>0.2179849538617567</v>
      </c>
      <c r="K70">
        <f>fQc*COS(2*PI()*$I70/qbo+$L70)+fQs*SIN(2*PI()*$I70/qbo+$L70)+fCs*SIN(2*PI()*$I70/cw)+fCc*COS(2*PI()*$I70/cw)</f>
        <v>0.33903285620274587</v>
      </c>
      <c r="L70">
        <f>+QMA*COS(2*PI()*$I70/QM+QMP)</f>
        <v>0.68427230511206527</v>
      </c>
      <c r="P70">
        <f t="shared" si="4"/>
        <v>1</v>
      </c>
    </row>
    <row r="71" spans="1:16" x14ac:dyDescent="0.25">
      <c r="A71" s="1"/>
      <c r="B71" t="s">
        <v>84</v>
      </c>
      <c r="C71" t="s">
        <v>24</v>
      </c>
      <c r="D71" s="3">
        <v>2.5416666666666665</v>
      </c>
      <c r="E71" s="5">
        <f t="shared" si="0"/>
        <v>1710</v>
      </c>
      <c r="F71">
        <v>1.12208</v>
      </c>
      <c r="G71">
        <f t="shared" si="1"/>
        <v>-2.5803599999999998</v>
      </c>
      <c r="H71">
        <f t="shared" si="2"/>
        <v>-2.5803599999999998</v>
      </c>
      <c r="I71" s="5">
        <f t="shared" si="3"/>
        <v>1710</v>
      </c>
      <c r="J71">
        <f>+H71+CF*F71*(1+($I71-1850)*slope/1000)+F71*hQc*COS(2*PI()*$I71/qbo+$L71)+F71*hQs*SIN(2*PI()*$I71/qbo+$L71)+F71*hCs*SIN(2*PI()*$I71/cw)+F71*hCc*COS(2*PI()*$I71/cw) +mix*F71*(hQc*COS(2*PI()*$I71/qbo+$L71)+hQs*SIN(2*PI()*$I71/qbo+$L71))*(hCs*SIN(2*PI()*$I71/cw)+hCc*COS(2*PI()*$I71/cw))</f>
        <v>1.9334991526823049</v>
      </c>
      <c r="K71">
        <f>fQc*COS(2*PI()*$I71/qbo+$L71)+fQs*SIN(2*PI()*$I71/qbo+$L71)+fCs*SIN(2*PI()*$I71/cw)+fCc*COS(2*PI()*$I71/cw)</f>
        <v>-0.17565000865856703</v>
      </c>
      <c r="L71">
        <f>+QMA*COS(2*PI()*$I71/QM+QMP)</f>
        <v>0.76529329784685818</v>
      </c>
      <c r="P71">
        <f t="shared" si="4"/>
        <v>0</v>
      </c>
    </row>
    <row r="72" spans="1:16" x14ac:dyDescent="0.25">
      <c r="A72" s="1"/>
      <c r="B72" t="s">
        <v>85</v>
      </c>
      <c r="C72" t="s">
        <v>24</v>
      </c>
      <c r="D72" s="3">
        <v>2.5833333333333335</v>
      </c>
      <c r="E72" s="5">
        <f t="shared" si="0"/>
        <v>1711</v>
      </c>
      <c r="F72">
        <v>0.20127999999999999</v>
      </c>
      <c r="G72">
        <f t="shared" si="1"/>
        <v>1.24187</v>
      </c>
      <c r="H72">
        <f t="shared" si="2"/>
        <v>1.24187</v>
      </c>
      <c r="I72" s="5">
        <f t="shared" si="3"/>
        <v>1711</v>
      </c>
      <c r="J72">
        <f>+H72+CF*F72*(1+($I72-1850)*slope/1000)+F72*hQc*COS(2*PI()*$I72/qbo+$L72)+F72*hQs*SIN(2*PI()*$I72/qbo+$L72)+F72*hCs*SIN(2*PI()*$I72/cw)+F72*hCc*COS(2*PI()*$I72/cw) +mix*F72*(hQc*COS(2*PI()*$I72/qbo+$L72)+hQs*SIN(2*PI()*$I72/qbo+$L72))*(hCs*SIN(2*PI()*$I72/cw)+hCc*COS(2*PI()*$I72/cw))</f>
        <v>1.5888075067674852</v>
      </c>
      <c r="K72">
        <f>fQc*COS(2*PI()*$I72/qbo+$L72)+fQs*SIN(2*PI()*$I72/qbo+$L72)+fCs*SIN(2*PI()*$I72/cw)+fCc*COS(2*PI()*$I72/cw)</f>
        <v>-1.7237418542095664</v>
      </c>
      <c r="L72">
        <f>+QMA*COS(2*PI()*$I72/QM+QMP)</f>
        <v>0.83171485934326383</v>
      </c>
      <c r="P72">
        <f t="shared" si="4"/>
        <v>0</v>
      </c>
    </row>
    <row r="73" spans="1:16" x14ac:dyDescent="0.25">
      <c r="A73" s="1"/>
      <c r="B73" t="s">
        <v>86</v>
      </c>
      <c r="C73" t="s">
        <v>24</v>
      </c>
      <c r="D73" s="3">
        <v>2.625</v>
      </c>
      <c r="E73" s="5">
        <f t="shared" si="0"/>
        <v>1712</v>
      </c>
      <c r="F73">
        <v>0.52234999999999998</v>
      </c>
      <c r="G73">
        <f t="shared" si="1"/>
        <v>-0.32424999999999993</v>
      </c>
      <c r="H73">
        <f t="shared" si="2"/>
        <v>-0.32424999999999993</v>
      </c>
      <c r="I73" s="5">
        <f t="shared" si="3"/>
        <v>1712</v>
      </c>
      <c r="J73">
        <f>+H73+CF*F73*(1+($I73-1850)*slope/1000)+F73*hQc*COS(2*PI()*$I73/qbo+$L73)+F73*hQs*SIN(2*PI()*$I73/qbo+$L73)+F73*hCs*SIN(2*PI()*$I73/cw)+F73*hCc*COS(2*PI()*$I73/cw) +mix*F73*(hQc*COS(2*PI()*$I73/qbo+$L73)+hQs*SIN(2*PI()*$I73/qbo+$L73))*(hCs*SIN(2*PI()*$I73/cw)+hCc*COS(2*PI()*$I73/cw))</f>
        <v>1.8075712999159741</v>
      </c>
      <c r="K73">
        <f>fQc*COS(2*PI()*$I73/qbo+$L73)+fQs*SIN(2*PI()*$I73/qbo+$L73)+fCs*SIN(2*PI()*$I73/cw)+fCc*COS(2*PI()*$I73/cw)</f>
        <v>2.2308052653171009</v>
      </c>
      <c r="L73">
        <f>+QMA*COS(2*PI()*$I73/QM+QMP)</f>
        <v>0.88226987146171465</v>
      </c>
      <c r="P73">
        <f t="shared" si="4"/>
        <v>1</v>
      </c>
    </row>
    <row r="74" spans="1:16" x14ac:dyDescent="0.25">
      <c r="A74" s="1"/>
      <c r="B74" t="s">
        <v>87</v>
      </c>
      <c r="C74" t="s">
        <v>24</v>
      </c>
      <c r="D74" s="3">
        <v>2.6666666666666665</v>
      </c>
      <c r="E74" s="5">
        <f t="shared" si="0"/>
        <v>1713</v>
      </c>
      <c r="F74">
        <v>0.51917000000000002</v>
      </c>
      <c r="G74">
        <f t="shared" si="1"/>
        <v>-0.61990000000000012</v>
      </c>
      <c r="H74">
        <f t="shared" si="2"/>
        <v>-0.61990000000000012</v>
      </c>
      <c r="I74" s="5">
        <f t="shared" si="3"/>
        <v>1713</v>
      </c>
      <c r="J74">
        <f>+H74+CF*F74*(1+($I74-1850)*slope/1000)+F74*hQc*COS(2*PI()*$I74/qbo+$L74)+F74*hQs*SIN(2*PI()*$I74/qbo+$L74)+F74*hCs*SIN(2*PI()*$I74/cw)+F74*hCc*COS(2*PI()*$I74/cw) +mix*F74*(hQc*COS(2*PI()*$I74/qbo+$L74)+hQs*SIN(2*PI()*$I74/qbo+$L74))*(hCs*SIN(2*PI()*$I74/cw)+hCc*COS(2*PI()*$I74/cw))</f>
        <v>1.4773874123515467</v>
      </c>
      <c r="K74">
        <f>fQc*COS(2*PI()*$I74/qbo+$L74)+fQs*SIN(2*PI()*$I74/qbo+$L74)+fCs*SIN(2*PI()*$I74/cw)+fCc*COS(2*PI()*$I74/cw)</f>
        <v>-2.4844928770772143</v>
      </c>
      <c r="L74">
        <f>+QMA*COS(2*PI()*$I74/QM+QMP)</f>
        <v>0.91599390079444021</v>
      </c>
      <c r="P74">
        <f t="shared" si="4"/>
        <v>0</v>
      </c>
    </row>
    <row r="75" spans="1:16" x14ac:dyDescent="0.25">
      <c r="A75" s="1"/>
      <c r="B75" t="s">
        <v>88</v>
      </c>
      <c r="C75" t="s">
        <v>24</v>
      </c>
      <c r="D75" s="3">
        <v>2.7083333333333335</v>
      </c>
      <c r="E75" s="5">
        <f t="shared" si="0"/>
        <v>1714</v>
      </c>
      <c r="F75">
        <v>-0.10391</v>
      </c>
      <c r="G75">
        <f t="shared" si="1"/>
        <v>-5.4999999999999938E-2</v>
      </c>
      <c r="H75">
        <f t="shared" si="2"/>
        <v>-5.4999999999999938E-2</v>
      </c>
      <c r="I75" s="5">
        <f t="shared" si="3"/>
        <v>1714</v>
      </c>
      <c r="J75">
        <f>+H75+CF*F75*(1+($I75-1850)*slope/1000)+F75*hQc*COS(2*PI()*$I75/qbo+$L75)+F75*hQs*SIN(2*PI()*$I75/qbo+$L75)+F75*hCs*SIN(2*PI()*$I75/cw)+F75*hCc*COS(2*PI()*$I75/cw) +mix*F75*(hQc*COS(2*PI()*$I75/qbo+$L75)+hQs*SIN(2*PI()*$I75/qbo+$L75))*(hCs*SIN(2*PI()*$I75/cw)+hCc*COS(2*PI()*$I75/cw))</f>
        <v>0.42859761652954215</v>
      </c>
      <c r="K75">
        <f>fQc*COS(2*PI()*$I75/qbo+$L75)+fQs*SIN(2*PI()*$I75/qbo+$L75)+fCs*SIN(2*PI()*$I75/cw)+fCc*COS(2*PI()*$I75/cw)</f>
        <v>3.305339765149891</v>
      </c>
      <c r="L75">
        <f>+QMA*COS(2*PI()*$I75/QM+QMP)</f>
        <v>0.93224359707465765</v>
      </c>
      <c r="P75">
        <f t="shared" si="4"/>
        <v>1</v>
      </c>
    </row>
    <row r="76" spans="1:16" x14ac:dyDescent="0.25">
      <c r="A76" s="1"/>
      <c r="B76" t="s">
        <v>89</v>
      </c>
      <c r="C76" t="s">
        <v>24</v>
      </c>
      <c r="D76" s="3">
        <v>2.75</v>
      </c>
      <c r="E76" s="5">
        <f t="shared" si="0"/>
        <v>1715</v>
      </c>
      <c r="F76">
        <v>-0.78198999999999996</v>
      </c>
      <c r="G76">
        <f t="shared" si="1"/>
        <v>0.26412999999999998</v>
      </c>
      <c r="H76">
        <f t="shared" si="2"/>
        <v>0.26412999999999998</v>
      </c>
      <c r="I76" s="5">
        <f t="shared" si="3"/>
        <v>1715</v>
      </c>
      <c r="J76">
        <f>+H76+CF*F76*(1+($I76-1850)*slope/1000)+F76*hQc*COS(2*PI()*$I76/qbo+$L76)+F76*hQs*SIN(2*PI()*$I76/qbo+$L76)+F76*hCs*SIN(2*PI()*$I76/cw)+F76*hCc*COS(2*PI()*$I76/cw) +mix*F76*(hQc*COS(2*PI()*$I76/qbo+$L76)+hQs*SIN(2*PI()*$I76/qbo+$L76))*(hCs*SIN(2*PI()*$I76/cw)+hCc*COS(2*PI()*$I76/cw))</f>
        <v>-4.4174657443881449</v>
      </c>
      <c r="K76">
        <f>fQc*COS(2*PI()*$I76/qbo+$L76)+fQs*SIN(2*PI()*$I76/qbo+$L76)+fCs*SIN(2*PI()*$I76/cw)+fCc*COS(2*PI()*$I76/cw)</f>
        <v>-1.8477297190203599</v>
      </c>
      <c r="L76">
        <f>+QMA*COS(2*PI()*$I76/QM+QMP)</f>
        <v>0.93070896631164479</v>
      </c>
      <c r="P76">
        <f t="shared" si="4"/>
        <v>1</v>
      </c>
    </row>
    <row r="77" spans="1:16" x14ac:dyDescent="0.25">
      <c r="A77" s="1"/>
      <c r="B77" t="s">
        <v>90</v>
      </c>
      <c r="C77" t="s">
        <v>24</v>
      </c>
      <c r="D77" s="3">
        <v>2.7916666666666665</v>
      </c>
      <c r="E77" s="5">
        <f t="shared" ref="E77:E140" si="5">+E76+1</f>
        <v>1716</v>
      </c>
      <c r="F77">
        <v>-1.19594</v>
      </c>
      <c r="G77">
        <f t="shared" ref="G77:G140" si="6">+(F78-F77)-(F77-F76)</f>
        <v>1.0762200000000002</v>
      </c>
      <c r="H77">
        <f t="shared" ref="H77:H140" si="7">+G77</f>
        <v>1.0762200000000002</v>
      </c>
      <c r="I77" s="5">
        <f t="shared" si="3"/>
        <v>1716</v>
      </c>
      <c r="J77">
        <f>+H77+CF*F77*(1+($I77-1850)*slope/1000)+F77*hQc*COS(2*PI()*$I77/qbo+$L77)+F77*hQs*SIN(2*PI()*$I77/qbo+$L77)+F77*hCs*SIN(2*PI()*$I77/cw)+F77*hCc*COS(2*PI()*$I77/cw) +mix*F77*(hQc*COS(2*PI()*$I77/qbo+$L77)+hQs*SIN(2*PI()*$I77/qbo+$L77))*(hCs*SIN(2*PI()*$I77/cw)+hCc*COS(2*PI()*$I77/cw))</f>
        <v>2.5426566505734214</v>
      </c>
      <c r="K77">
        <f>fQc*COS(2*PI()*$I77/qbo+$L77)+fQs*SIN(2*PI()*$I77/qbo+$L77)+fCs*SIN(2*PI()*$I77/cw)+fCc*COS(2*PI()*$I77/cw)</f>
        <v>1.4105473236871606</v>
      </c>
      <c r="L77">
        <f>+QMA*COS(2*PI()*$I77/QM+QMP)</f>
        <v>0.91141928451808429</v>
      </c>
      <c r="P77">
        <f t="shared" si="4"/>
        <v>1</v>
      </c>
    </row>
    <row r="78" spans="1:16" x14ac:dyDescent="0.25">
      <c r="A78" s="1"/>
      <c r="B78" t="s">
        <v>91</v>
      </c>
      <c r="C78" t="s">
        <v>24</v>
      </c>
      <c r="D78" s="3">
        <v>2.8333333333333335</v>
      </c>
      <c r="E78" s="5">
        <f t="shared" si="5"/>
        <v>1717</v>
      </c>
      <c r="F78">
        <v>-0.53366999999999998</v>
      </c>
      <c r="G78">
        <f t="shared" si="6"/>
        <v>0.85764999999999991</v>
      </c>
      <c r="H78">
        <f t="shared" si="7"/>
        <v>0.85764999999999991</v>
      </c>
      <c r="I78" s="5">
        <f t="shared" ref="I78:I141" si="8">+E78</f>
        <v>1717</v>
      </c>
      <c r="J78">
        <f>+H78+CF*F78*(1+($I78-1850)*slope/1000)+F78*hQc*COS(2*PI()*$I78/qbo+$L78)+F78*hQs*SIN(2*PI()*$I78/qbo+$L78)+F78*hCs*SIN(2*PI()*$I78/cw)+F78*hCc*COS(2*PI()*$I78/cw) +mix*F78*(hQc*COS(2*PI()*$I78/qbo+$L78)+hQs*SIN(2*PI()*$I78/qbo+$L78))*(hCs*SIN(2*PI()*$I78/cw)+hCc*COS(2*PI()*$I78/cw))</f>
        <v>-0.21746356852340956</v>
      </c>
      <c r="K78">
        <f>fQc*COS(2*PI()*$I78/qbo+$L78)+fQs*SIN(2*PI()*$I78/qbo+$L78)+fCs*SIN(2*PI()*$I78/cw)+fCc*COS(2*PI()*$I78/cw)</f>
        <v>-3.6586509040628941E-2</v>
      </c>
      <c r="L78">
        <f>+QMA*COS(2*PI()*$I78/QM+QMP)</f>
        <v>0.87474253921425849</v>
      </c>
      <c r="P78">
        <f t="shared" ref="P78:P141" si="9">+IF(J78*K78&gt;0,1, 0)</f>
        <v>1</v>
      </c>
    </row>
    <row r="79" spans="1:16" x14ac:dyDescent="0.25">
      <c r="A79" s="1"/>
      <c r="B79" t="s">
        <v>92</v>
      </c>
      <c r="C79" t="s">
        <v>24</v>
      </c>
      <c r="D79" s="3">
        <v>2.875</v>
      </c>
      <c r="E79" s="5">
        <f t="shared" si="5"/>
        <v>1718</v>
      </c>
      <c r="F79">
        <v>0.98624999999999996</v>
      </c>
      <c r="G79">
        <f t="shared" si="6"/>
        <v>-1.81474</v>
      </c>
      <c r="H79">
        <f t="shared" si="7"/>
        <v>-1.81474</v>
      </c>
      <c r="I79" s="5">
        <f t="shared" si="8"/>
        <v>1718</v>
      </c>
      <c r="J79">
        <f>+H79+CF*F79*(1+($I79-1850)*slope/1000)+F79*hQc*COS(2*PI()*$I79/qbo+$L79)+F79*hQs*SIN(2*PI()*$I79/qbo+$L79)+F79*hCs*SIN(2*PI()*$I79/cw)+F79*hCc*COS(2*PI()*$I79/cw) +mix*F79*(hQc*COS(2*PI()*$I79/qbo+$L79)+hQs*SIN(2*PI()*$I79/qbo+$L79))*(hCs*SIN(2*PI()*$I79/cw)+hCc*COS(2*PI()*$I79/cw))</f>
        <v>-1.0410765165608238E-2</v>
      </c>
      <c r="K79">
        <f>fQc*COS(2*PI()*$I79/qbo+$L79)+fQs*SIN(2*PI()*$I79/qbo+$L79)+fCs*SIN(2*PI()*$I79/cw)+fCc*COS(2*PI()*$I79/cw)</f>
        <v>-1.9499239536631097</v>
      </c>
      <c r="L79">
        <f>+QMA*COS(2*PI()*$I79/QM+QMP)</f>
        <v>0.82137840936325979</v>
      </c>
      <c r="P79">
        <f t="shared" si="9"/>
        <v>1</v>
      </c>
    </row>
    <row r="80" spans="1:16" x14ac:dyDescent="0.25">
      <c r="A80" s="1"/>
      <c r="B80" t="s">
        <v>93</v>
      </c>
      <c r="C80" t="s">
        <v>24</v>
      </c>
      <c r="D80" s="3">
        <v>2.9166666666666665</v>
      </c>
      <c r="E80" s="5">
        <f t="shared" si="5"/>
        <v>1719</v>
      </c>
      <c r="F80">
        <v>0.69142999999999999</v>
      </c>
      <c r="G80">
        <f t="shared" si="6"/>
        <v>0.23932999999999993</v>
      </c>
      <c r="H80">
        <f t="shared" si="7"/>
        <v>0.23932999999999993</v>
      </c>
      <c r="I80" s="5">
        <f t="shared" si="8"/>
        <v>1719</v>
      </c>
      <c r="J80">
        <f>+H80+CF*F80*(1+($I80-1850)*slope/1000)+F80*hQc*COS(2*PI()*$I80/qbo+$L80)+F80*hQs*SIN(2*PI()*$I80/qbo+$L80)+F80*hCs*SIN(2*PI()*$I80/cw)+F80*hCc*COS(2*PI()*$I80/cw) +mix*F80*(hQc*COS(2*PI()*$I80/qbo+$L80)+hQs*SIN(2*PI()*$I80/qbo+$L80))*(hCs*SIN(2*PI()*$I80/cw)+hCc*COS(2*PI()*$I80/cw))</f>
        <v>5.4818882435579379</v>
      </c>
      <c r="K80">
        <f>fQc*COS(2*PI()*$I80/qbo+$L80)+fQs*SIN(2*PI()*$I80/qbo+$L80)+fCs*SIN(2*PI()*$I80/cw)+fCc*COS(2*PI()*$I80/cw)</f>
        <v>2.0452027186113257</v>
      </c>
      <c r="L80">
        <f>+QMA*COS(2*PI()*$I80/QM+QMP)</f>
        <v>0.75234491765854683</v>
      </c>
      <c r="P80">
        <f t="shared" si="9"/>
        <v>1</v>
      </c>
    </row>
    <row r="81" spans="1:16" x14ac:dyDescent="0.25">
      <c r="A81" s="1"/>
      <c r="B81" t="s">
        <v>94</v>
      </c>
      <c r="C81" t="s">
        <v>24</v>
      </c>
      <c r="D81" s="3">
        <v>2.9583333333333335</v>
      </c>
      <c r="E81" s="5">
        <f t="shared" si="5"/>
        <v>1720</v>
      </c>
      <c r="F81">
        <v>0.63593999999999995</v>
      </c>
      <c r="G81">
        <f t="shared" si="6"/>
        <v>0.26335000000000008</v>
      </c>
      <c r="H81">
        <f t="shared" si="7"/>
        <v>0.26335000000000008</v>
      </c>
      <c r="I81" s="5">
        <f t="shared" si="8"/>
        <v>1720</v>
      </c>
      <c r="J81">
        <f>+H81+CF*F81*(1+($I81-1850)*slope/1000)+F81*hQc*COS(2*PI()*$I81/qbo+$L81)+F81*hQs*SIN(2*PI()*$I81/qbo+$L81)+F81*hCs*SIN(2*PI()*$I81/cw)+F81*hCc*COS(2*PI()*$I81/cw) +mix*F81*(hQc*COS(2*PI()*$I81/qbo+$L81)+hQs*SIN(2*PI()*$I81/qbo+$L81))*(hCs*SIN(2*PI()*$I81/cw)+hCc*COS(2*PI()*$I81/cw))</f>
        <v>-8.1018911245500647E-2</v>
      </c>
      <c r="K81">
        <f>fQc*COS(2*PI()*$I81/qbo+$L81)+fQs*SIN(2*PI()*$I81/qbo+$L81)+fCs*SIN(2*PI()*$I81/cw)+fCc*COS(2*PI()*$I81/cw)</f>
        <v>-3.1741815620545526</v>
      </c>
      <c r="L81">
        <f>+QMA*COS(2*PI()*$I81/QM+QMP)</f>
        <v>0.66895900979680556</v>
      </c>
      <c r="P81">
        <f t="shared" si="9"/>
        <v>1</v>
      </c>
    </row>
    <row r="82" spans="1:16" x14ac:dyDescent="0.25">
      <c r="A82" s="1"/>
      <c r="B82" t="s">
        <v>95</v>
      </c>
      <c r="C82" t="s">
        <v>24</v>
      </c>
      <c r="D82" s="3">
        <v>3</v>
      </c>
      <c r="E82" s="5">
        <f t="shared" si="5"/>
        <v>1721</v>
      </c>
      <c r="F82">
        <v>0.84379999999999999</v>
      </c>
      <c r="G82">
        <f t="shared" si="6"/>
        <v>-0.45996000000000004</v>
      </c>
      <c r="H82">
        <f t="shared" si="7"/>
        <v>-0.45996000000000004</v>
      </c>
      <c r="I82" s="5">
        <f t="shared" si="8"/>
        <v>1721</v>
      </c>
      <c r="J82">
        <f>+H82+CF*F82*(1+($I82-1850)*slope/1000)+F82*hQc*COS(2*PI()*$I82/qbo+$L82)+F82*hQs*SIN(2*PI()*$I82/qbo+$L82)+F82*hCs*SIN(2*PI()*$I82/cw)+F82*hCc*COS(2*PI()*$I82/cw) +mix*F82*(hQc*COS(2*PI()*$I82/qbo+$L82)+hQs*SIN(2*PI()*$I82/qbo+$L82))*(hCs*SIN(2*PI()*$I82/cw)+hCc*COS(2*PI()*$I82/cw))</f>
        <v>2.4756665021148603</v>
      </c>
      <c r="K82">
        <f>fQc*COS(2*PI()*$I82/qbo+$L82)+fQs*SIN(2*PI()*$I82/qbo+$L82)+fCs*SIN(2*PI()*$I82/cw)+fCc*COS(2*PI()*$I82/cw)</f>
        <v>2.3975197401038604</v>
      </c>
      <c r="L82">
        <f>+QMA*COS(2*PI()*$I82/QM+QMP)</f>
        <v>0.57281143122357414</v>
      </c>
      <c r="P82">
        <f t="shared" si="9"/>
        <v>1</v>
      </c>
    </row>
    <row r="83" spans="1:16" x14ac:dyDescent="0.25">
      <c r="A83" s="1"/>
      <c r="B83" t="s">
        <v>96</v>
      </c>
      <c r="C83" t="s">
        <v>24</v>
      </c>
      <c r="D83" s="3">
        <v>3.0416666666666665</v>
      </c>
      <c r="E83" s="5">
        <f t="shared" si="5"/>
        <v>1722</v>
      </c>
      <c r="F83">
        <v>0.5917</v>
      </c>
      <c r="G83">
        <f t="shared" si="6"/>
        <v>1.0697000000000001</v>
      </c>
      <c r="H83">
        <f t="shared" si="7"/>
        <v>1.0697000000000001</v>
      </c>
      <c r="I83" s="5">
        <f t="shared" si="8"/>
        <v>1722</v>
      </c>
      <c r="J83">
        <f>+H83+CF*F83*(1+($I83-1850)*slope/1000)+F83*hQc*COS(2*PI()*$I83/qbo+$L83)+F83*hQs*SIN(2*PI()*$I83/qbo+$L83)+F83*hCs*SIN(2*PI()*$I83/cw)+F83*hCc*COS(2*PI()*$I83/cw) +mix*F83*(hQc*COS(2*PI()*$I83/qbo+$L83)+hQs*SIN(2*PI()*$I83/qbo+$L83))*(hCs*SIN(2*PI()*$I83/cw)+hCc*COS(2*PI()*$I83/cw))</f>
        <v>2.7155209306376085</v>
      </c>
      <c r="K83">
        <f>fQc*COS(2*PI()*$I83/qbo+$L83)+fQs*SIN(2*PI()*$I83/qbo+$L83)+fCs*SIN(2*PI()*$I83/cw)+fCc*COS(2*PI()*$I83/cw)</f>
        <v>-0.80044280975190918</v>
      </c>
      <c r="L83">
        <f>+QMA*COS(2*PI()*$I83/QM+QMP)</f>
        <v>0.4657363806259377</v>
      </c>
      <c r="P83">
        <f t="shared" si="9"/>
        <v>0</v>
      </c>
    </row>
    <row r="84" spans="1:16" x14ac:dyDescent="0.25">
      <c r="A84" s="1"/>
      <c r="B84" t="s">
        <v>97</v>
      </c>
      <c r="C84" t="s">
        <v>24</v>
      </c>
      <c r="D84" s="3">
        <v>3.0833333333333335</v>
      </c>
      <c r="E84" s="5">
        <f t="shared" si="5"/>
        <v>1723</v>
      </c>
      <c r="F84">
        <v>1.4093</v>
      </c>
      <c r="G84">
        <f t="shared" si="6"/>
        <v>-2.00299</v>
      </c>
      <c r="H84">
        <f t="shared" si="7"/>
        <v>-2.00299</v>
      </c>
      <c r="I84" s="5">
        <f t="shared" si="8"/>
        <v>1723</v>
      </c>
      <c r="J84">
        <f>+H84+CF*F84*(1+($I84-1850)*slope/1000)+F84*hQc*COS(2*PI()*$I84/qbo+$L84)+F84*hQs*SIN(2*PI()*$I84/qbo+$L84)+F84*hCs*SIN(2*PI()*$I84/cw)+F84*hCc*COS(2*PI()*$I84/cw) +mix*F84*(hQc*COS(2*PI()*$I84/qbo+$L84)+hQs*SIN(2*PI()*$I84/qbo+$L84))*(hCs*SIN(2*PI()*$I84/cw)+hCc*COS(2*PI()*$I84/cw))</f>
        <v>4.5157884465046871E-3</v>
      </c>
      <c r="K84">
        <f>fQc*COS(2*PI()*$I84/qbo+$L84)+fQs*SIN(2*PI()*$I84/qbo+$L84)+fCs*SIN(2*PI()*$I84/cw)+fCc*COS(2*PI()*$I84/cw)</f>
        <v>3.3233557696020946E-2</v>
      </c>
      <c r="L84">
        <f>+QMA*COS(2*PI()*$I84/QM+QMP)</f>
        <v>0.34977651908940455</v>
      </c>
      <c r="P84">
        <f t="shared" si="9"/>
        <v>1</v>
      </c>
    </row>
    <row r="85" spans="1:16" x14ac:dyDescent="0.25">
      <c r="A85" s="1"/>
      <c r="B85" t="s">
        <v>98</v>
      </c>
      <c r="C85" t="s">
        <v>24</v>
      </c>
      <c r="D85" s="3">
        <v>3.125</v>
      </c>
      <c r="E85" s="5">
        <f t="shared" si="5"/>
        <v>1724</v>
      </c>
      <c r="F85">
        <v>0.22391</v>
      </c>
      <c r="G85">
        <f t="shared" si="6"/>
        <v>-0.26653000000000016</v>
      </c>
      <c r="H85">
        <f t="shared" si="7"/>
        <v>-0.26653000000000016</v>
      </c>
      <c r="I85" s="5">
        <f t="shared" si="8"/>
        <v>1724</v>
      </c>
      <c r="J85">
        <f>+H85+CF*F85*(1+($I85-1850)*slope/1000)+F85*hQc*COS(2*PI()*$I85/qbo+$L85)+F85*hQs*SIN(2*PI()*$I85/qbo+$L85)+F85*hCs*SIN(2*PI()*$I85/cw)+F85*hCc*COS(2*PI()*$I85/cw) +mix*F85*(hQc*COS(2*PI()*$I85/qbo+$L85)+hQs*SIN(2*PI()*$I85/qbo+$L85))*(hCs*SIN(2*PI()*$I85/cw)+hCc*COS(2*PI()*$I85/cw))</f>
        <v>-1.0998317234579023</v>
      </c>
      <c r="K85">
        <f>fQc*COS(2*PI()*$I85/qbo+$L85)+fQs*SIN(2*PI()*$I85/qbo+$L85)+fCs*SIN(2*PI()*$I85/cw)+fCc*COS(2*PI()*$I85/cw)</f>
        <v>2.3437691502857554</v>
      </c>
      <c r="L85">
        <f>+QMA*COS(2*PI()*$I85/QM+QMP)</f>
        <v>0.22714400243668156</v>
      </c>
      <c r="P85">
        <f t="shared" si="9"/>
        <v>0</v>
      </c>
    </row>
    <row r="86" spans="1:16" x14ac:dyDescent="0.25">
      <c r="A86" s="1"/>
      <c r="B86" t="s">
        <v>99</v>
      </c>
      <c r="C86" t="s">
        <v>24</v>
      </c>
      <c r="D86" s="3">
        <v>3.1666666666666665</v>
      </c>
      <c r="E86" s="5">
        <f t="shared" si="5"/>
        <v>1725</v>
      </c>
      <c r="F86">
        <v>-1.22801</v>
      </c>
      <c r="G86">
        <f t="shared" si="6"/>
        <v>4.0070200000000007</v>
      </c>
      <c r="H86">
        <f t="shared" si="7"/>
        <v>4.0070200000000007</v>
      </c>
      <c r="I86" s="5">
        <f t="shared" si="8"/>
        <v>1725</v>
      </c>
      <c r="J86">
        <f>+H86+CF*F86*(1+($I86-1850)*slope/1000)+F86*hQc*COS(2*PI()*$I86/qbo+$L86)+F86*hQs*SIN(2*PI()*$I86/qbo+$L86)+F86*hCs*SIN(2*PI()*$I86/cw)+F86*hCc*COS(2*PI()*$I86/cw) +mix*F86*(hQc*COS(2*PI()*$I86/qbo+$L86)+hQs*SIN(2*PI()*$I86/qbo+$L86))*(hCs*SIN(2*PI()*$I86/cw)+hCc*COS(2*PI()*$I86/cw))</f>
        <v>-2.5434238309367729</v>
      </c>
      <c r="K86">
        <f>fQc*COS(2*PI()*$I86/qbo+$L86)+fQs*SIN(2*PI()*$I86/qbo+$L86)+fCs*SIN(2*PI()*$I86/cw)+fCc*COS(2*PI()*$I86/cw)</f>
        <v>-2.6601359424308995</v>
      </c>
      <c r="L86">
        <f>+QMA*COS(2*PI()*$I86/QM+QMP)</f>
        <v>0.10017828013055143</v>
      </c>
      <c r="P86">
        <f t="shared" si="9"/>
        <v>1</v>
      </c>
    </row>
    <row r="87" spans="1:16" x14ac:dyDescent="0.25">
      <c r="A87" s="1"/>
      <c r="B87" t="s">
        <v>100</v>
      </c>
      <c r="C87" t="s">
        <v>24</v>
      </c>
      <c r="D87" s="3">
        <v>3.2083333333333335</v>
      </c>
      <c r="E87" s="5">
        <f t="shared" si="5"/>
        <v>1726</v>
      </c>
      <c r="F87">
        <v>1.3270900000000001</v>
      </c>
      <c r="G87">
        <f t="shared" si="6"/>
        <v>-2.7964900000000004</v>
      </c>
      <c r="H87">
        <f t="shared" si="7"/>
        <v>-2.7964900000000004</v>
      </c>
      <c r="I87" s="5">
        <f t="shared" si="8"/>
        <v>1726</v>
      </c>
      <c r="J87">
        <f>+H87+CF*F87*(1+($I87-1850)*slope/1000)+F87*hQc*COS(2*PI()*$I87/qbo+$L87)+F87*hQs*SIN(2*PI()*$I87/qbo+$L87)+F87*hCs*SIN(2*PI()*$I87/cw)+F87*hCc*COS(2*PI()*$I87/cw) +mix*F87*(hQc*COS(2*PI()*$I87/qbo+$L87)+hQs*SIN(2*PI()*$I87/qbo+$L87))*(hCs*SIN(2*PI()*$I87/cw)+hCc*COS(2*PI()*$I87/cw))</f>
        <v>-0.89080571676256459</v>
      </c>
      <c r="K87">
        <f>fQc*COS(2*PI()*$I87/qbo+$L87)+fQs*SIN(2*PI()*$I87/qbo+$L87)+fCs*SIN(2*PI()*$I87/cw)+fCc*COS(2*PI()*$I87/cw)</f>
        <v>2.4919950280548586</v>
      </c>
      <c r="L87">
        <f>+QMA*COS(2*PI()*$I87/QM+QMP)</f>
        <v>-2.8698534192821271E-2</v>
      </c>
      <c r="P87">
        <f t="shared" si="9"/>
        <v>0</v>
      </c>
    </row>
    <row r="88" spans="1:16" x14ac:dyDescent="0.25">
      <c r="A88" s="1"/>
      <c r="B88" t="s">
        <v>101</v>
      </c>
      <c r="C88" t="s">
        <v>24</v>
      </c>
      <c r="D88" s="3">
        <v>3.25</v>
      </c>
      <c r="E88" s="5">
        <f t="shared" si="5"/>
        <v>1727</v>
      </c>
      <c r="F88">
        <v>1.0857000000000001</v>
      </c>
      <c r="G88">
        <f t="shared" si="6"/>
        <v>-1.32742</v>
      </c>
      <c r="H88">
        <f t="shared" si="7"/>
        <v>-1.32742</v>
      </c>
      <c r="I88" s="5">
        <f t="shared" si="8"/>
        <v>1727</v>
      </c>
      <c r="J88">
        <f>+H88+CF*F88*(1+($I88-1850)*slope/1000)+F88*hQc*COS(2*PI()*$I88/qbo+$L88)+F88*hQs*SIN(2*PI()*$I88/qbo+$L88)+F88*hCs*SIN(2*PI()*$I88/cw)+F88*hCc*COS(2*PI()*$I88/cw) +mix*F88*(hQc*COS(2*PI()*$I88/qbo+$L88)+hQs*SIN(2*PI()*$I88/qbo+$L88))*(hCs*SIN(2*PI()*$I88/cw)+hCc*COS(2*PI()*$I88/cw))</f>
        <v>-7.415626540685949E-3</v>
      </c>
      <c r="K88">
        <f>fQc*COS(2*PI()*$I88/qbo+$L88)+fQs*SIN(2*PI()*$I88/qbo+$L88)+fCs*SIN(2*PI()*$I88/cw)+fCc*COS(2*PI()*$I88/cw)</f>
        <v>-2.2020847222991078</v>
      </c>
      <c r="L88">
        <f>+QMA*COS(2*PI()*$I88/QM+QMP)</f>
        <v>-0.15702786916707509</v>
      </c>
      <c r="P88">
        <f t="shared" si="9"/>
        <v>1</v>
      </c>
    </row>
    <row r="89" spans="1:16" x14ac:dyDescent="0.25">
      <c r="A89" s="1"/>
      <c r="B89" t="s">
        <v>102</v>
      </c>
      <c r="C89" t="s">
        <v>24</v>
      </c>
      <c r="D89" s="3">
        <v>3.2916666666666665</v>
      </c>
      <c r="E89" s="5">
        <f t="shared" si="5"/>
        <v>1728</v>
      </c>
      <c r="F89">
        <v>-0.48310999999999998</v>
      </c>
      <c r="G89">
        <f t="shared" si="6"/>
        <v>1.4823</v>
      </c>
      <c r="H89">
        <f t="shared" si="7"/>
        <v>1.4823</v>
      </c>
      <c r="I89" s="5">
        <f t="shared" si="8"/>
        <v>1728</v>
      </c>
      <c r="J89">
        <f>+H89+CF*F89*(1+($I89-1850)*slope/1000)+F89*hQc*COS(2*PI()*$I89/qbo+$L89)+F89*hQs*SIN(2*PI()*$I89/qbo+$L89)+F89*hCs*SIN(2*PI()*$I89/cw)+F89*hCc*COS(2*PI()*$I89/cw) +mix*F89*(hQc*COS(2*PI()*$I89/qbo+$L89)+hQs*SIN(2*PI()*$I89/qbo+$L89))*(hCs*SIN(2*PI()*$I89/cw)+hCc*COS(2*PI()*$I89/cw))</f>
        <v>-0.4739601665660621</v>
      </c>
      <c r="K89">
        <f>fQc*COS(2*PI()*$I89/qbo+$L89)+fQs*SIN(2*PI()*$I89/qbo+$L89)+fCs*SIN(2*PI()*$I89/cw)+fCc*COS(2*PI()*$I89/cw)</f>
        <v>-0.26826417655151175</v>
      </c>
      <c r="L89">
        <f>+QMA*COS(2*PI()*$I89/QM+QMP)</f>
        <v>-0.28236159764002722</v>
      </c>
      <c r="P89">
        <f t="shared" si="9"/>
        <v>1</v>
      </c>
    </row>
    <row r="90" spans="1:16" x14ac:dyDescent="0.25">
      <c r="A90" s="1"/>
      <c r="B90" t="s">
        <v>103</v>
      </c>
      <c r="C90" t="s">
        <v>24</v>
      </c>
      <c r="D90" s="3">
        <v>3.3333333333333335</v>
      </c>
      <c r="E90" s="5">
        <f t="shared" si="5"/>
        <v>1729</v>
      </c>
      <c r="F90">
        <v>-0.56962000000000002</v>
      </c>
      <c r="G90">
        <f t="shared" si="6"/>
        <v>5.3220000000000101E-2</v>
      </c>
      <c r="H90">
        <f t="shared" si="7"/>
        <v>5.3220000000000101E-2</v>
      </c>
      <c r="I90" s="5">
        <f t="shared" si="8"/>
        <v>1729</v>
      </c>
      <c r="J90">
        <f>+H90+CF*F90*(1+($I90-1850)*slope/1000)+F90*hQc*COS(2*PI()*$I90/qbo+$L90)+F90*hQs*SIN(2*PI()*$I90/qbo+$L90)+F90*hCs*SIN(2*PI()*$I90/cw)+F90*hCc*COS(2*PI()*$I90/cw) +mix*F90*(hQc*COS(2*PI()*$I90/qbo+$L90)+hQs*SIN(2*PI()*$I90/qbo+$L90))*(hCs*SIN(2*PI()*$I90/cw)+hCc*COS(2*PI()*$I90/cw))</f>
        <v>-2.7479756480798194</v>
      </c>
      <c r="K90">
        <f>fQc*COS(2*PI()*$I90/qbo+$L90)+fQs*SIN(2*PI()*$I90/qbo+$L90)+fCs*SIN(2*PI()*$I90/cw)+fCc*COS(2*PI()*$I90/cw)</f>
        <v>1.1243386197597167</v>
      </c>
      <c r="L90">
        <f>+QMA*COS(2*PI()*$I90/QM+QMP)</f>
        <v>-0.40230873937469047</v>
      </c>
      <c r="P90">
        <f t="shared" si="9"/>
        <v>0</v>
      </c>
    </row>
    <row r="91" spans="1:16" x14ac:dyDescent="0.25">
      <c r="A91" s="1"/>
      <c r="B91" t="s">
        <v>104</v>
      </c>
      <c r="C91" t="s">
        <v>24</v>
      </c>
      <c r="D91" s="3">
        <v>3.375</v>
      </c>
      <c r="E91" s="5">
        <f t="shared" si="5"/>
        <v>1730</v>
      </c>
      <c r="F91">
        <v>-0.60290999999999995</v>
      </c>
      <c r="G91">
        <f t="shared" si="6"/>
        <v>0.26333999999999985</v>
      </c>
      <c r="H91">
        <f t="shared" si="7"/>
        <v>0.26333999999999985</v>
      </c>
      <c r="I91" s="5">
        <f t="shared" si="8"/>
        <v>1730</v>
      </c>
      <c r="J91">
        <f>+H91+CF*F91*(1+($I91-1850)*slope/1000)+F91*hQc*COS(2*PI()*$I91/qbo+$L91)+F91*hQs*SIN(2*PI()*$I91/qbo+$L91)+F91*hCs*SIN(2*PI()*$I91/cw)+F91*hCc*COS(2*PI()*$I91/cw) +mix*F91*(hQc*COS(2*PI()*$I91/qbo+$L91)+hQs*SIN(2*PI()*$I91/qbo+$L91))*(hCs*SIN(2*PI()*$I91/cw)+hCc*COS(2*PI()*$I91/cw))</f>
        <v>-0.93138697266832027</v>
      </c>
      <c r="K91">
        <f>fQc*COS(2*PI()*$I91/qbo+$L91)+fQs*SIN(2*PI()*$I91/qbo+$L91)+fCs*SIN(2*PI()*$I91/cw)+fCc*COS(2*PI()*$I91/cw)</f>
        <v>-2.4423534959541042</v>
      </c>
      <c r="L91">
        <f>+QMA*COS(2*PI()*$I91/QM+QMP)</f>
        <v>-0.51458107356351068</v>
      </c>
      <c r="P91">
        <f t="shared" si="9"/>
        <v>1</v>
      </c>
    </row>
    <row r="92" spans="1:16" x14ac:dyDescent="0.25">
      <c r="A92" s="1"/>
      <c r="B92" t="s">
        <v>105</v>
      </c>
      <c r="C92" t="s">
        <v>24</v>
      </c>
      <c r="D92" s="3">
        <v>3.4166666666666665</v>
      </c>
      <c r="E92" s="5">
        <f t="shared" si="5"/>
        <v>1731</v>
      </c>
      <c r="F92">
        <v>-0.37286000000000002</v>
      </c>
      <c r="G92">
        <f t="shared" si="6"/>
        <v>-0.2749299999999999</v>
      </c>
      <c r="H92">
        <f t="shared" si="7"/>
        <v>-0.2749299999999999</v>
      </c>
      <c r="I92" s="5">
        <f t="shared" si="8"/>
        <v>1731</v>
      </c>
      <c r="J92">
        <f>+H92+CF*F92*(1+($I92-1850)*slope/1000)+F92*hQc*COS(2*PI()*$I92/qbo+$L92)+F92*hQs*SIN(2*PI()*$I92/qbo+$L92)+F92*hCs*SIN(2*PI()*$I92/cw)+F92*hCc*COS(2*PI()*$I92/cw) +mix*F92*(hQc*COS(2*PI()*$I92/qbo+$L92)+hQs*SIN(2*PI()*$I92/qbo+$L92))*(hCs*SIN(2*PI()*$I92/cw)+hCc*COS(2*PI()*$I92/cw))</f>
        <v>0.55461193574318968</v>
      </c>
      <c r="K92">
        <f>fQc*COS(2*PI()*$I92/qbo+$L92)+fQs*SIN(2*PI()*$I92/qbo+$L92)+fCs*SIN(2*PI()*$I92/cw)+fCc*COS(2*PI()*$I92/cw)</f>
        <v>3.24758614063719</v>
      </c>
      <c r="L92">
        <f>+QMA*COS(2*PI()*$I92/QM+QMP)</f>
        <v>-0.61703679101047315</v>
      </c>
      <c r="P92">
        <f t="shared" si="9"/>
        <v>1</v>
      </c>
    </row>
    <row r="93" spans="1:16" x14ac:dyDescent="0.25">
      <c r="A93" s="1"/>
      <c r="B93" t="s">
        <v>106</v>
      </c>
      <c r="C93" t="s">
        <v>24</v>
      </c>
      <c r="D93" s="3">
        <v>3.4583333333333335</v>
      </c>
      <c r="E93" s="5">
        <f t="shared" si="5"/>
        <v>1732</v>
      </c>
      <c r="F93">
        <v>-0.41774</v>
      </c>
      <c r="G93">
        <f t="shared" si="6"/>
        <v>-1.03712</v>
      </c>
      <c r="H93">
        <f t="shared" si="7"/>
        <v>-1.03712</v>
      </c>
      <c r="I93" s="5">
        <f t="shared" si="8"/>
        <v>1732</v>
      </c>
      <c r="J93">
        <f>+H93+CF*F93*(1+($I93-1850)*slope/1000)+F93*hQc*COS(2*PI()*$I93/qbo+$L93)+F93*hQs*SIN(2*PI()*$I93/qbo+$L93)+F93*hCs*SIN(2*PI()*$I93/cw)+F93*hCc*COS(2*PI()*$I93/cw) +mix*F93*(hQc*COS(2*PI()*$I93/qbo+$L93)+hQs*SIN(2*PI()*$I93/qbo+$L93))*(hCs*SIN(2*PI()*$I93/cw)+hCc*COS(2*PI()*$I93/cw))</f>
        <v>-3.4282451885698491</v>
      </c>
      <c r="K93">
        <f>fQc*COS(2*PI()*$I93/qbo+$L93)+fQs*SIN(2*PI()*$I93/qbo+$L93)+fCs*SIN(2*PI()*$I93/cw)+fCc*COS(2*PI()*$I93/cw)</f>
        <v>-1.8669783319130215</v>
      </c>
      <c r="L93">
        <f>+QMA*COS(2*PI()*$I93/QM+QMP)</f>
        <v>-0.70772135323206919</v>
      </c>
      <c r="P93">
        <f t="shared" si="9"/>
        <v>1</v>
      </c>
    </row>
    <row r="94" spans="1:16" x14ac:dyDescent="0.25">
      <c r="A94" s="1"/>
      <c r="B94" t="s">
        <v>107</v>
      </c>
      <c r="C94" t="s">
        <v>24</v>
      </c>
      <c r="D94" s="3">
        <v>3.5</v>
      </c>
      <c r="E94" s="5">
        <f t="shared" si="5"/>
        <v>1733</v>
      </c>
      <c r="F94">
        <v>-1.4997400000000001</v>
      </c>
      <c r="G94">
        <f t="shared" si="6"/>
        <v>2.6493099999999998</v>
      </c>
      <c r="H94">
        <f t="shared" si="7"/>
        <v>2.6493099999999998</v>
      </c>
      <c r="I94" s="5">
        <f t="shared" si="8"/>
        <v>1733</v>
      </c>
      <c r="J94">
        <f>+H94+CF*F94*(1+($I94-1850)*slope/1000)+F94*hQc*COS(2*PI()*$I94/qbo+$L94)+F94*hQs*SIN(2*PI()*$I94/qbo+$L94)+F94*hCs*SIN(2*PI()*$I94/cw)+F94*hCc*COS(2*PI()*$I94/cw) +mix*F94*(hQc*COS(2*PI()*$I94/qbo+$L94)+hQs*SIN(2*PI()*$I94/qbo+$L94))*(hCs*SIN(2*PI()*$I94/cw)+hCc*COS(2*PI()*$I94/cw))</f>
        <v>6.3257843841413601</v>
      </c>
      <c r="K94">
        <f>fQc*COS(2*PI()*$I94/qbo+$L94)+fQs*SIN(2*PI()*$I94/qbo+$L94)+fCs*SIN(2*PI()*$I94/cw)+fCc*COS(2*PI()*$I94/cw)</f>
        <v>1.5852822814093082</v>
      </c>
      <c r="L94">
        <f>+QMA*COS(2*PI()*$I94/QM+QMP)</f>
        <v>-0.78490477901156874</v>
      </c>
      <c r="P94">
        <f t="shared" si="9"/>
        <v>1</v>
      </c>
    </row>
    <row r="95" spans="1:16" x14ac:dyDescent="0.25">
      <c r="A95" s="1"/>
      <c r="B95" t="s">
        <v>108</v>
      </c>
      <c r="C95" t="s">
        <v>24</v>
      </c>
      <c r="D95" s="3">
        <v>3.5416666666666665</v>
      </c>
      <c r="E95" s="5">
        <f t="shared" si="5"/>
        <v>1734</v>
      </c>
      <c r="F95">
        <v>6.7570000000000005E-2</v>
      </c>
      <c r="G95">
        <f t="shared" si="6"/>
        <v>-1.6783299999999999</v>
      </c>
      <c r="H95">
        <f t="shared" si="7"/>
        <v>-1.6783299999999999</v>
      </c>
      <c r="I95" s="5">
        <f t="shared" si="8"/>
        <v>1734</v>
      </c>
      <c r="J95">
        <f>+H95+CF*F95*(1+($I95-1850)*slope/1000)+F95*hQc*COS(2*PI()*$I95/qbo+$L95)+F95*hQs*SIN(2*PI()*$I95/qbo+$L95)+F95*hCs*SIN(2*PI()*$I95/cw)+F95*hCc*COS(2*PI()*$I95/cw) +mix*F95*(hQc*COS(2*PI()*$I95/qbo+$L95)+hQs*SIN(2*PI()*$I95/qbo+$L95))*(hCs*SIN(2*PI()*$I95/cw)+hCc*COS(2*PI()*$I95/cw))</f>
        <v>-1.6165196635656482</v>
      </c>
      <c r="K95">
        <f>fQc*COS(2*PI()*$I95/qbo+$L95)+fQs*SIN(2*PI()*$I95/qbo+$L95)+fCs*SIN(2*PI()*$I95/cw)+fCc*COS(2*PI()*$I95/cw)</f>
        <v>0.30790408881326081</v>
      </c>
      <c r="L95">
        <f>+QMA*COS(2*PI()*$I95/QM+QMP)</f>
        <v>-0.84711464709486251</v>
      </c>
      <c r="P95">
        <f t="shared" si="9"/>
        <v>0</v>
      </c>
    </row>
    <row r="96" spans="1:16" x14ac:dyDescent="0.25">
      <c r="A96" s="1"/>
      <c r="B96" t="s">
        <v>109</v>
      </c>
      <c r="C96" t="s">
        <v>24</v>
      </c>
      <c r="D96" s="3">
        <v>3.5833333333333335</v>
      </c>
      <c r="E96" s="5">
        <f t="shared" si="5"/>
        <v>1735</v>
      </c>
      <c r="F96">
        <v>-4.3450000000000003E-2</v>
      </c>
      <c r="G96">
        <f t="shared" si="6"/>
        <v>0.40123999999999999</v>
      </c>
      <c r="H96">
        <f t="shared" si="7"/>
        <v>0.40123999999999999</v>
      </c>
      <c r="I96" s="5">
        <f t="shared" si="8"/>
        <v>1735</v>
      </c>
      <c r="J96">
        <f>+H96+CF*F96*(1+($I96-1850)*slope/1000)+F96*hQc*COS(2*PI()*$I96/qbo+$L96)+F96*hQs*SIN(2*PI()*$I96/qbo+$L96)+F96*hCs*SIN(2*PI()*$I96/cw)+F96*hCc*COS(2*PI()*$I96/cw) +mix*F96*(hQc*COS(2*PI()*$I96/qbo+$L96)+hQs*SIN(2*PI()*$I96/qbo+$L96))*(hCs*SIN(2*PI()*$I96/cw)+hCc*COS(2*PI()*$I96/cw))</f>
        <v>0.30578769581847443</v>
      </c>
      <c r="K96">
        <f>fQc*COS(2*PI()*$I96/qbo+$L96)+fQs*SIN(2*PI()*$I96/qbo+$L96)+fCs*SIN(2*PI()*$I96/cw)+fCc*COS(2*PI()*$I96/cw)</f>
        <v>-1.8506008985790308</v>
      </c>
      <c r="L96">
        <f>+QMA*COS(2*PI()*$I96/QM+QMP)</f>
        <v>-0.89316418543779608</v>
      </c>
      <c r="P96">
        <f t="shared" si="9"/>
        <v>0</v>
      </c>
    </row>
    <row r="97" spans="1:16" x14ac:dyDescent="0.25">
      <c r="A97" s="1"/>
      <c r="B97" t="s">
        <v>110</v>
      </c>
      <c r="C97" t="s">
        <v>24</v>
      </c>
      <c r="D97" s="3">
        <v>3.625</v>
      </c>
      <c r="E97" s="5">
        <f t="shared" si="5"/>
        <v>1736</v>
      </c>
      <c r="F97">
        <v>0.24676999999999999</v>
      </c>
      <c r="G97">
        <f t="shared" si="6"/>
        <v>0.38614000000000009</v>
      </c>
      <c r="H97">
        <f t="shared" si="7"/>
        <v>0.38614000000000009</v>
      </c>
      <c r="I97" s="5">
        <f t="shared" si="8"/>
        <v>1736</v>
      </c>
      <c r="J97">
        <f>+H97+CF*F97*(1+($I97-1850)*slope/1000)+F97*hQc*COS(2*PI()*$I97/qbo+$L97)+F97*hQs*SIN(2*PI()*$I97/qbo+$L97)+F97*hCs*SIN(2*PI()*$I97/cw)+F97*hCc*COS(2*PI()*$I97/cw) +mix*F97*(hQc*COS(2*PI()*$I97/qbo+$L97)+hQs*SIN(2*PI()*$I97/qbo+$L97))*(hCs*SIN(2*PI()*$I97/cw)+hCc*COS(2*PI()*$I97/cw))</f>
        <v>1.8594316989252375</v>
      </c>
      <c r="K97">
        <f>fQc*COS(2*PI()*$I97/qbo+$L97)+fQs*SIN(2*PI()*$I97/qbo+$L97)+fCs*SIN(2*PI()*$I97/cw)+fCc*COS(2*PI()*$I97/cw)</f>
        <v>2.0402946463253286</v>
      </c>
      <c r="L97">
        <f>+QMA*COS(2*PI()*$I97/QM+QMP)</f>
        <v>-0.9221749111495875</v>
      </c>
      <c r="P97">
        <f t="shared" si="9"/>
        <v>1</v>
      </c>
    </row>
    <row r="98" spans="1:16" x14ac:dyDescent="0.25">
      <c r="A98" s="1"/>
      <c r="B98" t="s">
        <v>111</v>
      </c>
      <c r="C98" t="s">
        <v>24</v>
      </c>
      <c r="D98" s="3">
        <v>3.6666666666666665</v>
      </c>
      <c r="E98" s="5">
        <f t="shared" si="5"/>
        <v>1737</v>
      </c>
      <c r="F98">
        <v>0.92313000000000001</v>
      </c>
      <c r="G98">
        <f t="shared" si="6"/>
        <v>-0.4811700000000001</v>
      </c>
      <c r="H98">
        <f t="shared" si="7"/>
        <v>-0.4811700000000001</v>
      </c>
      <c r="I98" s="5">
        <f t="shared" si="8"/>
        <v>1737</v>
      </c>
      <c r="J98">
        <f>+H98+CF*F98*(1+($I98-1850)*slope/1000)+F98*hQc*COS(2*PI()*$I98/qbo+$L98)+F98*hQs*SIN(2*PI()*$I98/qbo+$L98)+F98*hCs*SIN(2*PI()*$I98/cw)+F98*hCc*COS(2*PI()*$I98/cw) +mix*F98*(hQc*COS(2*PI()*$I98/qbo+$L98)+hQs*SIN(2*PI()*$I98/qbo+$L98))*(hCs*SIN(2*PI()*$I98/cw)+hCc*COS(2*PI()*$I98/cw))</f>
        <v>-1.621293450829834</v>
      </c>
      <c r="K98">
        <f>fQc*COS(2*PI()*$I98/qbo+$L98)+fQs*SIN(2*PI()*$I98/qbo+$L98)+fCs*SIN(2*PI()*$I98/cw)+fCc*COS(2*PI()*$I98/cw)</f>
        <v>-3.3259247953786537</v>
      </c>
      <c r="L98">
        <f>+QMA*COS(2*PI()*$I98/QM+QMP)</f>
        <v>-0.93359338923167179</v>
      </c>
      <c r="P98">
        <f t="shared" si="9"/>
        <v>1</v>
      </c>
    </row>
    <row r="99" spans="1:16" x14ac:dyDescent="0.25">
      <c r="A99" s="1"/>
      <c r="B99" t="s">
        <v>112</v>
      </c>
      <c r="C99" t="s">
        <v>24</v>
      </c>
      <c r="D99" s="3">
        <v>3.7083333333333335</v>
      </c>
      <c r="E99" s="5">
        <f t="shared" si="5"/>
        <v>1738</v>
      </c>
      <c r="F99">
        <v>1.11832</v>
      </c>
      <c r="G99">
        <f t="shared" si="6"/>
        <v>-1.9736899999999999</v>
      </c>
      <c r="H99">
        <f t="shared" si="7"/>
        <v>-1.9736899999999999</v>
      </c>
      <c r="I99" s="5">
        <f t="shared" si="8"/>
        <v>1738</v>
      </c>
      <c r="J99">
        <f>+H99+CF*F99*(1+($I99-1850)*slope/1000)+F99*hQc*COS(2*PI()*$I99/qbo+$L99)+F99*hQs*SIN(2*PI()*$I99/qbo+$L99)+F99*hCs*SIN(2*PI()*$I99/cw)+F99*hCc*COS(2*PI()*$I99/cw) +mix*F99*(hQc*COS(2*PI()*$I99/qbo+$L99)+hQs*SIN(2*PI()*$I99/qbo+$L99))*(hCs*SIN(2*PI()*$I99/cw)+hCc*COS(2*PI()*$I99/cw))</f>
        <v>4.8723690522531475</v>
      </c>
      <c r="K99">
        <f>fQc*COS(2*PI()*$I99/qbo+$L99)+fQs*SIN(2*PI()*$I99/qbo+$L99)+fCs*SIN(2*PI()*$I99/cw)+fCc*COS(2*PI()*$I99/cw)</f>
        <v>2.4171336281534304</v>
      </c>
      <c r="L99">
        <f>+QMA*COS(2*PI()*$I99/QM+QMP)</f>
        <v>-0.92720179040724593</v>
      </c>
      <c r="P99">
        <f t="shared" si="9"/>
        <v>1</v>
      </c>
    </row>
    <row r="100" spans="1:16" x14ac:dyDescent="0.25">
      <c r="A100" s="1"/>
      <c r="B100" t="s">
        <v>113</v>
      </c>
      <c r="C100" t="s">
        <v>24</v>
      </c>
      <c r="D100" s="3">
        <v>3.75</v>
      </c>
      <c r="E100" s="5">
        <f t="shared" si="5"/>
        <v>1739</v>
      </c>
      <c r="F100">
        <v>-0.66017999999999999</v>
      </c>
      <c r="G100">
        <f t="shared" si="6"/>
        <v>2.4390399999999999</v>
      </c>
      <c r="H100">
        <f t="shared" si="7"/>
        <v>2.4390399999999999</v>
      </c>
      <c r="I100" s="5">
        <f t="shared" si="8"/>
        <v>1739</v>
      </c>
      <c r="J100">
        <f>+H100+CF*F100*(1+($I100-1850)*slope/1000)+F100*hQc*COS(2*PI()*$I100/qbo+$L100)+F100*hQs*SIN(2*PI()*$I100/qbo+$L100)+F100*hCs*SIN(2*PI()*$I100/cw)+F100*hCc*COS(2*PI()*$I100/cw) +mix*F100*(hQc*COS(2*PI()*$I100/qbo+$L100)+hQs*SIN(2*PI()*$I100/qbo+$L100))*(hCs*SIN(2*PI()*$I100/cw)+hCc*COS(2*PI()*$I100/cw))</f>
        <v>0.98804394745015234</v>
      </c>
      <c r="K100">
        <f>fQc*COS(2*PI()*$I100/qbo+$L100)+fQs*SIN(2*PI()*$I100/qbo+$L100)+fCs*SIN(2*PI()*$I100/cw)+fCc*COS(2*PI()*$I100/cw)</f>
        <v>-1.7784794792060132</v>
      </c>
      <c r="L100">
        <f>+QMA*COS(2*PI()*$I100/QM+QMP)</f>
        <v>-0.90312204663077511</v>
      </c>
      <c r="P100">
        <f t="shared" si="9"/>
        <v>0</v>
      </c>
    </row>
    <row r="101" spans="1:16" x14ac:dyDescent="0.25">
      <c r="A101" s="1"/>
      <c r="B101" t="s">
        <v>114</v>
      </c>
      <c r="C101" t="s">
        <v>24</v>
      </c>
      <c r="D101" s="3">
        <v>3.7916666666666665</v>
      </c>
      <c r="E101" s="5">
        <f t="shared" si="5"/>
        <v>1740</v>
      </c>
      <c r="F101">
        <v>3.6000000000000002E-4</v>
      </c>
      <c r="G101">
        <f t="shared" si="6"/>
        <v>-0.43651000000000001</v>
      </c>
      <c r="H101">
        <f t="shared" si="7"/>
        <v>-0.43651000000000001</v>
      </c>
      <c r="I101" s="5">
        <f t="shared" si="8"/>
        <v>1740</v>
      </c>
      <c r="J101">
        <f>+H101+CF*F101*(1+($I101-1850)*slope/1000)+F101*hQc*COS(2*PI()*$I101/qbo+$L101)+F101*hQs*SIN(2*PI()*$I101/qbo+$L101)+F101*hCs*SIN(2*PI()*$I101/cw)+F101*hCc*COS(2*PI()*$I101/cw) +mix*F101*(hQc*COS(2*PI()*$I101/qbo+$L101)+hQs*SIN(2*PI()*$I101/qbo+$L101))*(hCs*SIN(2*PI()*$I101/cw)+hCc*COS(2*PI()*$I101/cw))</f>
        <v>-0.43664103826753381</v>
      </c>
      <c r="K101">
        <f>fQc*COS(2*PI()*$I101/qbo+$L101)+fQs*SIN(2*PI()*$I101/qbo+$L101)+fCs*SIN(2*PI()*$I101/cw)+fCc*COS(2*PI()*$I101/cw)</f>
        <v>1.2971439243198075</v>
      </c>
      <c r="L101">
        <f>+QMA*COS(2*PI()*$I101/QM+QMP)</f>
        <v>-0.86181352500306097</v>
      </c>
      <c r="P101">
        <f t="shared" si="9"/>
        <v>0</v>
      </c>
    </row>
    <row r="102" spans="1:16" x14ac:dyDescent="0.25">
      <c r="A102" s="1"/>
      <c r="B102" t="s">
        <v>115</v>
      </c>
      <c r="C102" t="s">
        <v>24</v>
      </c>
      <c r="D102" s="3">
        <v>3.8333333333333335</v>
      </c>
      <c r="E102" s="5">
        <f t="shared" si="5"/>
        <v>1741</v>
      </c>
      <c r="F102">
        <v>0.22439000000000001</v>
      </c>
      <c r="G102">
        <f t="shared" si="6"/>
        <v>-2.0484300000000002</v>
      </c>
      <c r="H102">
        <f t="shared" si="7"/>
        <v>-2.0484300000000002</v>
      </c>
      <c r="I102" s="5">
        <f t="shared" si="8"/>
        <v>1741</v>
      </c>
      <c r="J102">
        <f>+H102+CF*F102*(1+($I102-1850)*slope/1000)+F102*hQc*COS(2*PI()*$I102/qbo+$L102)+F102*hQs*SIN(2*PI()*$I102/qbo+$L102)+F102*hCs*SIN(2*PI()*$I102/cw)+F102*hCc*COS(2*PI()*$I102/cw) +mix*F102*(hQc*COS(2*PI()*$I102/qbo+$L102)+hQs*SIN(2*PI()*$I102/qbo+$L102))*(hCs*SIN(2*PI()*$I102/cw)+hCc*COS(2*PI()*$I102/cw))</f>
        <v>-2.0416405809854812</v>
      </c>
      <c r="K102">
        <f>fQc*COS(2*PI()*$I102/qbo+$L102)+fQs*SIN(2*PI()*$I102/qbo+$L102)+fCs*SIN(2*PI()*$I102/cw)+fCc*COS(2*PI()*$I102/cw)</f>
        <v>0.73653776579948615</v>
      </c>
      <c r="L102">
        <f>+QMA*COS(2*PI()*$I102/QM+QMP)</f>
        <v>-0.80406426446650892</v>
      </c>
      <c r="P102">
        <f t="shared" si="9"/>
        <v>0</v>
      </c>
    </row>
    <row r="103" spans="1:16" x14ac:dyDescent="0.25">
      <c r="A103" s="1"/>
      <c r="B103" t="s">
        <v>116</v>
      </c>
      <c r="C103" t="s">
        <v>24</v>
      </c>
      <c r="D103" s="3">
        <v>3.875</v>
      </c>
      <c r="E103" s="5">
        <f t="shared" si="5"/>
        <v>1742</v>
      </c>
      <c r="F103">
        <v>-1.6000099999999999</v>
      </c>
      <c r="G103">
        <f t="shared" si="6"/>
        <v>2.9113899999999999</v>
      </c>
      <c r="H103">
        <f t="shared" si="7"/>
        <v>2.9113899999999999</v>
      </c>
      <c r="I103" s="5">
        <f t="shared" si="8"/>
        <v>1742</v>
      </c>
      <c r="J103">
        <f>+H103+CF*F103*(1+($I103-1850)*slope/1000)+F103*hQc*COS(2*PI()*$I103/qbo+$L103)+F103*hQs*SIN(2*PI()*$I103/qbo+$L103)+F103*hCs*SIN(2*PI()*$I103/cw)+F103*hCc*COS(2*PI()*$I103/cw) +mix*F103*(hQc*COS(2*PI()*$I103/qbo+$L103)+hQs*SIN(2*PI()*$I103/qbo+$L103))*(hCs*SIN(2*PI()*$I103/cw)+hCc*COS(2*PI()*$I103/cw))</f>
        <v>-1.8344055870071405</v>
      </c>
      <c r="K103">
        <f>fQc*COS(2*PI()*$I103/qbo+$L103)+fQs*SIN(2*PI()*$I103/qbo+$L103)+fCs*SIN(2*PI()*$I103/cw)+fCc*COS(2*PI()*$I103/cw)</f>
        <v>-0.95377435204824357</v>
      </c>
      <c r="L103">
        <f>+QMA*COS(2*PI()*$I103/QM+QMP)</f>
        <v>-0.73097594245727948</v>
      </c>
      <c r="P103">
        <f t="shared" si="9"/>
        <v>1</v>
      </c>
    </row>
    <row r="104" spans="1:16" x14ac:dyDescent="0.25">
      <c r="A104" s="1"/>
      <c r="B104" t="s">
        <v>117</v>
      </c>
      <c r="C104" t="s">
        <v>24</v>
      </c>
      <c r="D104" s="3">
        <v>3.9166666666666665</v>
      </c>
      <c r="E104" s="5">
        <f t="shared" si="5"/>
        <v>1743</v>
      </c>
      <c r="F104">
        <v>-0.51302000000000003</v>
      </c>
      <c r="G104">
        <f t="shared" si="6"/>
        <v>-0.31160999999999994</v>
      </c>
      <c r="H104">
        <f t="shared" si="7"/>
        <v>-0.31160999999999994</v>
      </c>
      <c r="I104" s="5">
        <f t="shared" si="8"/>
        <v>1743</v>
      </c>
      <c r="J104">
        <f>+H104+CF*F104*(1+($I104-1850)*slope/1000)+F104*hQc*COS(2*PI()*$I104/qbo+$L104)+F104*hQs*SIN(2*PI()*$I104/qbo+$L104)+F104*hCs*SIN(2*PI()*$I104/cw)+F104*hCc*COS(2*PI()*$I104/cw) +mix*F104*(hQc*COS(2*PI()*$I104/qbo+$L104)+hQs*SIN(2*PI()*$I104/qbo+$L104))*(hCs*SIN(2*PI()*$I104/cw)+hCc*COS(2*PI()*$I104/cw))</f>
        <v>0.35695538783706371</v>
      </c>
      <c r="K104">
        <f>fQc*COS(2*PI()*$I104/qbo+$L104)+fQs*SIN(2*PI()*$I104/qbo+$L104)+fCs*SIN(2*PI()*$I104/cw)+fCc*COS(2*PI()*$I104/cw)</f>
        <v>2.1463064090316739</v>
      </c>
      <c r="L104">
        <f>+QMA*COS(2*PI()*$I104/QM+QMP)</f>
        <v>-0.64394285830409626</v>
      </c>
      <c r="P104">
        <f t="shared" si="9"/>
        <v>1</v>
      </c>
    </row>
    <row r="105" spans="1:16" x14ac:dyDescent="0.25">
      <c r="A105" s="1"/>
      <c r="B105" t="s">
        <v>118</v>
      </c>
      <c r="C105" t="s">
        <v>24</v>
      </c>
      <c r="D105" s="3">
        <v>3.9583333333333335</v>
      </c>
      <c r="E105" s="5">
        <f t="shared" si="5"/>
        <v>1744</v>
      </c>
      <c r="F105">
        <v>0.26235999999999998</v>
      </c>
      <c r="G105">
        <f t="shared" si="6"/>
        <v>9.7040000000000015E-2</v>
      </c>
      <c r="H105">
        <f t="shared" si="7"/>
        <v>9.7040000000000015E-2</v>
      </c>
      <c r="I105" s="5">
        <f t="shared" si="8"/>
        <v>1744</v>
      </c>
      <c r="J105">
        <f>+H105+CF*F105*(1+($I105-1850)*slope/1000)+F105*hQc*COS(2*PI()*$I105/qbo+$L105)+F105*hQs*SIN(2*PI()*$I105/qbo+$L105)+F105*hCs*SIN(2*PI()*$I105/cw)+F105*hCc*COS(2*PI()*$I105/cw) +mix*F105*(hQc*COS(2*PI()*$I105/qbo+$L105)+hQs*SIN(2*PI()*$I105/qbo+$L105))*(hCs*SIN(2*PI()*$I105/cw)+hCc*COS(2*PI()*$I105/cw))</f>
        <v>0.55450660671136065</v>
      </c>
      <c r="K105">
        <f>fQc*COS(2*PI()*$I105/qbo+$L105)+fQs*SIN(2*PI()*$I105/qbo+$L105)+fCs*SIN(2*PI()*$I105/cw)+fCc*COS(2*PI()*$I105/cw)</f>
        <v>-2.9779975963437244</v>
      </c>
      <c r="L105">
        <f>+QMA*COS(2*PI()*$I105/QM+QMP)</f>
        <v>-0.54462533430587867</v>
      </c>
      <c r="P105">
        <f t="shared" si="9"/>
        <v>0</v>
      </c>
    </row>
    <row r="106" spans="1:16" x14ac:dyDescent="0.25">
      <c r="A106" s="1"/>
      <c r="B106" t="s">
        <v>119</v>
      </c>
      <c r="C106" t="s">
        <v>24</v>
      </c>
      <c r="D106" s="3">
        <v>4</v>
      </c>
      <c r="E106" s="5">
        <f t="shared" si="5"/>
        <v>1745</v>
      </c>
      <c r="F106">
        <v>1.1347799999999999</v>
      </c>
      <c r="G106">
        <f t="shared" si="6"/>
        <v>-0.42901999999999996</v>
      </c>
      <c r="H106">
        <f t="shared" si="7"/>
        <v>-0.42901999999999996</v>
      </c>
      <c r="I106" s="5">
        <f t="shared" si="8"/>
        <v>1745</v>
      </c>
      <c r="J106">
        <f>+H106+CF*F106*(1+($I106-1850)*slope/1000)+F106*hQc*COS(2*PI()*$I106/qbo+$L106)+F106*hQs*SIN(2*PI()*$I106/qbo+$L106)+F106*hCs*SIN(2*PI()*$I106/cw)+F106*hCc*COS(2*PI()*$I106/cw) +mix*F106*(hQc*COS(2*PI()*$I106/qbo+$L106)+hQs*SIN(2*PI()*$I106/qbo+$L106))*(hCs*SIN(2*PI()*$I106/cw)+hCc*COS(2*PI()*$I106/cw))</f>
        <v>7.2883288599056488</v>
      </c>
      <c r="K106">
        <f>fQc*COS(2*PI()*$I106/qbo+$L106)+fQs*SIN(2*PI()*$I106/qbo+$L106)+fCs*SIN(2*PI()*$I106/cw)+fCc*COS(2*PI()*$I106/cw)</f>
        <v>2.3813138904662696</v>
      </c>
      <c r="L106">
        <f>+QMA*COS(2*PI()*$I106/QM+QMP)</f>
        <v>-0.43491804191259764</v>
      </c>
      <c r="P106">
        <f t="shared" si="9"/>
        <v>1</v>
      </c>
    </row>
    <row r="107" spans="1:16" x14ac:dyDescent="0.25">
      <c r="A107" s="1"/>
      <c r="B107" t="s">
        <v>120</v>
      </c>
      <c r="C107" t="s">
        <v>24</v>
      </c>
      <c r="D107" s="3">
        <v>4.041666666666667</v>
      </c>
      <c r="E107" s="5">
        <f t="shared" si="5"/>
        <v>1746</v>
      </c>
      <c r="F107">
        <v>1.5781799999999999</v>
      </c>
      <c r="G107">
        <f t="shared" si="6"/>
        <v>-0.21579999999999999</v>
      </c>
      <c r="H107">
        <f t="shared" si="7"/>
        <v>-0.21579999999999999</v>
      </c>
      <c r="I107" s="5">
        <f t="shared" si="8"/>
        <v>1746</v>
      </c>
      <c r="J107">
        <f>+H107+CF*F107*(1+($I107-1850)*slope/1000)+F107*hQc*COS(2*PI()*$I107/qbo+$L107)+F107*hQs*SIN(2*PI()*$I107/qbo+$L107)+F107*hCs*SIN(2*PI()*$I107/cw)+F107*hCc*COS(2*PI()*$I107/cw) +mix*F107*(hQc*COS(2*PI()*$I107/qbo+$L107)+hQs*SIN(2*PI()*$I107/qbo+$L107))*(hCs*SIN(2*PI()*$I107/cw)+hCc*COS(2*PI()*$I107/cw))</f>
        <v>-2.0476070424282371</v>
      </c>
      <c r="K107">
        <f>fQc*COS(2*PI()*$I107/qbo+$L107)+fQs*SIN(2*PI()*$I107/qbo+$L107)+fCs*SIN(2*PI()*$I107/cw)+fCc*COS(2*PI()*$I107/cw)</f>
        <v>-3.1732835977247169</v>
      </c>
      <c r="L107">
        <f>+QMA*COS(2*PI()*$I107/QM+QMP)</f>
        <v>-0.31691385724928167</v>
      </c>
      <c r="P107">
        <f t="shared" si="9"/>
        <v>1</v>
      </c>
    </row>
    <row r="108" spans="1:16" x14ac:dyDescent="0.25">
      <c r="A108" s="1"/>
      <c r="B108" t="s">
        <v>121</v>
      </c>
      <c r="C108" t="s">
        <v>24</v>
      </c>
      <c r="D108" s="3">
        <v>4.083333333333333</v>
      </c>
      <c r="E108" s="5">
        <f t="shared" si="5"/>
        <v>1747</v>
      </c>
      <c r="F108">
        <v>1.8057799999999999</v>
      </c>
      <c r="G108">
        <f t="shared" si="6"/>
        <v>-3.0292000000000003</v>
      </c>
      <c r="H108">
        <f t="shared" si="7"/>
        <v>-3.0292000000000003</v>
      </c>
      <c r="I108" s="5">
        <f t="shared" si="8"/>
        <v>1747</v>
      </c>
      <c r="J108">
        <f>+H108+CF*F108*(1+($I108-1850)*slope/1000)+F108*hQc*COS(2*PI()*$I108/qbo+$L108)+F108*hQs*SIN(2*PI()*$I108/qbo+$L108)+F108*hCs*SIN(2*PI()*$I108/cw)+F108*hCc*COS(2*PI()*$I108/cw) +mix*F108*(hQc*COS(2*PI()*$I108/qbo+$L108)+hQs*SIN(2*PI()*$I108/qbo+$L108))*(hCs*SIN(2*PI()*$I108/cw)+hCc*COS(2*PI()*$I108/cw))</f>
        <v>6.375811021275231</v>
      </c>
      <c r="K108">
        <f>fQc*COS(2*PI()*$I108/qbo+$L108)+fQs*SIN(2*PI()*$I108/qbo+$L108)+fCs*SIN(2*PI()*$I108/cw)+fCc*COS(2*PI()*$I108/cw)</f>
        <v>2.1502776279415041</v>
      </c>
      <c r="L108">
        <f>+QMA*COS(2*PI()*$I108/QM+QMP)</f>
        <v>-0.19286393550660461</v>
      </c>
      <c r="P108">
        <f t="shared" si="9"/>
        <v>1</v>
      </c>
    </row>
    <row r="109" spans="1:16" x14ac:dyDescent="0.25">
      <c r="A109" s="1"/>
      <c r="B109" t="s">
        <v>122</v>
      </c>
      <c r="C109" t="s">
        <v>24</v>
      </c>
      <c r="D109" s="3">
        <v>4.125</v>
      </c>
      <c r="E109" s="5">
        <f t="shared" si="5"/>
        <v>1748</v>
      </c>
      <c r="F109">
        <v>-0.99582000000000004</v>
      </c>
      <c r="G109">
        <f t="shared" si="6"/>
        <v>4.8936600000000006</v>
      </c>
      <c r="H109">
        <f t="shared" si="7"/>
        <v>4.8936600000000006</v>
      </c>
      <c r="I109" s="5">
        <f t="shared" si="8"/>
        <v>1748</v>
      </c>
      <c r="J109">
        <f>+H109+CF*F109*(1+($I109-1850)*slope/1000)+F109*hQc*COS(2*PI()*$I109/qbo+$L109)+F109*hQs*SIN(2*PI()*$I109/qbo+$L109)+F109*hCs*SIN(2*PI()*$I109/cw)+F109*hCc*COS(2*PI()*$I109/cw) +mix*F109*(hQc*COS(2*PI()*$I109/qbo+$L109)+hQs*SIN(2*PI()*$I109/qbo+$L109))*(hCs*SIN(2*PI()*$I109/cw)+hCc*COS(2*PI()*$I109/cw))</f>
        <v>2.6271709075638356</v>
      </c>
      <c r="K109">
        <f>fQc*COS(2*PI()*$I109/qbo+$L109)+fQs*SIN(2*PI()*$I109/qbo+$L109)+fCs*SIN(2*PI()*$I109/cw)+fCc*COS(2*PI()*$I109/cw)</f>
        <v>-1.463590587241103</v>
      </c>
      <c r="L109">
        <f>+QMA*COS(2*PI()*$I109/QM+QMP)</f>
        <v>-6.513476585631868E-2</v>
      </c>
      <c r="P109">
        <f t="shared" si="9"/>
        <v>0</v>
      </c>
    </row>
    <row r="110" spans="1:16" x14ac:dyDescent="0.25">
      <c r="A110" s="1"/>
      <c r="B110" t="s">
        <v>123</v>
      </c>
      <c r="C110" t="s">
        <v>24</v>
      </c>
      <c r="D110" s="3">
        <v>4.166666666666667</v>
      </c>
      <c r="E110" s="5">
        <f t="shared" si="5"/>
        <v>1749</v>
      </c>
      <c r="F110">
        <v>1.0962400000000001</v>
      </c>
      <c r="G110">
        <f t="shared" si="6"/>
        <v>-2.4696899999999999</v>
      </c>
      <c r="H110">
        <f t="shared" si="7"/>
        <v>-2.4696899999999999</v>
      </c>
      <c r="I110" s="5">
        <f t="shared" si="8"/>
        <v>1749</v>
      </c>
      <c r="J110">
        <f>+H110+CF*F110*(1+($I110-1850)*slope/1000)+F110*hQc*COS(2*PI()*$I110/qbo+$L110)+F110*hQs*SIN(2*PI()*$I110/qbo+$L110)+F110*hCs*SIN(2*PI()*$I110/cw)+F110*hCc*COS(2*PI()*$I110/cw) +mix*F110*(hQc*COS(2*PI()*$I110/qbo+$L110)+hQs*SIN(2*PI()*$I110/qbo+$L110))*(hCs*SIN(2*PI()*$I110/cw)+hCc*COS(2*PI()*$I110/cw))</f>
        <v>-3.1811920692877704</v>
      </c>
      <c r="K110">
        <f>fQc*COS(2*PI()*$I110/qbo+$L110)+fQs*SIN(2*PI()*$I110/qbo+$L110)+fCs*SIN(2*PI()*$I110/cw)+fCc*COS(2*PI()*$I110/cw)</f>
        <v>1.2435275580019254</v>
      </c>
      <c r="L110">
        <f>+QMA*COS(2*PI()*$I110/QM+QMP)</f>
        <v>6.3836973849163633E-2</v>
      </c>
      <c r="P110">
        <f t="shared" si="9"/>
        <v>0</v>
      </c>
    </row>
    <row r="111" spans="1:16" x14ac:dyDescent="0.25">
      <c r="A111" s="1"/>
      <c r="B111" t="s">
        <v>124</v>
      </c>
      <c r="C111" t="s">
        <v>24</v>
      </c>
      <c r="D111" s="3">
        <v>4.208333333333333</v>
      </c>
      <c r="E111" s="5">
        <f t="shared" si="5"/>
        <v>1750</v>
      </c>
      <c r="F111">
        <v>0.71860999999999997</v>
      </c>
      <c r="G111">
        <f t="shared" si="6"/>
        <v>-5.4319999999999813E-2</v>
      </c>
      <c r="H111">
        <f t="shared" si="7"/>
        <v>-5.4319999999999813E-2</v>
      </c>
      <c r="I111" s="5">
        <f t="shared" si="8"/>
        <v>1750</v>
      </c>
      <c r="J111">
        <f>+H111+CF*F111*(1+($I111-1850)*slope/1000)+F111*hQc*COS(2*PI()*$I111/qbo+$L111)+F111*hQs*SIN(2*PI()*$I111/qbo+$L111)+F111*hCs*SIN(2*PI()*$I111/cw)+F111*hCc*COS(2*PI()*$I111/cw) +mix*F111*(hQc*COS(2*PI()*$I111/qbo+$L111)+hQs*SIN(2*PI()*$I111/qbo+$L111))*(hCs*SIN(2*PI()*$I111/cw)+hCc*COS(2*PI()*$I111/cw))</f>
        <v>4.8359243384226626E-2</v>
      </c>
      <c r="K111">
        <f>fQc*COS(2*PI()*$I111/qbo+$L111)+fQs*SIN(2*PI()*$I111/qbo+$L111)+fCs*SIN(2*PI()*$I111/cw)+fCc*COS(2*PI()*$I111/cw)</f>
        <v>0.6116659500825079</v>
      </c>
      <c r="L111">
        <f>+QMA*COS(2*PI()*$I111/QM+QMP)</f>
        <v>0.19159090136052534</v>
      </c>
      <c r="P111">
        <f t="shared" si="9"/>
        <v>1</v>
      </c>
    </row>
    <row r="112" spans="1:16" x14ac:dyDescent="0.25">
      <c r="A112" s="1"/>
      <c r="B112" t="s">
        <v>125</v>
      </c>
      <c r="C112" t="s">
        <v>24</v>
      </c>
      <c r="D112" s="3">
        <v>4.25</v>
      </c>
      <c r="E112" s="5">
        <f t="shared" si="5"/>
        <v>1751</v>
      </c>
      <c r="F112">
        <v>0.28666000000000003</v>
      </c>
      <c r="G112">
        <f t="shared" si="6"/>
        <v>-1.7390400000000001</v>
      </c>
      <c r="H112">
        <f t="shared" si="7"/>
        <v>-1.7390400000000001</v>
      </c>
      <c r="I112" s="5">
        <f t="shared" si="8"/>
        <v>1751</v>
      </c>
      <c r="J112">
        <f>+H112+CF*F112*(1+($I112-1850)*slope/1000)+F112*hQc*COS(2*PI()*$I112/qbo+$L112)+F112*hQs*SIN(2*PI()*$I112/qbo+$L112)+F112*hCs*SIN(2*PI()*$I112/cw)+F112*hCc*COS(2*PI()*$I112/cw) +mix*F112*(hQc*COS(2*PI()*$I112/qbo+$L112)+hQs*SIN(2*PI()*$I112/qbo+$L112))*(hCs*SIN(2*PI()*$I112/cw)+hCc*COS(2*PI()*$I112/cw))</f>
        <v>-1.0729344320227439</v>
      </c>
      <c r="K112">
        <f>fQc*COS(2*PI()*$I112/qbo+$L112)+fQs*SIN(2*PI()*$I112/qbo+$L112)+fCs*SIN(2*PI()*$I112/cw)+fCc*COS(2*PI()*$I112/cw)</f>
        <v>-0.75526130444843342</v>
      </c>
      <c r="L112">
        <f>+QMA*COS(2*PI()*$I112/QM+QMP)</f>
        <v>0.31568986652194791</v>
      </c>
      <c r="P112">
        <f t="shared" si="9"/>
        <v>1</v>
      </c>
    </row>
    <row r="113" spans="1:16" x14ac:dyDescent="0.25">
      <c r="A113" s="1"/>
      <c r="B113" t="s">
        <v>126</v>
      </c>
      <c r="C113" t="s">
        <v>24</v>
      </c>
      <c r="D113" s="3">
        <v>4.291666666666667</v>
      </c>
      <c r="E113" s="5">
        <f t="shared" si="5"/>
        <v>1752</v>
      </c>
      <c r="F113">
        <v>-1.8843300000000001</v>
      </c>
      <c r="G113">
        <f t="shared" si="6"/>
        <v>2.90266</v>
      </c>
      <c r="H113">
        <f t="shared" si="7"/>
        <v>2.90266</v>
      </c>
      <c r="I113" s="5">
        <f t="shared" si="8"/>
        <v>1752</v>
      </c>
      <c r="J113">
        <f>+H113+CF*F113*(1+($I113-1850)*slope/1000)+F113*hQc*COS(2*PI()*$I113/qbo+$L113)+F113*hQs*SIN(2*PI()*$I113/qbo+$L113)+F113*hCs*SIN(2*PI()*$I113/cw)+F113*hCc*COS(2*PI()*$I113/cw) +mix*F113*(hQc*COS(2*PI()*$I113/qbo+$L113)+hQs*SIN(2*PI()*$I113/qbo+$L113))*(hCs*SIN(2*PI()*$I113/cw)+hCc*COS(2*PI()*$I113/cw))</f>
        <v>4.0164787559843695</v>
      </c>
      <c r="K113">
        <f>fQc*COS(2*PI()*$I113/qbo+$L113)+fQs*SIN(2*PI()*$I113/qbo+$L113)+fCs*SIN(2*PI()*$I113/cw)+fCc*COS(2*PI()*$I113/cw)</f>
        <v>1.8412331494184877</v>
      </c>
      <c r="L113">
        <f>+QMA*COS(2*PI()*$I113/QM+QMP)</f>
        <v>0.433766444564748</v>
      </c>
      <c r="P113">
        <f t="shared" si="9"/>
        <v>1</v>
      </c>
    </row>
    <row r="114" spans="1:16" x14ac:dyDescent="0.25">
      <c r="A114" s="1"/>
      <c r="B114" t="s">
        <v>127</v>
      </c>
      <c r="C114" t="s">
        <v>24</v>
      </c>
      <c r="D114" s="3">
        <v>4.333333333333333</v>
      </c>
      <c r="E114" s="5">
        <f t="shared" si="5"/>
        <v>1753</v>
      </c>
      <c r="F114">
        <v>-1.15266</v>
      </c>
      <c r="G114">
        <f t="shared" si="6"/>
        <v>-0.31825000000000003</v>
      </c>
      <c r="H114">
        <f t="shared" si="7"/>
        <v>-0.31825000000000003</v>
      </c>
      <c r="I114" s="5">
        <f t="shared" si="8"/>
        <v>1753</v>
      </c>
      <c r="J114">
        <f>+H114+CF*F114*(1+($I114-1850)*slope/1000)+F114*hQc*COS(2*PI()*$I114/qbo+$L114)+F114*hQs*SIN(2*PI()*$I114/qbo+$L114)+F114*hCs*SIN(2*PI()*$I114/cw)+F114*hCc*COS(2*PI()*$I114/cw) +mix*F114*(hQc*COS(2*PI()*$I114/qbo+$L114)+hQs*SIN(2*PI()*$I114/qbo+$L114))*(hCs*SIN(2*PI()*$I114/cw)+hCc*COS(2*PI()*$I114/cw))</f>
        <v>-1.8592318082988539</v>
      </c>
      <c r="K114">
        <f>fQc*COS(2*PI()*$I114/qbo+$L114)+fQs*SIN(2*PI()*$I114/qbo+$L114)+fCs*SIN(2*PI()*$I114/cw)+fCc*COS(2*PI()*$I114/cw)</f>
        <v>-2.853000371262338</v>
      </c>
      <c r="L114">
        <f>+QMA*COS(2*PI()*$I114/QM+QMP)</f>
        <v>0.54356809925619154</v>
      </c>
      <c r="P114">
        <f t="shared" si="9"/>
        <v>1</v>
      </c>
    </row>
    <row r="115" spans="1:16" x14ac:dyDescent="0.25">
      <c r="A115" s="1"/>
      <c r="B115" t="s">
        <v>128</v>
      </c>
      <c r="C115" t="s">
        <v>24</v>
      </c>
      <c r="D115" s="3">
        <v>4.375</v>
      </c>
      <c r="E115" s="5">
        <f t="shared" si="5"/>
        <v>1754</v>
      </c>
      <c r="F115">
        <v>-0.73924000000000001</v>
      </c>
      <c r="G115">
        <f t="shared" si="6"/>
        <v>-0.72632999999999992</v>
      </c>
      <c r="H115">
        <f t="shared" si="7"/>
        <v>-0.72632999999999992</v>
      </c>
      <c r="I115" s="5">
        <f t="shared" si="8"/>
        <v>1754</v>
      </c>
      <c r="J115">
        <f>+H115+CF*F115*(1+($I115-1850)*slope/1000)+F115*hQc*COS(2*PI()*$I115/qbo+$L115)+F115*hQs*SIN(2*PI()*$I115/qbo+$L115)+F115*hCs*SIN(2*PI()*$I115/cw)+F115*hCc*COS(2*PI()*$I115/cw) +mix*F115*(hQc*COS(2*PI()*$I115/qbo+$L115)+hQs*SIN(2*PI()*$I115/qbo+$L115))*(hCs*SIN(2*PI()*$I115/cw)+hCc*COS(2*PI()*$I115/cw))</f>
        <v>-5.9235808548202353</v>
      </c>
      <c r="K115">
        <f>fQc*COS(2*PI()*$I115/qbo+$L115)+fQs*SIN(2*PI()*$I115/qbo+$L115)+fCs*SIN(2*PI()*$I115/cw)+fCc*COS(2*PI()*$I115/cw)</f>
        <v>2.3404136125368864</v>
      </c>
      <c r="L115">
        <f>+QMA*COS(2*PI()*$I115/QM+QMP)</f>
        <v>0.64300015433041458</v>
      </c>
      <c r="P115">
        <f t="shared" si="9"/>
        <v>0</v>
      </c>
    </row>
    <row r="116" spans="1:16" x14ac:dyDescent="0.25">
      <c r="A116" s="1"/>
      <c r="B116" t="s">
        <v>129</v>
      </c>
      <c r="C116" t="s">
        <v>24</v>
      </c>
      <c r="D116" s="3">
        <v>4.416666666666667</v>
      </c>
      <c r="E116" s="5">
        <f t="shared" si="5"/>
        <v>1755</v>
      </c>
      <c r="F116">
        <v>-1.0521499999999999</v>
      </c>
      <c r="G116">
        <f t="shared" si="6"/>
        <v>1.1541699999999997</v>
      </c>
      <c r="H116">
        <f t="shared" si="7"/>
        <v>1.1541699999999997</v>
      </c>
      <c r="I116" s="5">
        <f t="shared" si="8"/>
        <v>1755</v>
      </c>
      <c r="J116">
        <f>+H116+CF*F116*(1+($I116-1850)*slope/1000)+F116*hQc*COS(2*PI()*$I116/qbo+$L116)+F116*hQs*SIN(2*PI()*$I116/qbo+$L116)+F116*hCs*SIN(2*PI()*$I116/cw)+F116*hCc*COS(2*PI()*$I116/cw) +mix*F116*(hQc*COS(2*PI()*$I116/qbo+$L116)+hQs*SIN(2*PI()*$I116/qbo+$L116))*(hCs*SIN(2*PI()*$I116/cw)+hCc*COS(2*PI()*$I116/cw))</f>
        <v>2.5081564295551244</v>
      </c>
      <c r="K116">
        <f>fQc*COS(2*PI()*$I116/qbo+$L116)+fQs*SIN(2*PI()*$I116/qbo+$L116)+fCs*SIN(2*PI()*$I116/cw)+fCc*COS(2*PI()*$I116/cw)</f>
        <v>-3.2109987464775163</v>
      </c>
      <c r="L116">
        <f>+QMA*COS(2*PI()*$I116/QM+QMP)</f>
        <v>0.73016575343819345</v>
      </c>
      <c r="P116">
        <f t="shared" si="9"/>
        <v>0</v>
      </c>
    </row>
    <row r="117" spans="1:16" x14ac:dyDescent="0.25">
      <c r="A117" s="1"/>
      <c r="B117" t="s">
        <v>130</v>
      </c>
      <c r="C117" t="s">
        <v>24</v>
      </c>
      <c r="D117" s="3">
        <v>4.458333333333333</v>
      </c>
      <c r="E117" s="5">
        <f t="shared" si="5"/>
        <v>1756</v>
      </c>
      <c r="F117">
        <v>-0.21088999999999999</v>
      </c>
      <c r="G117">
        <f t="shared" si="6"/>
        <v>-2.3304299999999998</v>
      </c>
      <c r="H117">
        <f t="shared" si="7"/>
        <v>-2.3304299999999998</v>
      </c>
      <c r="I117" s="5">
        <f t="shared" si="8"/>
        <v>1756</v>
      </c>
      <c r="J117">
        <f>+H117+CF*F117*(1+($I117-1850)*slope/1000)+F117*hQc*COS(2*PI()*$I117/qbo+$L117)+F117*hQs*SIN(2*PI()*$I117/qbo+$L117)+F117*hCs*SIN(2*PI()*$I117/cw)+F117*hCc*COS(2*PI()*$I117/cw) +mix*F117*(hQc*COS(2*PI()*$I117/qbo+$L117)+hQs*SIN(2*PI()*$I117/qbo+$L117))*(hCs*SIN(2*PI()*$I117/cw)+hCc*COS(2*PI()*$I117/cw))</f>
        <v>-3.3090394252784856</v>
      </c>
      <c r="K117">
        <f>fQc*COS(2*PI()*$I117/qbo+$L117)+fQs*SIN(2*PI()*$I117/qbo+$L117)+fCs*SIN(2*PI()*$I117/cw)+fCc*COS(2*PI()*$I117/cw)</f>
        <v>2.2694438488381823</v>
      </c>
      <c r="L117">
        <f>+QMA*COS(2*PI()*$I117/QM+QMP)</f>
        <v>0.80340204630496748</v>
      </c>
      <c r="P117">
        <f t="shared" si="9"/>
        <v>0</v>
      </c>
    </row>
    <row r="118" spans="1:16" x14ac:dyDescent="0.25">
      <c r="A118" s="1"/>
      <c r="B118" t="s">
        <v>131</v>
      </c>
      <c r="C118" t="s">
        <v>24</v>
      </c>
      <c r="D118" s="3">
        <v>4.5</v>
      </c>
      <c r="E118" s="5">
        <f t="shared" si="5"/>
        <v>1757</v>
      </c>
      <c r="F118">
        <v>-1.7000599999999999</v>
      </c>
      <c r="G118">
        <f t="shared" si="6"/>
        <v>2.5641400000000001</v>
      </c>
      <c r="H118">
        <f t="shared" si="7"/>
        <v>2.5641400000000001</v>
      </c>
      <c r="I118" s="5">
        <f t="shared" si="8"/>
        <v>1757</v>
      </c>
      <c r="J118">
        <f>+H118+CF*F118*(1+($I118-1850)*slope/1000)+F118*hQc*COS(2*PI()*$I118/qbo+$L118)+F118*hQs*SIN(2*PI()*$I118/qbo+$L118)+F118*hCs*SIN(2*PI()*$I118/cw)+F118*hCc*COS(2*PI()*$I118/cw) +mix*F118*(hQc*COS(2*PI()*$I118/qbo+$L118)+hQs*SIN(2*PI()*$I118/qbo+$L118))*(hCs*SIN(2*PI()*$I118/cw)+hCc*COS(2*PI()*$I118/cw))</f>
        <v>-1.409598956093381</v>
      </c>
      <c r="K118">
        <f>fQc*COS(2*PI()*$I118/qbo+$L118)+fQs*SIN(2*PI()*$I118/qbo+$L118)+fCs*SIN(2*PI()*$I118/cw)+fCc*COS(2*PI()*$I118/cw)</f>
        <v>-1.3464904891844585</v>
      </c>
      <c r="L118">
        <f>+QMA*COS(2*PI()*$I118/QM+QMP)</f>
        <v>0.86131191077518832</v>
      </c>
      <c r="P118">
        <f t="shared" si="9"/>
        <v>1</v>
      </c>
    </row>
    <row r="119" spans="1:16" x14ac:dyDescent="0.25">
      <c r="A119" s="1"/>
      <c r="B119" t="s">
        <v>132</v>
      </c>
      <c r="C119" t="s">
        <v>24</v>
      </c>
      <c r="D119" s="3">
        <v>4.541666666666667</v>
      </c>
      <c r="E119" s="5">
        <f t="shared" si="5"/>
        <v>1758</v>
      </c>
      <c r="F119">
        <v>-0.62509000000000003</v>
      </c>
      <c r="G119">
        <f t="shared" si="6"/>
        <v>-2.9079999999999995E-2</v>
      </c>
      <c r="H119">
        <f t="shared" si="7"/>
        <v>-2.9079999999999995E-2</v>
      </c>
      <c r="I119" s="5">
        <f t="shared" si="8"/>
        <v>1758</v>
      </c>
      <c r="J119">
        <f>+H119+CF*F119*(1+($I119-1850)*slope/1000)+F119*hQc*COS(2*PI()*$I119/qbo+$L119)+F119*hQs*SIN(2*PI()*$I119/qbo+$L119)+F119*hCs*SIN(2*PI()*$I119/cw)+F119*hCc*COS(2*PI()*$I119/cw) +mix*F119*(hQc*COS(2*PI()*$I119/qbo+$L119)+hQs*SIN(2*PI()*$I119/qbo+$L119))*(hCs*SIN(2*PI()*$I119/cw)+hCc*COS(2*PI()*$I119/cw))</f>
        <v>0.26132111946658176</v>
      </c>
      <c r="K119">
        <f>fQc*COS(2*PI()*$I119/qbo+$L119)+fQs*SIN(2*PI()*$I119/qbo+$L119)+fCs*SIN(2*PI()*$I119/cw)+fCc*COS(2*PI()*$I119/cw)</f>
        <v>0.94069209429817291</v>
      </c>
      <c r="L119">
        <f>+QMA*COS(2*PI()*$I119/QM+QMP)</f>
        <v>0.90279060558596014</v>
      </c>
      <c r="P119">
        <f t="shared" si="9"/>
        <v>1</v>
      </c>
    </row>
    <row r="120" spans="1:16" x14ac:dyDescent="0.25">
      <c r="A120" s="1"/>
      <c r="B120" t="s">
        <v>133</v>
      </c>
      <c r="C120" t="s">
        <v>24</v>
      </c>
      <c r="D120" s="3">
        <v>4.583333333333333</v>
      </c>
      <c r="E120" s="5">
        <f t="shared" si="5"/>
        <v>1759</v>
      </c>
      <c r="F120">
        <v>0.42080000000000001</v>
      </c>
      <c r="G120">
        <f t="shared" si="6"/>
        <v>-1.4132500000000001</v>
      </c>
      <c r="H120">
        <f t="shared" si="7"/>
        <v>-1.4132500000000001</v>
      </c>
      <c r="I120" s="5">
        <f t="shared" si="8"/>
        <v>1759</v>
      </c>
      <c r="J120">
        <f>+H120+CF*F120*(1+($I120-1850)*slope/1000)+F120*hQc*COS(2*PI()*$I120/qbo+$L120)+F120*hQs*SIN(2*PI()*$I120/qbo+$L120)+F120*hCs*SIN(2*PI()*$I120/cw)+F120*hCc*COS(2*PI()*$I120/cw) +mix*F120*(hQc*COS(2*PI()*$I120/qbo+$L120)+hQs*SIN(2*PI()*$I120/qbo+$L120))*(hCs*SIN(2*PI()*$I120/cw)+hCc*COS(2*PI()*$I120/cw))</f>
        <v>-2.0141789065337434</v>
      </c>
      <c r="K120">
        <f>fQc*COS(2*PI()*$I120/qbo+$L120)+fQs*SIN(2*PI()*$I120/qbo+$L120)+fCs*SIN(2*PI()*$I120/cw)+fCc*COS(2*PI()*$I120/cw)</f>
        <v>1.2196327564142135</v>
      </c>
      <c r="L120">
        <f>+QMA*COS(2*PI()*$I120/QM+QMP)</f>
        <v>0.92704684541642868</v>
      </c>
      <c r="P120">
        <f t="shared" si="9"/>
        <v>0</v>
      </c>
    </row>
    <row r="121" spans="1:16" x14ac:dyDescent="0.25">
      <c r="A121" s="1"/>
      <c r="B121" t="s">
        <v>134</v>
      </c>
      <c r="C121" t="s">
        <v>24</v>
      </c>
      <c r="D121" s="3">
        <v>4.625</v>
      </c>
      <c r="E121" s="5">
        <f t="shared" si="5"/>
        <v>1760</v>
      </c>
      <c r="F121">
        <v>5.3440000000000001E-2</v>
      </c>
      <c r="G121">
        <f t="shared" si="6"/>
        <v>-0.51621000000000006</v>
      </c>
      <c r="H121">
        <f t="shared" si="7"/>
        <v>-0.51621000000000006</v>
      </c>
      <c r="I121" s="5">
        <f t="shared" si="8"/>
        <v>1760</v>
      </c>
      <c r="J121">
        <f>+H121+CF*F121*(1+($I121-1850)*slope/1000)+F121*hQc*COS(2*PI()*$I121/qbo+$L121)+F121*hQs*SIN(2*PI()*$I121/qbo+$L121)+F121*hCs*SIN(2*PI()*$I121/cw)+F121*hCc*COS(2*PI()*$I121/cw) +mix*F121*(hQc*COS(2*PI()*$I121/qbo+$L121)+hQs*SIN(2*PI()*$I121/qbo+$L121))*(hCs*SIN(2*PI()*$I121/cw)+hCc*COS(2*PI()*$I121/cw))</f>
        <v>-0.3116074674680841</v>
      </c>
      <c r="K121">
        <f>fQc*COS(2*PI()*$I121/qbo+$L121)+fQs*SIN(2*PI()*$I121/qbo+$L121)+fCs*SIN(2*PI()*$I121/cw)+fCc*COS(2*PI()*$I121/cw)</f>
        <v>-1.6250859004516343</v>
      </c>
      <c r="L121">
        <f>+QMA*COS(2*PI()*$I121/QM+QMP)</f>
        <v>0.9336178961664644</v>
      </c>
      <c r="P121">
        <f t="shared" si="9"/>
        <v>1</v>
      </c>
    </row>
    <row r="122" spans="1:16" x14ac:dyDescent="0.25">
      <c r="A122" s="1"/>
      <c r="B122" t="s">
        <v>135</v>
      </c>
      <c r="C122" t="s">
        <v>24</v>
      </c>
      <c r="D122" s="3">
        <v>4.666666666666667</v>
      </c>
      <c r="E122" s="5">
        <f t="shared" si="5"/>
        <v>1761</v>
      </c>
      <c r="F122">
        <v>-0.83013000000000003</v>
      </c>
      <c r="G122">
        <f t="shared" si="6"/>
        <v>2.25312</v>
      </c>
      <c r="H122">
        <f t="shared" si="7"/>
        <v>2.25312</v>
      </c>
      <c r="I122" s="5">
        <f t="shared" si="8"/>
        <v>1761</v>
      </c>
      <c r="J122">
        <f>+H122+CF*F122*(1+($I122-1850)*slope/1000)+F122*hQc*COS(2*PI()*$I122/qbo+$L122)+F122*hQs*SIN(2*PI()*$I122/qbo+$L122)+F122*hCs*SIN(2*PI()*$I122/cw)+F122*hCc*COS(2*PI()*$I122/cw) +mix*F122*(hQc*COS(2*PI()*$I122/qbo+$L122)+hQs*SIN(2*PI()*$I122/qbo+$L122))*(hCs*SIN(2*PI()*$I122/cw)+hCc*COS(2*PI()*$I122/cw))</f>
        <v>2.92698314094471</v>
      </c>
      <c r="K122">
        <f>fQc*COS(2*PI()*$I122/qbo+$L122)+fQs*SIN(2*PI()*$I122/qbo+$L122)+fCs*SIN(2*PI()*$I122/cw)+fCc*COS(2*PI()*$I122/cw)</f>
        <v>2.5656947360492213</v>
      </c>
      <c r="L122">
        <f>+QMA*COS(2*PI()*$I122/QM+QMP)</f>
        <v>0.92237840249340886</v>
      </c>
      <c r="P122">
        <f t="shared" si="9"/>
        <v>1</v>
      </c>
    </row>
    <row r="123" spans="1:16" x14ac:dyDescent="0.25">
      <c r="A123" s="1"/>
      <c r="B123" t="s">
        <v>136</v>
      </c>
      <c r="C123" t="s">
        <v>24</v>
      </c>
      <c r="D123" s="3">
        <v>4.708333333333333</v>
      </c>
      <c r="E123" s="5">
        <f t="shared" si="5"/>
        <v>1762</v>
      </c>
      <c r="F123">
        <v>0.53942000000000001</v>
      </c>
      <c r="G123">
        <f t="shared" si="6"/>
        <v>-2.6812800000000001</v>
      </c>
      <c r="H123">
        <f t="shared" si="7"/>
        <v>-2.6812800000000001</v>
      </c>
      <c r="I123" s="5">
        <f t="shared" si="8"/>
        <v>1762</v>
      </c>
      <c r="J123">
        <f>+H123+CF*F123*(1+($I123-1850)*slope/1000)+F123*hQc*COS(2*PI()*$I123/qbo+$L123)+F123*hQs*SIN(2*PI()*$I123/qbo+$L123)+F123*hCs*SIN(2*PI()*$I123/cw)+F123*hCc*COS(2*PI()*$I123/cw) +mix*F123*(hQc*COS(2*PI()*$I123/qbo+$L123)+hQs*SIN(2*PI()*$I123/qbo+$L123))*(hCs*SIN(2*PI()*$I123/cw)+hCc*COS(2*PI()*$I123/cw))</f>
        <v>-2.3184731768121738</v>
      </c>
      <c r="K123">
        <f>fQc*COS(2*PI()*$I123/qbo+$L123)+fQs*SIN(2*PI()*$I123/qbo+$L123)+fCs*SIN(2*PI()*$I123/cw)+fCc*COS(2*PI()*$I123/cw)</f>
        <v>-3.246900645663457</v>
      </c>
      <c r="L123">
        <f>+QMA*COS(2*PI()*$I123/QM+QMP)</f>
        <v>0.89354277920462022</v>
      </c>
      <c r="P123">
        <f t="shared" si="9"/>
        <v>1</v>
      </c>
    </row>
    <row r="124" spans="1:16" x14ac:dyDescent="0.25">
      <c r="A124" s="1"/>
      <c r="B124" t="s">
        <v>137</v>
      </c>
      <c r="C124" t="s">
        <v>24</v>
      </c>
      <c r="D124" s="3">
        <v>4.75</v>
      </c>
      <c r="E124" s="5">
        <f t="shared" si="5"/>
        <v>1763</v>
      </c>
      <c r="F124">
        <v>-0.77231000000000005</v>
      </c>
      <c r="G124">
        <f t="shared" si="6"/>
        <v>2.0208200000000001</v>
      </c>
      <c r="H124">
        <f t="shared" si="7"/>
        <v>2.0208200000000001</v>
      </c>
      <c r="I124" s="5">
        <f t="shared" si="8"/>
        <v>1763</v>
      </c>
      <c r="J124">
        <f>+H124+CF*F124*(1+($I124-1850)*slope/1000)+F124*hQc*COS(2*PI()*$I124/qbo+$L124)+F124*hQs*SIN(2*PI()*$I124/qbo+$L124)+F124*hCs*SIN(2*PI()*$I124/cw)+F124*hCc*COS(2*PI()*$I124/cw) +mix*F124*(hQc*COS(2*PI()*$I124/qbo+$L124)+hQs*SIN(2*PI()*$I124/qbo+$L124))*(hCs*SIN(2*PI()*$I124/cw)+hCc*COS(2*PI()*$I124/cw))</f>
        <v>-3.1371109628155889</v>
      </c>
      <c r="K124">
        <f>fQc*COS(2*PI()*$I124/qbo+$L124)+fQs*SIN(2*PI()*$I124/qbo+$L124)+fCs*SIN(2*PI()*$I124/cw)+fCc*COS(2*PI()*$I124/cw)</f>
        <v>1.8841716431602309</v>
      </c>
      <c r="L124">
        <f>+QMA*COS(2*PI()*$I124/QM+QMP)</f>
        <v>0.84766112088552947</v>
      </c>
      <c r="P124">
        <f t="shared" si="9"/>
        <v>0</v>
      </c>
    </row>
    <row r="125" spans="1:16" x14ac:dyDescent="0.25">
      <c r="A125" s="1"/>
      <c r="B125" t="s">
        <v>138</v>
      </c>
      <c r="C125" t="s">
        <v>24</v>
      </c>
      <c r="D125" s="3">
        <v>4.791666666666667</v>
      </c>
      <c r="E125" s="5">
        <f t="shared" si="5"/>
        <v>1764</v>
      </c>
      <c r="F125">
        <v>-6.3219999999999998E-2</v>
      </c>
      <c r="G125">
        <f t="shared" si="6"/>
        <v>-0.91364000000000001</v>
      </c>
      <c r="H125">
        <f t="shared" si="7"/>
        <v>-0.91364000000000001</v>
      </c>
      <c r="I125" s="5">
        <f t="shared" si="8"/>
        <v>1764</v>
      </c>
      <c r="J125">
        <f>+H125+CF*F125*(1+($I125-1850)*slope/1000)+F125*hQc*COS(2*PI()*$I125/qbo+$L125)+F125*hQs*SIN(2*PI()*$I125/qbo+$L125)+F125*hCs*SIN(2*PI()*$I125/cw)+F125*hCc*COS(2*PI()*$I125/cw) +mix*F125*(hQc*COS(2*PI()*$I125/qbo+$L125)+hQs*SIN(2*PI()*$I125/qbo+$L125))*(hCs*SIN(2*PI()*$I125/cw)+hCc*COS(2*PI()*$I125/cw))</f>
        <v>-0.97430942918269348</v>
      </c>
      <c r="K125">
        <f>fQc*COS(2*PI()*$I125/qbo+$L125)+fQs*SIN(2*PI()*$I125/qbo+$L125)+fCs*SIN(2*PI()*$I125/cw)+fCc*COS(2*PI()*$I125/cw)</f>
        <v>-1.6447179799870748</v>
      </c>
      <c r="L125">
        <f>+QMA*COS(2*PI()*$I125/QM+QMP)</f>
        <v>0.78560870779489911</v>
      </c>
      <c r="P125">
        <f t="shared" si="9"/>
        <v>1</v>
      </c>
    </row>
    <row r="126" spans="1:16" x14ac:dyDescent="0.25">
      <c r="A126" s="1"/>
      <c r="B126" t="s">
        <v>139</v>
      </c>
      <c r="C126" t="s">
        <v>24</v>
      </c>
      <c r="D126" s="3">
        <v>4.833333333333333</v>
      </c>
      <c r="E126" s="5">
        <f t="shared" si="5"/>
        <v>1765</v>
      </c>
      <c r="F126">
        <v>-0.26777000000000001</v>
      </c>
      <c r="G126">
        <f t="shared" si="6"/>
        <v>1.14693</v>
      </c>
      <c r="H126">
        <f t="shared" si="7"/>
        <v>1.14693</v>
      </c>
      <c r="I126" s="5">
        <f t="shared" si="8"/>
        <v>1765</v>
      </c>
      <c r="J126">
        <f>+H126+CF*F126*(1+($I126-1850)*slope/1000)+F126*hQc*COS(2*PI()*$I126/qbo+$L126)+F126*hQs*SIN(2*PI()*$I126/qbo+$L126)+F126*hCs*SIN(2*PI()*$I126/cw)+F126*hCc*COS(2*PI()*$I126/cw) +mix*F126*(hQc*COS(2*PI()*$I126/qbo+$L126)+hQs*SIN(2*PI()*$I126/qbo+$L126))*(hCs*SIN(2*PI()*$I126/cw)+hCc*COS(2*PI()*$I126/cw))</f>
        <v>0.53547446699236112</v>
      </c>
      <c r="K126">
        <f>fQc*COS(2*PI()*$I126/qbo+$L126)+fQs*SIN(2*PI()*$I126/qbo+$L126)+fCs*SIN(2*PI()*$I126/cw)+fCc*COS(2*PI()*$I126/cw)</f>
        <v>-0.26656958786196372</v>
      </c>
      <c r="L126">
        <f>+QMA*COS(2*PI()*$I126/QM+QMP)</f>
        <v>0.70856930822206687</v>
      </c>
      <c r="P126">
        <f t="shared" si="9"/>
        <v>0</v>
      </c>
    </row>
    <row r="127" spans="1:16" x14ac:dyDescent="0.25">
      <c r="A127" s="1"/>
      <c r="B127" t="s">
        <v>140</v>
      </c>
      <c r="C127" t="s">
        <v>24</v>
      </c>
      <c r="D127" s="3">
        <v>4.875</v>
      </c>
      <c r="E127" s="5">
        <f t="shared" si="5"/>
        <v>1766</v>
      </c>
      <c r="F127">
        <v>0.67461000000000004</v>
      </c>
      <c r="G127">
        <f t="shared" si="6"/>
        <v>-1.22204</v>
      </c>
      <c r="H127">
        <f t="shared" si="7"/>
        <v>-1.22204</v>
      </c>
      <c r="I127" s="5">
        <f t="shared" si="8"/>
        <v>1766</v>
      </c>
      <c r="J127">
        <f>+H127+CF*F127*(1+($I127-1850)*slope/1000)+F127*hQc*COS(2*PI()*$I127/qbo+$L127)+F127*hQs*SIN(2*PI()*$I127/qbo+$L127)+F127*hCs*SIN(2*PI()*$I127/cw)+F127*hCc*COS(2*PI()*$I127/cw) +mix*F127*(hQc*COS(2*PI()*$I127/qbo+$L127)+hQs*SIN(2*PI()*$I127/qbo+$L127))*(hCs*SIN(2*PI()*$I127/cw)+hCc*COS(2*PI()*$I127/cw))</f>
        <v>-1.1010052491762503</v>
      </c>
      <c r="K127">
        <f>fQc*COS(2*PI()*$I127/qbo+$L127)+fQs*SIN(2*PI()*$I127/qbo+$L127)+fCs*SIN(2*PI()*$I127/cw)+fCc*COS(2*PI()*$I127/cw)</f>
        <v>1.9392030718821225</v>
      </c>
      <c r="L127">
        <f>+QMA*COS(2*PI()*$I127/QM+QMP)</f>
        <v>0.61801259584630075</v>
      </c>
      <c r="P127">
        <f t="shared" si="9"/>
        <v>0</v>
      </c>
    </row>
    <row r="128" spans="1:16" x14ac:dyDescent="0.25">
      <c r="A128" s="1"/>
      <c r="B128" t="s">
        <v>141</v>
      </c>
      <c r="C128" t="s">
        <v>24</v>
      </c>
      <c r="D128" s="3">
        <v>4.916666666666667</v>
      </c>
      <c r="E128" s="5">
        <f t="shared" si="5"/>
        <v>1767</v>
      </c>
      <c r="F128">
        <v>0.39495000000000002</v>
      </c>
      <c r="G128">
        <f t="shared" si="6"/>
        <v>-0.18498999999999999</v>
      </c>
      <c r="H128">
        <f t="shared" si="7"/>
        <v>-0.18498999999999999</v>
      </c>
      <c r="I128" s="5">
        <f t="shared" si="8"/>
        <v>1767</v>
      </c>
      <c r="J128">
        <f>+H128+CF*F128*(1+($I128-1850)*slope/1000)+F128*hQc*COS(2*PI()*$I128/qbo+$L128)+F128*hQs*SIN(2*PI()*$I128/qbo+$L128)+F128*hCs*SIN(2*PI()*$I128/cw)+F128*hCc*COS(2*PI()*$I128/cw) +mix*F128*(hQc*COS(2*PI()*$I128/qbo+$L128)+hQs*SIN(2*PI()*$I128/qbo+$L128))*(hCs*SIN(2*PI()*$I128/cw)+hCc*COS(2*PI()*$I128/cw))</f>
        <v>1.869969899608777</v>
      </c>
      <c r="K128">
        <f>fQc*COS(2*PI()*$I128/qbo+$L128)+fQs*SIN(2*PI()*$I128/qbo+$L128)+fCs*SIN(2*PI()*$I128/cw)+fCc*COS(2*PI()*$I128/cw)</f>
        <v>-2.1708266640621767</v>
      </c>
      <c r="L128">
        <f>+QMA*COS(2*PI()*$I128/QM+QMP)</f>
        <v>0.51566611290426145</v>
      </c>
      <c r="P128">
        <f t="shared" si="9"/>
        <v>0</v>
      </c>
    </row>
    <row r="129" spans="1:16" x14ac:dyDescent="0.25">
      <c r="A129" s="1"/>
      <c r="B129" t="s">
        <v>142</v>
      </c>
      <c r="C129" t="s">
        <v>24</v>
      </c>
      <c r="D129" s="3">
        <v>4.958333333333333</v>
      </c>
      <c r="E129" s="5">
        <f t="shared" si="5"/>
        <v>1768</v>
      </c>
      <c r="F129">
        <v>-6.9699999999999998E-2</v>
      </c>
      <c r="G129">
        <f t="shared" si="6"/>
        <v>0.86162000000000005</v>
      </c>
      <c r="H129">
        <f t="shared" si="7"/>
        <v>0.86162000000000005</v>
      </c>
      <c r="I129" s="5">
        <f t="shared" si="8"/>
        <v>1768</v>
      </c>
      <c r="J129">
        <f>+H129+CF*F129*(1+($I129-1850)*slope/1000)+F129*hQc*COS(2*PI()*$I129/qbo+$L129)+F129*hQs*SIN(2*PI()*$I129/qbo+$L129)+F129*hCs*SIN(2*PI()*$I129/cw)+F129*hCc*COS(2*PI()*$I129/cw) +mix*F129*(hQc*COS(2*PI()*$I129/qbo+$L129)+hQs*SIN(2*PI()*$I129/qbo+$L129))*(hCs*SIN(2*PI()*$I129/cw)+hCc*COS(2*PI()*$I129/cw))</f>
        <v>1.3231286535465934</v>
      </c>
      <c r="K129">
        <f>fQc*COS(2*PI()*$I129/qbo+$L129)+fQs*SIN(2*PI()*$I129/qbo+$L129)+fCs*SIN(2*PI()*$I129/cw)+fCc*COS(2*PI()*$I129/cw)</f>
        <v>3.2812766057862928</v>
      </c>
      <c r="L129">
        <f>+QMA*COS(2*PI()*$I129/QM+QMP)</f>
        <v>0.40348231402271623</v>
      </c>
      <c r="P129">
        <f t="shared" si="9"/>
        <v>1</v>
      </c>
    </row>
    <row r="130" spans="1:16" x14ac:dyDescent="0.25">
      <c r="A130" s="1"/>
      <c r="B130" t="s">
        <v>143</v>
      </c>
      <c r="C130" t="s">
        <v>24</v>
      </c>
      <c r="D130" s="3">
        <v>5</v>
      </c>
      <c r="E130" s="5">
        <f t="shared" si="5"/>
        <v>1769</v>
      </c>
      <c r="F130">
        <v>0.32727000000000001</v>
      </c>
      <c r="G130">
        <f t="shared" si="6"/>
        <v>0.12131999999999993</v>
      </c>
      <c r="H130">
        <f t="shared" si="7"/>
        <v>0.12131999999999993</v>
      </c>
      <c r="I130" s="5">
        <f t="shared" si="8"/>
        <v>1769</v>
      </c>
      <c r="J130">
        <f>+H130+CF*F130*(1+($I130-1850)*slope/1000)+F130*hQc*COS(2*PI()*$I130/qbo+$L130)+F130*hQs*SIN(2*PI()*$I130/qbo+$L130)+F130*hCs*SIN(2*PI()*$I130/cw)+F130*hCc*COS(2*PI()*$I130/cw) +mix*F130*(hQc*COS(2*PI()*$I130/qbo+$L130)+hQs*SIN(2*PI()*$I130/qbo+$L130))*(hCs*SIN(2*PI()*$I130/cw)+hCc*COS(2*PI()*$I130/cw))</f>
        <v>1.5187700298900744</v>
      </c>
      <c r="K130">
        <f>fQc*COS(2*PI()*$I130/qbo+$L130)+fQs*SIN(2*PI()*$I130/qbo+$L130)+fCs*SIN(2*PI()*$I130/cw)+fCc*COS(2*PI()*$I130/cw)</f>
        <v>-1.9034627380190732</v>
      </c>
      <c r="L130">
        <f>+QMA*COS(2*PI()*$I130/QM+QMP)</f>
        <v>0.28360131941761135</v>
      </c>
      <c r="P130">
        <f t="shared" si="9"/>
        <v>0</v>
      </c>
    </row>
    <row r="131" spans="1:16" x14ac:dyDescent="0.25">
      <c r="A131" s="1"/>
      <c r="B131" t="s">
        <v>144</v>
      </c>
      <c r="C131" t="s">
        <v>24</v>
      </c>
      <c r="D131" s="3">
        <v>5.041666666666667</v>
      </c>
      <c r="E131" s="5">
        <f t="shared" si="5"/>
        <v>1770</v>
      </c>
      <c r="F131">
        <v>0.84555999999999998</v>
      </c>
      <c r="G131">
        <f t="shared" si="6"/>
        <v>-0.67840999999999985</v>
      </c>
      <c r="H131">
        <f t="shared" si="7"/>
        <v>-0.67840999999999985</v>
      </c>
      <c r="I131" s="5">
        <f t="shared" si="8"/>
        <v>1770</v>
      </c>
      <c r="J131">
        <f>+H131+CF*F131*(1+($I131-1850)*slope/1000)+F131*hQc*COS(2*PI()*$I131/qbo+$L131)+F131*hQs*SIN(2*PI()*$I131/qbo+$L131)+F131*hCs*SIN(2*PI()*$I131/cw)+F131*hCc*COS(2*PI()*$I131/cw) +mix*F131*(hQc*COS(2*PI()*$I131/qbo+$L131)+hQs*SIN(2*PI()*$I131/qbo+$L131))*(hCs*SIN(2*PI()*$I131/cw)+hCc*COS(2*PI()*$I131/cw))</f>
        <v>4.0399632377187078E-2</v>
      </c>
      <c r="K131">
        <f>fQc*COS(2*PI()*$I131/qbo+$L131)+fQs*SIN(2*PI()*$I131/qbo+$L131)+fCs*SIN(2*PI()*$I131/cw)+fCc*COS(2*PI()*$I131/cw)</f>
        <v>0.55207709010761774</v>
      </c>
      <c r="L131">
        <f>+QMA*COS(2*PI()*$I131/QM+QMP)</f>
        <v>0.15831008801359919</v>
      </c>
      <c r="P131">
        <f t="shared" si="9"/>
        <v>1</v>
      </c>
    </row>
    <row r="132" spans="1:16" x14ac:dyDescent="0.25">
      <c r="A132" s="1"/>
      <c r="B132" t="s">
        <v>145</v>
      </c>
      <c r="C132" t="s">
        <v>24</v>
      </c>
      <c r="D132" s="3">
        <v>5.083333333333333</v>
      </c>
      <c r="E132" s="5">
        <f t="shared" si="5"/>
        <v>1771</v>
      </c>
      <c r="F132">
        <v>0.68544000000000005</v>
      </c>
      <c r="G132">
        <f t="shared" si="6"/>
        <v>-1.19834</v>
      </c>
      <c r="H132">
        <f t="shared" si="7"/>
        <v>-1.19834</v>
      </c>
      <c r="I132" s="5">
        <f t="shared" si="8"/>
        <v>1771</v>
      </c>
      <c r="J132">
        <f>+H132+CF*F132*(1+($I132-1850)*slope/1000)+F132*hQc*COS(2*PI()*$I132/qbo+$L132)+F132*hQs*SIN(2*PI()*$I132/qbo+$L132)+F132*hCs*SIN(2*PI()*$I132/cw)+F132*hCc*COS(2*PI()*$I132/cw) +mix*F132*(hQc*COS(2*PI()*$I132/qbo+$L132)+hQs*SIN(2*PI()*$I132/qbo+$L132))*(hCs*SIN(2*PI()*$I132/cw)+hCc*COS(2*PI()*$I132/cw))</f>
        <v>0.86263455494893326</v>
      </c>
      <c r="K132">
        <f>fQc*COS(2*PI()*$I132/qbo+$L132)+fQs*SIN(2*PI()*$I132/qbo+$L132)+fCs*SIN(2*PI()*$I132/cw)+fCc*COS(2*PI()*$I132/cw)</f>
        <v>0.53958370686142487</v>
      </c>
      <c r="L132">
        <f>+QMA*COS(2*PI()*$I132/QM+QMP)</f>
        <v>2.999878933499012E-2</v>
      </c>
      <c r="P132">
        <f t="shared" si="9"/>
        <v>1</v>
      </c>
    </row>
    <row r="133" spans="1:16" x14ac:dyDescent="0.25">
      <c r="A133" s="1"/>
      <c r="B133" t="s">
        <v>146</v>
      </c>
      <c r="C133" t="s">
        <v>24</v>
      </c>
      <c r="D133" s="3">
        <v>5.125</v>
      </c>
      <c r="E133" s="5">
        <f t="shared" si="5"/>
        <v>1772</v>
      </c>
      <c r="F133">
        <v>-0.67301999999999995</v>
      </c>
      <c r="G133">
        <f t="shared" si="6"/>
        <v>0.61890999999999985</v>
      </c>
      <c r="H133">
        <f t="shared" si="7"/>
        <v>0.61890999999999985</v>
      </c>
      <c r="I133" s="5">
        <f t="shared" si="8"/>
        <v>1772</v>
      </c>
      <c r="J133">
        <f>+H133+CF*F133*(1+($I133-1850)*slope/1000)+F133*hQc*COS(2*PI()*$I133/qbo+$L133)+F133*hQs*SIN(2*PI()*$I133/qbo+$L133)+F133*hCs*SIN(2*PI()*$I133/cw)+F133*hCc*COS(2*PI()*$I133/cw) +mix*F133*(hQc*COS(2*PI()*$I133/qbo+$L133)+hQs*SIN(2*PI()*$I133/qbo+$L133))*(hCs*SIN(2*PI()*$I133/cw)+hCc*COS(2*PI()*$I133/cw))</f>
        <v>0.95372364046049651</v>
      </c>
      <c r="K133">
        <f>fQc*COS(2*PI()*$I133/qbo+$L133)+fQs*SIN(2*PI()*$I133/qbo+$L133)+fCs*SIN(2*PI()*$I133/cw)+fCc*COS(2*PI()*$I133/cw)</f>
        <v>-2.7855523890219338</v>
      </c>
      <c r="L133">
        <f>+QMA*COS(2*PI()*$I133/QM+QMP)</f>
        <v>-9.8884793542817748E-2</v>
      </c>
      <c r="P133">
        <f t="shared" si="9"/>
        <v>0</v>
      </c>
    </row>
    <row r="134" spans="1:16" x14ac:dyDescent="0.25">
      <c r="A134" s="1"/>
      <c r="B134" t="s">
        <v>147</v>
      </c>
      <c r="C134" t="s">
        <v>24</v>
      </c>
      <c r="D134" s="3">
        <v>5.166666666666667</v>
      </c>
      <c r="E134" s="5">
        <f t="shared" si="5"/>
        <v>1773</v>
      </c>
      <c r="F134">
        <v>-1.4125700000000001</v>
      </c>
      <c r="G134">
        <f t="shared" si="6"/>
        <v>1.9438000000000002</v>
      </c>
      <c r="H134">
        <f t="shared" si="7"/>
        <v>1.9438000000000002</v>
      </c>
      <c r="I134" s="5">
        <f t="shared" si="8"/>
        <v>1773</v>
      </c>
      <c r="J134">
        <f>+H134+CF*F134*(1+($I134-1850)*slope/1000)+F134*hQc*COS(2*PI()*$I134/qbo+$L134)+F134*hQs*SIN(2*PI()*$I134/qbo+$L134)+F134*hCs*SIN(2*PI()*$I134/cw)+F134*hCc*COS(2*PI()*$I134/cw) +mix*F134*(hQc*COS(2*PI()*$I134/qbo+$L134)+hQs*SIN(2*PI()*$I134/qbo+$L134))*(hCs*SIN(2*PI()*$I134/cw)+hCc*COS(2*PI()*$I134/cw))</f>
        <v>-7.98312982788193</v>
      </c>
      <c r="K134">
        <f>fQc*COS(2*PI()*$I134/qbo+$L134)+fQs*SIN(2*PI()*$I134/qbo+$L134)+fCs*SIN(2*PI()*$I134/cw)+fCc*COS(2*PI()*$I134/cw)</f>
        <v>2.5362228941312868</v>
      </c>
      <c r="L134">
        <f>+QMA*COS(2*PI()*$I134/QM+QMP)</f>
        <v>-0.22588196013043896</v>
      </c>
      <c r="P134">
        <f t="shared" si="9"/>
        <v>0</v>
      </c>
    </row>
    <row r="135" spans="1:16" x14ac:dyDescent="0.25">
      <c r="A135" s="1"/>
      <c r="B135" t="s">
        <v>148</v>
      </c>
      <c r="C135" t="s">
        <v>24</v>
      </c>
      <c r="D135" s="3">
        <v>5.208333333333333</v>
      </c>
      <c r="E135" s="5">
        <f t="shared" si="5"/>
        <v>1774</v>
      </c>
      <c r="F135">
        <v>-0.20832000000000001</v>
      </c>
      <c r="G135">
        <f t="shared" si="6"/>
        <v>-1.0641700000000001</v>
      </c>
      <c r="H135">
        <f t="shared" si="7"/>
        <v>-1.0641700000000001</v>
      </c>
      <c r="I135" s="5">
        <f t="shared" si="8"/>
        <v>1774</v>
      </c>
      <c r="J135">
        <f>+H135+CF*F135*(1+($I135-1850)*slope/1000)+F135*hQc*COS(2*PI()*$I135/qbo+$L135)+F135*hQs*SIN(2*PI()*$I135/qbo+$L135)+F135*hCs*SIN(2*PI()*$I135/cw)+F135*hCc*COS(2*PI()*$I135/cw) +mix*F135*(hQc*COS(2*PI()*$I135/qbo+$L135)+hQs*SIN(2*PI()*$I135/qbo+$L135))*(hCs*SIN(2*PI()*$I135/cw)+hCc*COS(2*PI()*$I135/cw))</f>
        <v>-1.2497718047190967</v>
      </c>
      <c r="K135">
        <f>fQc*COS(2*PI()*$I135/qbo+$L135)+fQs*SIN(2*PI()*$I135/qbo+$L135)+fCs*SIN(2*PI()*$I135/cw)+fCc*COS(2*PI()*$I135/cw)</f>
        <v>-2.5095797011240109</v>
      </c>
      <c r="L135">
        <f>+QMA*COS(2*PI()*$I135/QM+QMP)</f>
        <v>-0.34856999693190754</v>
      </c>
      <c r="P135">
        <f t="shared" si="9"/>
        <v>1</v>
      </c>
    </row>
    <row r="136" spans="1:16" x14ac:dyDescent="0.25">
      <c r="A136" s="1"/>
      <c r="B136" t="s">
        <v>149</v>
      </c>
      <c r="C136" t="s">
        <v>24</v>
      </c>
      <c r="D136" s="3">
        <v>5.25</v>
      </c>
      <c r="E136" s="5">
        <f t="shared" si="5"/>
        <v>1775</v>
      </c>
      <c r="F136">
        <v>-6.8239999999999995E-2</v>
      </c>
      <c r="G136">
        <f t="shared" si="6"/>
        <v>-0.52205999999999997</v>
      </c>
      <c r="H136">
        <f t="shared" si="7"/>
        <v>-0.52205999999999997</v>
      </c>
      <c r="I136" s="5">
        <f t="shared" si="8"/>
        <v>1775</v>
      </c>
      <c r="J136">
        <f>+H136+CF*F136*(1+($I136-1850)*slope/1000)+F136*hQc*COS(2*PI()*$I136/qbo+$L136)+F136*hQs*SIN(2*PI()*$I136/qbo+$L136)+F136*hCs*SIN(2*PI()*$I136/cw)+F136*hCc*COS(2*PI()*$I136/cw) +mix*F136*(hQc*COS(2*PI()*$I136/qbo+$L136)+hQs*SIN(2*PI()*$I136/qbo+$L136))*(hCs*SIN(2*PI()*$I136/cw)+hCc*COS(2*PI()*$I136/cw))</f>
        <v>-0.502671773039431</v>
      </c>
      <c r="K136">
        <f>fQc*COS(2*PI()*$I136/qbo+$L136)+fQs*SIN(2*PI()*$I136/qbo+$L136)+fCs*SIN(2*PI()*$I136/cw)+fCc*COS(2*PI()*$I136/cw)</f>
        <v>1.661313895525151</v>
      </c>
      <c r="L136">
        <f>+QMA*COS(2*PI()*$I136/QM+QMP)</f>
        <v>-0.46460839533157261</v>
      </c>
      <c r="P136">
        <f t="shared" si="9"/>
        <v>0</v>
      </c>
    </row>
    <row r="137" spans="1:16" x14ac:dyDescent="0.25">
      <c r="A137" s="1"/>
      <c r="B137" t="s">
        <v>150</v>
      </c>
      <c r="C137" t="s">
        <v>24</v>
      </c>
      <c r="D137" s="3">
        <v>5.291666666666667</v>
      </c>
      <c r="E137" s="5">
        <f t="shared" si="5"/>
        <v>1776</v>
      </c>
      <c r="F137">
        <v>-0.45022000000000001</v>
      </c>
      <c r="G137">
        <f t="shared" si="6"/>
        <v>0.28513000000000005</v>
      </c>
      <c r="H137">
        <f t="shared" si="7"/>
        <v>0.28513000000000005</v>
      </c>
      <c r="I137" s="5">
        <f t="shared" si="8"/>
        <v>1776</v>
      </c>
      <c r="J137">
        <f>+H137+CF*F137*(1+($I137-1850)*slope/1000)+F137*hQc*COS(2*PI()*$I137/qbo+$L137)+F137*hQs*SIN(2*PI()*$I137/qbo+$L137)+F137*hCs*SIN(2*PI()*$I137/cw)+F137*hCc*COS(2*PI()*$I137/cw) +mix*F137*(hQc*COS(2*PI()*$I137/qbo+$L137)+hQs*SIN(2*PI()*$I137/qbo+$L137))*(hCs*SIN(2*PI()*$I137/cw)+hCc*COS(2*PI()*$I137/cw))</f>
        <v>0.33663710911397415</v>
      </c>
      <c r="K137">
        <f>fQc*COS(2*PI()*$I137/qbo+$L137)+fQs*SIN(2*PI()*$I137/qbo+$L137)+fCs*SIN(2*PI()*$I137/cw)+fCc*COS(2*PI()*$I137/cw)</f>
        <v>0.70954835714615316</v>
      </c>
      <c r="L137">
        <f>+QMA*COS(2*PI()*$I137/QM+QMP)</f>
        <v>-0.57178350126613942</v>
      </c>
      <c r="P137">
        <f t="shared" si="9"/>
        <v>1</v>
      </c>
    </row>
    <row r="138" spans="1:16" x14ac:dyDescent="0.25">
      <c r="A138" s="1"/>
      <c r="B138" t="s">
        <v>151</v>
      </c>
      <c r="C138" t="s">
        <v>24</v>
      </c>
      <c r="D138" s="3">
        <v>5.333333333333333</v>
      </c>
      <c r="E138" s="5">
        <f t="shared" si="5"/>
        <v>1777</v>
      </c>
      <c r="F138">
        <v>-0.54706999999999995</v>
      </c>
      <c r="G138">
        <f t="shared" si="6"/>
        <v>-0.23581000000000013</v>
      </c>
      <c r="H138">
        <f t="shared" si="7"/>
        <v>-0.23581000000000013</v>
      </c>
      <c r="I138" s="5">
        <f t="shared" si="8"/>
        <v>1777</v>
      </c>
      <c r="J138">
        <f>+H138+CF*F138*(1+($I138-1850)*slope/1000)+F138*hQc*COS(2*PI()*$I138/qbo+$L138)+F138*hQs*SIN(2*PI()*$I138/qbo+$L138)+F138*hCs*SIN(2*PI()*$I138/cw)+F138*hCc*COS(2*PI()*$I138/cw) +mix*F138*(hQc*COS(2*PI()*$I138/qbo+$L138)+hQs*SIN(2*PI()*$I138/qbo+$L138))*(hCs*SIN(2*PI()*$I138/cw)+hCc*COS(2*PI()*$I138/cw))</f>
        <v>-2.1750293835634231</v>
      </c>
      <c r="K138">
        <f>fQc*COS(2*PI()*$I138/qbo+$L138)+fQs*SIN(2*PI()*$I138/qbo+$L138)+fCs*SIN(2*PI()*$I138/cw)+fCc*COS(2*PI()*$I138/cw)</f>
        <v>-1.2607151356289854</v>
      </c>
      <c r="L138">
        <f>+QMA*COS(2*PI()*$I138/QM+QMP)</f>
        <v>-0.6680507449033718</v>
      </c>
      <c r="P138">
        <f t="shared" si="9"/>
        <v>1</v>
      </c>
    </row>
    <row r="139" spans="1:16" x14ac:dyDescent="0.25">
      <c r="A139" s="1"/>
      <c r="B139" t="s">
        <v>152</v>
      </c>
      <c r="C139" t="s">
        <v>24</v>
      </c>
      <c r="D139" s="3">
        <v>5.375</v>
      </c>
      <c r="E139" s="5">
        <f t="shared" si="5"/>
        <v>1778</v>
      </c>
      <c r="F139">
        <v>-0.87973000000000001</v>
      </c>
      <c r="G139">
        <f t="shared" si="6"/>
        <v>0.59026000000000012</v>
      </c>
      <c r="H139">
        <f t="shared" si="7"/>
        <v>0.59026000000000012</v>
      </c>
      <c r="I139" s="5">
        <f t="shared" si="8"/>
        <v>1778</v>
      </c>
      <c r="J139">
        <f>+H139+CF*F139*(1+($I139-1850)*slope/1000)+F139*hQc*COS(2*PI()*$I139/qbo+$L139)+F139*hQs*SIN(2*PI()*$I139/qbo+$L139)+F139*hCs*SIN(2*PI()*$I139/cw)+F139*hCc*COS(2*PI()*$I139/cw) +mix*F139*(hQc*COS(2*PI()*$I139/qbo+$L139)+hQs*SIN(2*PI()*$I139/qbo+$L139))*(hCs*SIN(2*PI()*$I139/cw)+hCc*COS(2*PI()*$I139/cw))</f>
        <v>4.0324296985173476</v>
      </c>
      <c r="K139">
        <f>fQc*COS(2*PI()*$I139/qbo+$L139)+fQs*SIN(2*PI()*$I139/qbo+$L139)+fCs*SIN(2*PI()*$I139/cw)+fCc*COS(2*PI()*$I139/cw)</f>
        <v>2.7953678586827557</v>
      </c>
      <c r="L139">
        <f>+QMA*COS(2*PI()*$I139/QM+QMP)</f>
        <v>-0.75157364471662658</v>
      </c>
      <c r="P139">
        <f t="shared" si="9"/>
        <v>1</v>
      </c>
    </row>
    <row r="140" spans="1:16" x14ac:dyDescent="0.25">
      <c r="A140" s="1"/>
      <c r="B140" t="s">
        <v>153</v>
      </c>
      <c r="C140" t="s">
        <v>24</v>
      </c>
      <c r="D140" s="3">
        <v>5.416666666666667</v>
      </c>
      <c r="E140" s="5">
        <f t="shared" si="5"/>
        <v>1779</v>
      </c>
      <c r="F140">
        <v>-0.62212999999999996</v>
      </c>
      <c r="G140">
        <f t="shared" si="6"/>
        <v>0.30409999999999993</v>
      </c>
      <c r="H140">
        <f t="shared" si="7"/>
        <v>0.30409999999999993</v>
      </c>
      <c r="I140" s="5">
        <f t="shared" si="8"/>
        <v>1779</v>
      </c>
      <c r="J140">
        <f>+H140+CF*F140*(1+($I140-1850)*slope/1000)+F140*hQc*COS(2*PI()*$I140/qbo+$L140)+F140*hQs*SIN(2*PI()*$I140/qbo+$L140)+F140*hCs*SIN(2*PI()*$I140/cw)+F140*hCc*COS(2*PI()*$I140/cw) +mix*F140*(hQc*COS(2*PI()*$I140/qbo+$L140)+hQs*SIN(2*PI()*$I140/qbo+$L140))*(hCs*SIN(2*PI()*$I140/cw)+hCc*COS(2*PI()*$I140/cw))</f>
        <v>-1.2053041967581435</v>
      </c>
      <c r="K140">
        <f>fQc*COS(2*PI()*$I140/qbo+$L140)+fQs*SIN(2*PI()*$I140/qbo+$L140)+fCs*SIN(2*PI()*$I140/cw)+fCc*COS(2*PI()*$I140/cw)</f>
        <v>-3.0428789415005952</v>
      </c>
      <c r="L140">
        <f>+QMA*COS(2*PI()*$I140/QM+QMP)</f>
        <v>-0.82075884187720383</v>
      </c>
      <c r="P140">
        <f t="shared" si="9"/>
        <v>1</v>
      </c>
    </row>
    <row r="141" spans="1:16" x14ac:dyDescent="0.25">
      <c r="A141" s="1"/>
      <c r="B141" t="s">
        <v>154</v>
      </c>
      <c r="C141" t="s">
        <v>24</v>
      </c>
      <c r="D141" s="3">
        <v>5.458333333333333</v>
      </c>
      <c r="E141" s="5">
        <f t="shared" ref="E141:E204" si="10">+E140+1</f>
        <v>1780</v>
      </c>
      <c r="F141">
        <v>-6.0429999999999998E-2</v>
      </c>
      <c r="G141">
        <f t="shared" ref="G141:G204" si="11">+(F142-F141)-(F141-F140)</f>
        <v>-1.3107199999999999</v>
      </c>
      <c r="H141">
        <f t="shared" ref="H141:H204" si="12">+G141</f>
        <v>-1.3107199999999999</v>
      </c>
      <c r="I141" s="5">
        <f t="shared" si="8"/>
        <v>1780</v>
      </c>
      <c r="J141">
        <f>+H141+CF*F141*(1+($I141-1850)*slope/1000)+F141*hQc*COS(2*PI()*$I141/qbo+$L141)+F141*hQs*SIN(2*PI()*$I141/qbo+$L141)+F141*hCs*SIN(2*PI()*$I141/cw)+F141*hCc*COS(2*PI()*$I141/cw) +mix*F141*(hQc*COS(2*PI()*$I141/qbo+$L141)+hQs*SIN(2*PI()*$I141/qbo+$L141))*(hCs*SIN(2*PI()*$I141/cw)+hCc*COS(2*PI()*$I141/cw))</f>
        <v>-1.5882144628473087</v>
      </c>
      <c r="K141">
        <f>fQc*COS(2*PI()*$I141/qbo+$L141)+fQs*SIN(2*PI()*$I141/qbo+$L141)+fCs*SIN(2*PI()*$I141/cw)+fCc*COS(2*PI()*$I141/cw)</f>
        <v>1.8786037151368526</v>
      </c>
      <c r="L141">
        <f>+QMA*COS(2*PI()*$I141/QM+QMP)</f>
        <v>-0.87428649661712399</v>
      </c>
      <c r="P141">
        <f t="shared" si="9"/>
        <v>0</v>
      </c>
    </row>
    <row r="142" spans="1:16" x14ac:dyDescent="0.25">
      <c r="A142" s="1"/>
      <c r="B142" t="s">
        <v>155</v>
      </c>
      <c r="C142" t="s">
        <v>24</v>
      </c>
      <c r="D142" s="3">
        <v>5.5</v>
      </c>
      <c r="E142" s="5">
        <f t="shared" si="10"/>
        <v>1781</v>
      </c>
      <c r="F142">
        <v>-0.80945</v>
      </c>
      <c r="G142">
        <f t="shared" si="11"/>
        <v>0.48418000000000005</v>
      </c>
      <c r="H142">
        <f t="shared" si="12"/>
        <v>0.48418000000000005</v>
      </c>
      <c r="I142" s="5">
        <f t="shared" ref="I142:I205" si="13">+E142</f>
        <v>1781</v>
      </c>
      <c r="J142">
        <f>+H142+CF*F142*(1+($I142-1850)*slope/1000)+F142*hQc*COS(2*PI()*$I142/qbo+$L142)+F142*hQs*SIN(2*PI()*$I142/qbo+$L142)+F142*hCs*SIN(2*PI()*$I142/cw)+F142*hCc*COS(2*PI()*$I142/cw) +mix*F142*(hQc*COS(2*PI()*$I142/qbo+$L142)+hQs*SIN(2*PI()*$I142/qbo+$L142))*(hCs*SIN(2*PI()*$I142/cw)+hCc*COS(2*PI()*$I142/cw))</f>
        <v>-0.12961358169186488</v>
      </c>
      <c r="K142">
        <f>fQc*COS(2*PI()*$I142/qbo+$L142)+fQs*SIN(2*PI()*$I142/qbo+$L142)+fCs*SIN(2*PI()*$I142/cw)+fCc*COS(2*PI()*$I142/cw)</f>
        <v>-1.7329731892302838</v>
      </c>
      <c r="L142">
        <f>+QMA*COS(2*PI()*$I142/QM+QMP)</f>
        <v>-0.91113546669339485</v>
      </c>
      <c r="P142">
        <f t="shared" ref="P142:P205" si="14">+IF(J142*K142&gt;0,1, 0)</f>
        <v>1</v>
      </c>
    </row>
    <row r="143" spans="1:16" x14ac:dyDescent="0.25">
      <c r="A143" s="1"/>
      <c r="B143" t="s">
        <v>156</v>
      </c>
      <c r="C143" t="s">
        <v>24</v>
      </c>
      <c r="D143" s="3">
        <v>5.541666666666667</v>
      </c>
      <c r="E143" s="5">
        <f t="shared" si="10"/>
        <v>1782</v>
      </c>
      <c r="F143">
        <v>-1.07429</v>
      </c>
      <c r="G143">
        <f t="shared" si="11"/>
        <v>2.16337</v>
      </c>
      <c r="H143">
        <f t="shared" si="12"/>
        <v>2.16337</v>
      </c>
      <c r="I143" s="5">
        <f t="shared" si="13"/>
        <v>1782</v>
      </c>
      <c r="J143">
        <f>+H143+CF*F143*(1+($I143-1850)*slope/1000)+F143*hQc*COS(2*PI()*$I143/qbo+$L143)+F143*hQs*SIN(2*PI()*$I143/qbo+$L143)+F143*hCs*SIN(2*PI()*$I143/cw)+F143*hCc*COS(2*PI()*$I143/cw) +mix*F143*(hQc*COS(2*PI()*$I143/qbo+$L143)+hQs*SIN(2*PI()*$I143/qbo+$L143))*(hCs*SIN(2*PI()*$I143/cw)+hCc*COS(2*PI()*$I143/cw))</f>
        <v>-0.78395359880816384</v>
      </c>
      <c r="K143">
        <f>fQc*COS(2*PI()*$I143/qbo+$L143)+fQs*SIN(2*PI()*$I143/qbo+$L143)+fCs*SIN(2*PI()*$I143/cw)+fCc*COS(2*PI()*$I143/cw)</f>
        <v>-0.35877348819129828</v>
      </c>
      <c r="L143">
        <f>+QMA*COS(2*PI()*$I143/QM+QMP)</f>
        <v>-0.93060278762644189</v>
      </c>
      <c r="P143">
        <f t="shared" si="14"/>
        <v>1</v>
      </c>
    </row>
    <row r="144" spans="1:16" x14ac:dyDescent="0.25">
      <c r="A144" s="1"/>
      <c r="B144" t="s">
        <v>157</v>
      </c>
      <c r="C144" t="s">
        <v>24</v>
      </c>
      <c r="D144" s="3">
        <v>5.583333333333333</v>
      </c>
      <c r="E144" s="5">
        <f t="shared" si="10"/>
        <v>1783</v>
      </c>
      <c r="F144">
        <v>0.82423999999999997</v>
      </c>
      <c r="G144">
        <f t="shared" si="11"/>
        <v>-1.2054200000000002</v>
      </c>
      <c r="H144">
        <f t="shared" si="12"/>
        <v>-1.2054200000000002</v>
      </c>
      <c r="I144" s="5">
        <f t="shared" si="13"/>
        <v>1783</v>
      </c>
      <c r="J144">
        <f>+H144+CF*F144*(1+($I144-1850)*slope/1000)+F144*hQc*COS(2*PI()*$I144/qbo+$L144)+F144*hQs*SIN(2*PI()*$I144/qbo+$L144)+F144*hCs*SIN(2*PI()*$I144/cw)+F144*hCc*COS(2*PI()*$I144/cw) +mix*F144*(hQc*COS(2*PI()*$I144/qbo+$L144)+hQs*SIN(2*PI()*$I144/qbo+$L144))*(hCs*SIN(2*PI()*$I144/cw)+hCc*COS(2*PI()*$I144/cw))</f>
        <v>0.58861610339655335</v>
      </c>
      <c r="K144">
        <f>fQc*COS(2*PI()*$I144/qbo+$L144)+fQs*SIN(2*PI()*$I144/qbo+$L144)+fCs*SIN(2*PI()*$I144/cw)+fCc*COS(2*PI()*$I144/cw)</f>
        <v>1.376185769363178</v>
      </c>
      <c r="L144">
        <f>+QMA*COS(2*PI()*$I144/QM+QMP)</f>
        <v>-0.93231708309014771</v>
      </c>
      <c r="P144">
        <f t="shared" si="14"/>
        <v>1</v>
      </c>
    </row>
    <row r="145" spans="1:16" x14ac:dyDescent="0.25">
      <c r="A145" s="1"/>
      <c r="B145" t="s">
        <v>158</v>
      </c>
      <c r="C145" t="s">
        <v>24</v>
      </c>
      <c r="D145" s="3">
        <v>5.625</v>
      </c>
      <c r="E145" s="5">
        <f t="shared" si="10"/>
        <v>1784</v>
      </c>
      <c r="F145">
        <v>1.51735</v>
      </c>
      <c r="G145">
        <f t="shared" si="11"/>
        <v>-2.7677499999999999</v>
      </c>
      <c r="H145">
        <f t="shared" si="12"/>
        <v>-2.7677499999999999</v>
      </c>
      <c r="I145" s="5">
        <f t="shared" si="13"/>
        <v>1784</v>
      </c>
      <c r="J145">
        <f>+H145+CF*F145*(1+($I145-1850)*slope/1000)+F145*hQc*COS(2*PI()*$I145/qbo+$L145)+F145*hQs*SIN(2*PI()*$I145/qbo+$L145)+F145*hCs*SIN(2*PI()*$I145/cw)+F145*hCc*COS(2*PI()*$I145/cw) +mix*F145*(hQc*COS(2*PI()*$I145/qbo+$L145)+hQs*SIN(2*PI()*$I145/qbo+$L145))*(hCs*SIN(2*PI()*$I145/cw)+hCc*COS(2*PI()*$I145/cw))</f>
        <v>2.047136244099578</v>
      </c>
      <c r="K145">
        <f>fQc*COS(2*PI()*$I145/qbo+$L145)+fQs*SIN(2*PI()*$I145/qbo+$L145)+fCs*SIN(2*PI()*$I145/cw)+fCc*COS(2*PI()*$I145/cw)</f>
        <v>-1.9281461617941036</v>
      </c>
      <c r="L145">
        <f>+QMA*COS(2*PI()*$I145/QM+QMP)</f>
        <v>-0.91624564962452082</v>
      </c>
      <c r="P145">
        <f t="shared" si="14"/>
        <v>0</v>
      </c>
    </row>
    <row r="146" spans="1:16" x14ac:dyDescent="0.25">
      <c r="A146" s="1"/>
      <c r="B146" t="s">
        <v>159</v>
      </c>
      <c r="C146" t="s">
        <v>24</v>
      </c>
      <c r="D146" s="3">
        <v>5.666666666666667</v>
      </c>
      <c r="E146" s="5">
        <f t="shared" si="10"/>
        <v>1785</v>
      </c>
      <c r="F146">
        <v>-0.55728999999999995</v>
      </c>
      <c r="G146">
        <f t="shared" si="11"/>
        <v>1.5596000000000001</v>
      </c>
      <c r="H146">
        <f t="shared" si="12"/>
        <v>1.5596000000000001</v>
      </c>
      <c r="I146" s="5">
        <f t="shared" si="13"/>
        <v>1785</v>
      </c>
      <c r="J146">
        <f>+H146+CF*F146*(1+($I146-1850)*slope/1000)+F146*hQc*COS(2*PI()*$I146/qbo+$L146)+F146*hQs*SIN(2*PI()*$I146/qbo+$L146)+F146*hCs*SIN(2*PI()*$I146/cw)+F146*hCc*COS(2*PI()*$I146/cw) +mix*F146*(hQc*COS(2*PI()*$I146/qbo+$L146)+hQs*SIN(2*PI()*$I146/qbo+$L146))*(hCs*SIN(2*PI()*$I146/cw)+hCc*COS(2*PI()*$I146/cw))</f>
        <v>4.8471513891751066</v>
      </c>
      <c r="K146">
        <f>fQc*COS(2*PI()*$I146/qbo+$L146)+fQs*SIN(2*PI()*$I146/qbo+$L146)+fCs*SIN(2*PI()*$I146/cw)+fCc*COS(2*PI()*$I146/cw)</f>
        <v>3.2947724323417971</v>
      </c>
      <c r="L146">
        <f>+QMA*COS(2*PI()*$I146/QM+QMP)</f>
        <v>-0.88269508051666723</v>
      </c>
      <c r="P146">
        <f t="shared" si="14"/>
        <v>1</v>
      </c>
    </row>
    <row r="147" spans="1:16" x14ac:dyDescent="0.25">
      <c r="A147" s="1"/>
      <c r="B147" t="s">
        <v>160</v>
      </c>
      <c r="C147" t="s">
        <v>24</v>
      </c>
      <c r="D147" s="3">
        <v>5.708333333333333</v>
      </c>
      <c r="E147" s="5">
        <f t="shared" si="10"/>
        <v>1786</v>
      </c>
      <c r="F147">
        <v>-1.07233</v>
      </c>
      <c r="G147">
        <f t="shared" si="11"/>
        <v>1.5132400000000001</v>
      </c>
      <c r="H147">
        <f t="shared" si="12"/>
        <v>1.5132400000000001</v>
      </c>
      <c r="I147" s="5">
        <f t="shared" si="13"/>
        <v>1786</v>
      </c>
      <c r="J147">
        <f>+H147+CF*F147*(1+($I147-1850)*slope/1000)+F147*hQc*COS(2*PI()*$I147/qbo+$L147)+F147*hQs*SIN(2*PI()*$I147/qbo+$L147)+F147*hCs*SIN(2*PI()*$I147/cw)+F147*hCc*COS(2*PI()*$I147/cw) +mix*F147*(hQc*COS(2*PI()*$I147/qbo+$L147)+hQs*SIN(2*PI()*$I147/qbo+$L147))*(hCs*SIN(2*PI()*$I147/cw)+hCc*COS(2*PI()*$I147/cw))</f>
        <v>-5.1437380713965464</v>
      </c>
      <c r="K147">
        <f>fQc*COS(2*PI()*$I147/qbo+$L147)+fQs*SIN(2*PI()*$I147/qbo+$L147)+fCs*SIN(2*PI()*$I147/cw)+fCc*COS(2*PI()*$I147/cw)</f>
        <v>-2.4320818171619645</v>
      </c>
      <c r="L147">
        <f>+QMA*COS(2*PI()*$I147/QM+QMP)</f>
        <v>-0.83230541694829396</v>
      </c>
      <c r="P147">
        <f t="shared" si="14"/>
        <v>1</v>
      </c>
    </row>
    <row r="148" spans="1:16" x14ac:dyDescent="0.25">
      <c r="A148" s="1"/>
      <c r="B148" t="s">
        <v>161</v>
      </c>
      <c r="C148" t="s">
        <v>24</v>
      </c>
      <c r="D148" s="3">
        <v>5.75</v>
      </c>
      <c r="E148" s="5">
        <f t="shared" si="10"/>
        <v>1787</v>
      </c>
      <c r="F148">
        <v>-7.4130000000000001E-2</v>
      </c>
      <c r="G148">
        <f t="shared" si="11"/>
        <v>-0.81238999999999995</v>
      </c>
      <c r="H148">
        <f t="shared" si="12"/>
        <v>-0.81238999999999995</v>
      </c>
      <c r="I148" s="5">
        <f t="shared" si="13"/>
        <v>1787</v>
      </c>
      <c r="J148">
        <f>+H148+CF*F148*(1+($I148-1850)*slope/1000)+F148*hQc*COS(2*PI()*$I148/qbo+$L148)+F148*hQs*SIN(2*PI()*$I148/qbo+$L148)+F148*hCs*SIN(2*PI()*$I148/cw)+F148*hCc*COS(2*PI()*$I148/cw) +mix*F148*(hQc*COS(2*PI()*$I148/qbo+$L148)+hQs*SIN(2*PI()*$I148/qbo+$L148))*(hCs*SIN(2*PI()*$I148/cw)+hCc*COS(2*PI()*$I148/cw))</f>
        <v>-0.56937978296676506</v>
      </c>
      <c r="K148">
        <f>fQc*COS(2*PI()*$I148/qbo+$L148)+fQs*SIN(2*PI()*$I148/qbo+$L148)+fCs*SIN(2*PI()*$I148/cw)+fCc*COS(2*PI()*$I148/cw)</f>
        <v>2.5288261150857689</v>
      </c>
      <c r="L148">
        <f>+QMA*COS(2*PI()*$I148/QM+QMP)</f>
        <v>-0.76603793798775988</v>
      </c>
      <c r="P148">
        <f t="shared" si="14"/>
        <v>0</v>
      </c>
    </row>
    <row r="149" spans="1:16" x14ac:dyDescent="0.25">
      <c r="A149" s="1"/>
      <c r="B149" t="s">
        <v>162</v>
      </c>
      <c r="C149" t="s">
        <v>24</v>
      </c>
      <c r="D149" s="3">
        <v>5.791666666666667</v>
      </c>
      <c r="E149" s="5">
        <f t="shared" si="10"/>
        <v>1788</v>
      </c>
      <c r="F149">
        <v>0.11168</v>
      </c>
      <c r="G149">
        <f t="shared" si="11"/>
        <v>-1.2239200000000001</v>
      </c>
      <c r="H149">
        <f t="shared" si="12"/>
        <v>-1.2239200000000001</v>
      </c>
      <c r="I149" s="5">
        <f t="shared" si="13"/>
        <v>1788</v>
      </c>
      <c r="J149">
        <f>+H149+CF*F149*(1+($I149-1850)*slope/1000)+F149*hQc*COS(2*PI()*$I149/qbo+$L149)+F149*hQs*SIN(2*PI()*$I149/qbo+$L149)+F149*hCs*SIN(2*PI()*$I149/cw)+F149*hCc*COS(2*PI()*$I149/cw) +mix*F149*(hQc*COS(2*PI()*$I149/qbo+$L149)+hQs*SIN(2*PI()*$I149/qbo+$L149))*(hCs*SIN(2*PI()*$I149/cw)+hCc*COS(2*PI()*$I149/cw))</f>
        <v>-1.0325849502423661</v>
      </c>
      <c r="K149">
        <f>fQc*COS(2*PI()*$I149/qbo+$L149)+fQs*SIN(2*PI()*$I149/qbo+$L149)+fCs*SIN(2*PI()*$I149/cw)+fCc*COS(2*PI()*$I149/cw)</f>
        <v>-1.9345567069134155</v>
      </c>
      <c r="L149">
        <f>+QMA*COS(2*PI()*$I149/QM+QMP)</f>
        <v>-0.68515682235604314</v>
      </c>
      <c r="P149">
        <f t="shared" si="14"/>
        <v>1</v>
      </c>
    </row>
    <row r="150" spans="1:16" x14ac:dyDescent="0.25">
      <c r="A150" s="1"/>
      <c r="B150" t="s">
        <v>163</v>
      </c>
      <c r="C150" t="s">
        <v>24</v>
      </c>
      <c r="D150" s="3">
        <v>5.833333333333333</v>
      </c>
      <c r="E150" s="5">
        <f t="shared" si="10"/>
        <v>1789</v>
      </c>
      <c r="F150">
        <v>-0.92642999999999998</v>
      </c>
      <c r="G150">
        <f t="shared" si="11"/>
        <v>0.5069800000000001</v>
      </c>
      <c r="H150">
        <f t="shared" si="12"/>
        <v>0.5069800000000001</v>
      </c>
      <c r="I150" s="5">
        <f t="shared" si="13"/>
        <v>1789</v>
      </c>
      <c r="J150">
        <f>+H150+CF*F150*(1+($I150-1850)*slope/1000)+F150*hQc*COS(2*PI()*$I150/qbo+$L150)+F150*hQs*SIN(2*PI()*$I150/qbo+$L150)+F150*hCs*SIN(2*PI()*$I150/cw)+F150*hCc*COS(2*PI()*$I150/cw) +mix*F150*(hQc*COS(2*PI()*$I150/qbo+$L150)+hQs*SIN(2*PI()*$I150/qbo+$L150))*(hCs*SIN(2*PI()*$I150/cw)+hCc*COS(2*PI()*$I150/cw))</f>
        <v>-2.5871948311727442</v>
      </c>
      <c r="K150">
        <f>fQc*COS(2*PI()*$I150/qbo+$L150)+fQs*SIN(2*PI()*$I150/qbo+$L150)+fCs*SIN(2*PI()*$I150/cw)+fCc*COS(2*PI()*$I150/cw)</f>
        <v>0.30010942241121402</v>
      </c>
      <c r="L150">
        <f>+QMA*COS(2*PI()*$I150/QM+QMP)</f>
        <v>-0.59120503180316197</v>
      </c>
      <c r="P150">
        <f t="shared" si="14"/>
        <v>0</v>
      </c>
    </row>
    <row r="151" spans="1:16" x14ac:dyDescent="0.25">
      <c r="A151" s="1"/>
      <c r="B151" t="s">
        <v>164</v>
      </c>
      <c r="C151" t="s">
        <v>24</v>
      </c>
      <c r="D151" s="3">
        <v>5.875</v>
      </c>
      <c r="E151" s="5">
        <f t="shared" si="10"/>
        <v>1790</v>
      </c>
      <c r="F151">
        <v>-1.45756</v>
      </c>
      <c r="G151">
        <f t="shared" si="11"/>
        <v>3.2947699999999998</v>
      </c>
      <c r="H151">
        <f t="shared" si="12"/>
        <v>3.2947699999999998</v>
      </c>
      <c r="I151" s="5">
        <f t="shared" si="13"/>
        <v>1790</v>
      </c>
      <c r="J151">
        <f>+H151+CF*F151*(1+($I151-1850)*slope/1000)+F151*hQc*COS(2*PI()*$I151/qbo+$L151)+F151*hQs*SIN(2*PI()*$I151/qbo+$L151)+F151*hCs*SIN(2*PI()*$I151/cw)+F151*hCc*COS(2*PI()*$I151/cw) +mix*F151*(hQc*COS(2*PI()*$I151/qbo+$L151)+hQs*SIN(2*PI()*$I151/qbo+$L151))*(hCs*SIN(2*PI()*$I151/cw)+hCc*COS(2*PI()*$I151/cw))</f>
        <v>-1.1314666179521138</v>
      </c>
      <c r="K151">
        <f>fQc*COS(2*PI()*$I151/qbo+$L151)+fQs*SIN(2*PI()*$I151/qbo+$L151)+fCs*SIN(2*PI()*$I151/cw)+fCc*COS(2*PI()*$I151/cw)</f>
        <v>-0.23826466255025944</v>
      </c>
      <c r="L151">
        <f>+QMA*COS(2*PI()*$I151/QM+QMP)</f>
        <v>-0.48597487616610252</v>
      </c>
      <c r="P151">
        <f t="shared" si="14"/>
        <v>1</v>
      </c>
    </row>
    <row r="152" spans="1:16" x14ac:dyDescent="0.25">
      <c r="A152" s="1"/>
      <c r="B152" t="s">
        <v>165</v>
      </c>
      <c r="C152" t="s">
        <v>24</v>
      </c>
      <c r="D152" s="3">
        <v>5.916666666666667</v>
      </c>
      <c r="E152" s="5">
        <f t="shared" si="10"/>
        <v>1791</v>
      </c>
      <c r="F152">
        <v>1.3060799999999999</v>
      </c>
      <c r="G152">
        <f t="shared" si="11"/>
        <v>-1.8857299999999995</v>
      </c>
      <c r="H152">
        <f t="shared" si="12"/>
        <v>-1.8857299999999995</v>
      </c>
      <c r="I152" s="5">
        <f t="shared" si="13"/>
        <v>1791</v>
      </c>
      <c r="J152">
        <f>+H152+CF*F152*(1+($I152-1850)*slope/1000)+F152*hQc*COS(2*PI()*$I152/qbo+$L152)+F152*hQs*SIN(2*PI()*$I152/qbo+$L152)+F152*hCs*SIN(2*PI()*$I152/cw)+F152*hCc*COS(2*PI()*$I152/cw) +mix*F152*(hQc*COS(2*PI()*$I152/qbo+$L152)+hQs*SIN(2*PI()*$I152/qbo+$L152))*(hCs*SIN(2*PI()*$I152/cw)+hCc*COS(2*PI()*$I152/cw))</f>
        <v>-0.35332961715697309</v>
      </c>
      <c r="K152">
        <f>fQc*COS(2*PI()*$I152/qbo+$L152)+fQs*SIN(2*PI()*$I152/qbo+$L152)+fCs*SIN(2*PI()*$I152/cw)+fCc*COS(2*PI()*$I152/cw)</f>
        <v>-1.4159816672116481</v>
      </c>
      <c r="L152">
        <f>+QMA*COS(2*PI()*$I152/QM+QMP)</f>
        <v>-0.3714738216356282</v>
      </c>
      <c r="P152">
        <f t="shared" si="14"/>
        <v>1</v>
      </c>
    </row>
    <row r="153" spans="1:16" x14ac:dyDescent="0.25">
      <c r="A153" s="1"/>
      <c r="B153" t="s">
        <v>166</v>
      </c>
      <c r="C153" t="s">
        <v>24</v>
      </c>
      <c r="D153" s="3">
        <v>5.958333333333333</v>
      </c>
      <c r="E153" s="5">
        <f t="shared" si="10"/>
        <v>1792</v>
      </c>
      <c r="F153">
        <v>2.1839900000000001</v>
      </c>
      <c r="G153">
        <f t="shared" si="11"/>
        <v>-1.3871000000000002</v>
      </c>
      <c r="H153">
        <f t="shared" si="12"/>
        <v>-1.3871000000000002</v>
      </c>
      <c r="I153" s="5">
        <f t="shared" si="13"/>
        <v>1792</v>
      </c>
      <c r="J153">
        <f>+H153+CF*F153*(1+($I153-1850)*slope/1000)+F153*hQc*COS(2*PI()*$I153/qbo+$L153)+F153*hQs*SIN(2*PI()*$I153/qbo+$L153)+F153*hCs*SIN(2*PI()*$I153/cw)+F153*hCc*COS(2*PI()*$I153/cw) +mix*F153*(hQc*COS(2*PI()*$I153/qbo+$L153)+hQs*SIN(2*PI()*$I153/qbo+$L153))*(hCs*SIN(2*PI()*$I153/cw)+hCc*COS(2*PI()*$I153/cw))</f>
        <v>2.3298135811493714</v>
      </c>
      <c r="K153">
        <f>fQc*COS(2*PI()*$I153/qbo+$L153)+fQs*SIN(2*PI()*$I153/qbo+$L153)+fCs*SIN(2*PI()*$I153/cw)+fCc*COS(2*PI()*$I153/cw)</f>
        <v>2.0657963837271733</v>
      </c>
      <c r="L153">
        <f>+QMA*COS(2*PI()*$I153/QM+QMP)</f>
        <v>-0.2498861945046863</v>
      </c>
      <c r="P153">
        <f t="shared" si="14"/>
        <v>1</v>
      </c>
    </row>
    <row r="154" spans="1:16" x14ac:dyDescent="0.25">
      <c r="A154" s="1"/>
      <c r="B154" t="s">
        <v>167</v>
      </c>
      <c r="C154" t="s">
        <v>24</v>
      </c>
      <c r="D154" s="3">
        <v>6</v>
      </c>
      <c r="E154" s="5">
        <f t="shared" si="10"/>
        <v>1793</v>
      </c>
      <c r="F154">
        <v>1.6748000000000001</v>
      </c>
      <c r="G154">
        <f t="shared" si="11"/>
        <v>-0.90332000000000012</v>
      </c>
      <c r="H154">
        <f t="shared" si="12"/>
        <v>-0.90332000000000012</v>
      </c>
      <c r="I154" s="5">
        <f t="shared" si="13"/>
        <v>1793</v>
      </c>
      <c r="J154">
        <f>+H154+CF*F154*(1+($I154-1850)*slope/1000)+F154*hQc*COS(2*PI()*$I154/qbo+$L154)+F154*hQs*SIN(2*PI()*$I154/qbo+$L154)+F154*hCs*SIN(2*PI()*$I154/cw)+F154*hCc*COS(2*PI()*$I154/cw) +mix*F154*(hQc*COS(2*PI()*$I154/qbo+$L154)+hQs*SIN(2*PI()*$I154/qbo+$L154))*(hCs*SIN(2*PI()*$I154/cw)+hCc*COS(2*PI()*$I154/cw))</f>
        <v>5.264804537854606</v>
      </c>
      <c r="K154">
        <f>fQc*COS(2*PI()*$I154/qbo+$L154)+fQs*SIN(2*PI()*$I154/qbo+$L154)+fCs*SIN(2*PI()*$I154/cw)+fCc*COS(2*PI()*$I154/cw)</f>
        <v>-2.1443120661573363</v>
      </c>
      <c r="L154">
        <f>+QMA*COS(2*PI()*$I154/QM+QMP)</f>
        <v>-0.1235315109727871</v>
      </c>
      <c r="P154">
        <f t="shared" si="14"/>
        <v>0</v>
      </c>
    </row>
    <row r="155" spans="1:16" x14ac:dyDescent="0.25">
      <c r="A155" s="1"/>
      <c r="B155" t="s">
        <v>168</v>
      </c>
      <c r="C155" t="s">
        <v>24</v>
      </c>
      <c r="D155" s="3">
        <v>6.041666666666667</v>
      </c>
      <c r="E155" s="5">
        <f t="shared" si="10"/>
        <v>1794</v>
      </c>
      <c r="F155">
        <v>0.26229000000000002</v>
      </c>
      <c r="G155">
        <f t="shared" si="11"/>
        <v>1.7649700000000001</v>
      </c>
      <c r="H155">
        <f t="shared" si="12"/>
        <v>1.7649700000000001</v>
      </c>
      <c r="I155" s="5">
        <f t="shared" si="13"/>
        <v>1794</v>
      </c>
      <c r="J155">
        <f>+H155+CF*F155*(1+($I155-1850)*slope/1000)+F155*hQc*COS(2*PI()*$I155/qbo+$L155)+F155*hQs*SIN(2*PI()*$I155/qbo+$L155)+F155*hCs*SIN(2*PI()*$I155/cw)+F155*hCc*COS(2*PI()*$I155/cw) +mix*F155*(hQc*COS(2*PI()*$I155/qbo+$L155)+hQs*SIN(2*PI()*$I155/qbo+$L155))*(hCs*SIN(2*PI()*$I155/cw)+hCc*COS(2*PI()*$I155/cw))</f>
        <v>8.5184969158147439E-2</v>
      </c>
      <c r="K155">
        <f>fQc*COS(2*PI()*$I155/qbo+$L155)+fQs*SIN(2*PI()*$I155/qbo+$L155)+fCs*SIN(2*PI()*$I155/cw)+fCc*COS(2*PI()*$I155/cw)</f>
        <v>3.3324543340082129</v>
      </c>
      <c r="L155">
        <f>+QMA*COS(2*PI()*$I155/QM+QMP)</f>
        <v>5.1797720553230942E-3</v>
      </c>
      <c r="P155">
        <f t="shared" si="14"/>
        <v>1</v>
      </c>
    </row>
    <row r="156" spans="1:16" x14ac:dyDescent="0.25">
      <c r="A156" s="1"/>
      <c r="B156" t="s">
        <v>169</v>
      </c>
      <c r="C156" t="s">
        <v>24</v>
      </c>
      <c r="D156" s="3">
        <v>6.083333333333333</v>
      </c>
      <c r="E156" s="5">
        <f t="shared" si="10"/>
        <v>1795</v>
      </c>
      <c r="F156">
        <v>0.61475000000000002</v>
      </c>
      <c r="G156">
        <f t="shared" si="11"/>
        <v>-0.77715000000000001</v>
      </c>
      <c r="H156">
        <f t="shared" si="12"/>
        <v>-0.77715000000000001</v>
      </c>
      <c r="I156" s="5">
        <f t="shared" si="13"/>
        <v>1795</v>
      </c>
      <c r="J156">
        <f>+H156+CF*F156*(1+($I156-1850)*slope/1000)+F156*hQc*COS(2*PI()*$I156/qbo+$L156)+F156*hQs*SIN(2*PI()*$I156/qbo+$L156)+F156*hCs*SIN(2*PI()*$I156/cw)+F156*hCc*COS(2*PI()*$I156/cw) +mix*F156*(hQc*COS(2*PI()*$I156/qbo+$L156)+hQs*SIN(2*PI()*$I156/qbo+$L156))*(hCs*SIN(2*PI()*$I156/cw)+hCc*COS(2*PI()*$I156/cw))</f>
        <v>2.9021716115054481</v>
      </c>
      <c r="K156">
        <f>fQc*COS(2*PI()*$I156/qbo+$L156)+fQs*SIN(2*PI()*$I156/qbo+$L156)+fCs*SIN(2*PI()*$I156/cw)+fCc*COS(2*PI()*$I156/cw)</f>
        <v>-2.4720772989654813</v>
      </c>
      <c r="L156">
        <f>+QMA*COS(2*PI()*$I156/QM+QMP)</f>
        <v>0.13379224103906032</v>
      </c>
      <c r="P156">
        <f t="shared" si="14"/>
        <v>0</v>
      </c>
    </row>
    <row r="157" spans="1:16" x14ac:dyDescent="0.25">
      <c r="A157" s="1"/>
      <c r="B157" t="s">
        <v>170</v>
      </c>
      <c r="C157" t="s">
        <v>24</v>
      </c>
      <c r="D157" s="3">
        <v>6.125</v>
      </c>
      <c r="E157" s="5">
        <f t="shared" si="10"/>
        <v>1796</v>
      </c>
      <c r="F157">
        <v>0.19006000000000001</v>
      </c>
      <c r="G157">
        <f t="shared" si="11"/>
        <v>-0.57364000000000004</v>
      </c>
      <c r="H157">
        <f t="shared" si="12"/>
        <v>-0.57364000000000004</v>
      </c>
      <c r="I157" s="5">
        <f t="shared" si="13"/>
        <v>1796</v>
      </c>
      <c r="J157">
        <f>+H157+CF*F157*(1+($I157-1850)*slope/1000)+F157*hQc*COS(2*PI()*$I157/qbo+$L157)+F157*hQs*SIN(2*PI()*$I157/qbo+$L157)+F157*hCs*SIN(2*PI()*$I157/cw)+F157*hCc*COS(2*PI()*$I157/cw) +mix*F157*(hQc*COS(2*PI()*$I157/qbo+$L157)+hQs*SIN(2*PI()*$I157/qbo+$L157))*(hCs*SIN(2*PI()*$I157/cw)+hCc*COS(2*PI()*$I157/cw))</f>
        <v>-1.1290065715445041</v>
      </c>
      <c r="K157">
        <f>fQc*COS(2*PI()*$I157/qbo+$L157)+fQs*SIN(2*PI()*$I157/qbo+$L157)+fCs*SIN(2*PI()*$I157/cw)+fCc*COS(2*PI()*$I157/cw)</f>
        <v>2.5785667806356698</v>
      </c>
      <c r="L157">
        <f>+QMA*COS(2*PI()*$I157/QM+QMP)</f>
        <v>0.25985236750419233</v>
      </c>
      <c r="P157">
        <f t="shared" si="14"/>
        <v>0</v>
      </c>
    </row>
    <row r="158" spans="1:16" x14ac:dyDescent="0.25">
      <c r="A158" s="1"/>
      <c r="B158" t="s">
        <v>171</v>
      </c>
      <c r="C158" t="s">
        <v>24</v>
      </c>
      <c r="D158" s="3">
        <v>6.166666666666667</v>
      </c>
      <c r="E158" s="5">
        <f t="shared" si="10"/>
        <v>1797</v>
      </c>
      <c r="F158">
        <v>-0.80827000000000004</v>
      </c>
      <c r="G158">
        <f t="shared" si="11"/>
        <v>0.9987100000000001</v>
      </c>
      <c r="H158">
        <f t="shared" si="12"/>
        <v>0.9987100000000001</v>
      </c>
      <c r="I158" s="5">
        <f t="shared" si="13"/>
        <v>1797</v>
      </c>
      <c r="J158">
        <f>+H158+CF*F158*(1+($I158-1850)*slope/1000)+F158*hQc*COS(2*PI()*$I158/qbo+$L158)+F158*hQs*SIN(2*PI()*$I158/qbo+$L158)+F158*hCs*SIN(2*PI()*$I158/cw)+F158*hCc*COS(2*PI()*$I158/cw) +mix*F158*(hQc*COS(2*PI()*$I158/qbo+$L158)+hQs*SIN(2*PI()*$I158/qbo+$L158))*(hCs*SIN(2*PI()*$I158/cw)+hCc*COS(2*PI()*$I158/cw))</f>
        <v>-0.12409262046531844</v>
      </c>
      <c r="K158">
        <f>fQc*COS(2*PI()*$I158/qbo+$L158)+fQs*SIN(2*PI()*$I158/qbo+$L158)+fCs*SIN(2*PI()*$I158/cw)+fCc*COS(2*PI()*$I158/cw)</f>
        <v>-2.2261962078303714</v>
      </c>
      <c r="L158">
        <f>+QMA*COS(2*PI()*$I158/QM+QMP)</f>
        <v>0.38095531378468328</v>
      </c>
      <c r="P158">
        <f t="shared" si="14"/>
        <v>1</v>
      </c>
    </row>
    <row r="159" spans="1:16" x14ac:dyDescent="0.25">
      <c r="A159" s="1"/>
      <c r="B159" t="s">
        <v>172</v>
      </c>
      <c r="C159" t="s">
        <v>24</v>
      </c>
      <c r="D159" s="3">
        <v>6.208333333333333</v>
      </c>
      <c r="E159" s="5">
        <f t="shared" si="10"/>
        <v>1798</v>
      </c>
      <c r="F159">
        <v>-0.80789</v>
      </c>
      <c r="G159">
        <f t="shared" si="11"/>
        <v>1.6793199999999999</v>
      </c>
      <c r="H159">
        <f t="shared" si="12"/>
        <v>1.6793199999999999</v>
      </c>
      <c r="I159" s="5">
        <f t="shared" si="13"/>
        <v>1798</v>
      </c>
      <c r="J159">
        <f>+H159+CF*F159*(1+($I159-1850)*slope/1000)+F159*hQc*COS(2*PI()*$I159/qbo+$L159)+F159*hQs*SIN(2*PI()*$I159/qbo+$L159)+F159*hCs*SIN(2*PI()*$I159/cw)+F159*hCc*COS(2*PI()*$I159/cw) +mix*F159*(hQc*COS(2*PI()*$I159/qbo+$L159)+hQs*SIN(2*PI()*$I159/qbo+$L159))*(hCs*SIN(2*PI()*$I159/cw)+hCc*COS(2*PI()*$I159/cw))</f>
        <v>-1.4650292406089609</v>
      </c>
      <c r="K159">
        <f>fQc*COS(2*PI()*$I159/qbo+$L159)+fQs*SIN(2*PI()*$I159/qbo+$L159)+fCs*SIN(2*PI()*$I159/cw)+fCc*COS(2*PI()*$I159/cw)</f>
        <v>0.6384721523276885</v>
      </c>
      <c r="L159">
        <f>+QMA*COS(2*PI()*$I159/QM+QMP)</f>
        <v>0.49479080989395058</v>
      </c>
      <c r="P159">
        <f t="shared" si="14"/>
        <v>0</v>
      </c>
    </row>
    <row r="160" spans="1:16" x14ac:dyDescent="0.25">
      <c r="A160" s="1"/>
      <c r="B160" t="s">
        <v>173</v>
      </c>
      <c r="C160" t="s">
        <v>24</v>
      </c>
      <c r="D160" s="3">
        <v>6.25</v>
      </c>
      <c r="E160" s="5">
        <f t="shared" si="10"/>
        <v>1799</v>
      </c>
      <c r="F160">
        <v>0.87180999999999997</v>
      </c>
      <c r="G160">
        <f t="shared" si="11"/>
        <v>-1.5446</v>
      </c>
      <c r="H160">
        <f t="shared" si="12"/>
        <v>-1.5446</v>
      </c>
      <c r="I160" s="5">
        <f t="shared" si="13"/>
        <v>1799</v>
      </c>
      <c r="J160">
        <f>+H160+CF*F160*(1+($I160-1850)*slope/1000)+F160*hQc*COS(2*PI()*$I160/qbo+$L160)+F160*hQs*SIN(2*PI()*$I160/qbo+$L160)+F160*hCs*SIN(2*PI()*$I160/cw)+F160*hCc*COS(2*PI()*$I160/cw) +mix*F160*(hQc*COS(2*PI()*$I160/qbo+$L160)+hQs*SIN(2*PI()*$I160/qbo+$L160))*(hCs*SIN(2*PI()*$I160/cw)+hCc*COS(2*PI()*$I160/cw))</f>
        <v>0.48125533558172667</v>
      </c>
      <c r="K160">
        <f>fQc*COS(2*PI()*$I160/qbo+$L160)+fQs*SIN(2*PI()*$I160/qbo+$L160)+fCs*SIN(2*PI()*$I160/cw)+fCc*COS(2*PI()*$I160/cw)</f>
        <v>-0.59016058923795633</v>
      </c>
      <c r="L160">
        <f>+QMA*COS(2*PI()*$I160/QM+QMP)</f>
        <v>0.59918722633694355</v>
      </c>
      <c r="P160">
        <f t="shared" si="14"/>
        <v>0</v>
      </c>
    </row>
    <row r="161" spans="1:16" x14ac:dyDescent="0.25">
      <c r="A161" s="1"/>
      <c r="B161" t="s">
        <v>174</v>
      </c>
      <c r="C161" t="s">
        <v>24</v>
      </c>
      <c r="D161" s="3">
        <v>6.291666666666667</v>
      </c>
      <c r="E161" s="5">
        <f t="shared" si="10"/>
        <v>1800</v>
      </c>
      <c r="F161">
        <v>1.00691</v>
      </c>
      <c r="G161">
        <f t="shared" si="11"/>
        <v>-2.2700099999999996</v>
      </c>
      <c r="H161">
        <f t="shared" si="12"/>
        <v>-2.2700099999999996</v>
      </c>
      <c r="I161" s="5">
        <f t="shared" si="13"/>
        <v>1800</v>
      </c>
      <c r="J161">
        <f>+H161+CF*F161*(1+($I161-1850)*slope/1000)+F161*hQc*COS(2*PI()*$I161/qbo+$L161)+F161*hQs*SIN(2*PI()*$I161/qbo+$L161)+F161*hCs*SIN(2*PI()*$I161/cw)+F161*hCc*COS(2*PI()*$I161/cw) +mix*F161*(hQc*COS(2*PI()*$I161/qbo+$L161)+hQs*SIN(2*PI()*$I161/qbo+$L161))*(hCs*SIN(2*PI()*$I161/cw)+hCc*COS(2*PI()*$I161/cw))</f>
        <v>-0.83071127619679319</v>
      </c>
      <c r="K161">
        <f>fQc*COS(2*PI()*$I161/qbo+$L161)+fQs*SIN(2*PI()*$I161/qbo+$L161)+fCs*SIN(2*PI()*$I161/cw)+fCc*COS(2*PI()*$I161/cw)</f>
        <v>-1.0774074974086314</v>
      </c>
      <c r="L161">
        <f>+QMA*COS(2*PI()*$I161/QM+QMP)</f>
        <v>0.6921530020903951</v>
      </c>
      <c r="P161">
        <f t="shared" si="14"/>
        <v>1</v>
      </c>
    </row>
    <row r="162" spans="1:16" x14ac:dyDescent="0.25">
      <c r="A162" s="1"/>
      <c r="B162" t="s">
        <v>175</v>
      </c>
      <c r="C162" t="s">
        <v>24</v>
      </c>
      <c r="D162" s="3">
        <v>6.333333333333333</v>
      </c>
      <c r="E162" s="5">
        <f t="shared" si="10"/>
        <v>1801</v>
      </c>
      <c r="F162">
        <v>-1.1279999999999999</v>
      </c>
      <c r="G162">
        <f t="shared" si="11"/>
        <v>2.4182199999999994</v>
      </c>
      <c r="H162">
        <f t="shared" si="12"/>
        <v>2.4182199999999994</v>
      </c>
      <c r="I162" s="5">
        <f t="shared" si="13"/>
        <v>1801</v>
      </c>
      <c r="J162">
        <f>+H162+CF*F162*(1+($I162-1850)*slope/1000)+F162*hQc*COS(2*PI()*$I162/qbo+$L162)+F162*hQs*SIN(2*PI()*$I162/qbo+$L162)+F162*hCs*SIN(2*PI()*$I162/cw)+F162*hCc*COS(2*PI()*$I162/cw) +mix*F162*(hQc*COS(2*PI()*$I162/qbo+$L162)+hQs*SIN(2*PI()*$I162/qbo+$L162))*(hCs*SIN(2*PI()*$I162/cw)+hCc*COS(2*PI()*$I162/cw))</f>
        <v>1.227625531669964</v>
      </c>
      <c r="K162">
        <f>fQc*COS(2*PI()*$I162/qbo+$L162)+fQs*SIN(2*PI()*$I162/qbo+$L162)+fCs*SIN(2*PI()*$I162/cw)+fCc*COS(2*PI()*$I162/cw)</f>
        <v>1.9739237309172093</v>
      </c>
      <c r="L162">
        <f>+QMA*COS(2*PI()*$I162/QM+QMP)</f>
        <v>0.7719146374327337</v>
      </c>
      <c r="P162">
        <f t="shared" si="14"/>
        <v>1</v>
      </c>
    </row>
    <row r="163" spans="1:16" x14ac:dyDescent="0.25">
      <c r="A163" s="1"/>
      <c r="B163" t="s">
        <v>176</v>
      </c>
      <c r="C163" t="s">
        <v>24</v>
      </c>
      <c r="D163" s="3">
        <v>6.375</v>
      </c>
      <c r="E163" s="5">
        <f t="shared" si="10"/>
        <v>1802</v>
      </c>
      <c r="F163">
        <v>-0.84469000000000005</v>
      </c>
      <c r="G163">
        <f t="shared" si="11"/>
        <v>0.33026000000000022</v>
      </c>
      <c r="H163">
        <f t="shared" si="12"/>
        <v>0.33026000000000022</v>
      </c>
      <c r="I163" s="5">
        <f t="shared" si="13"/>
        <v>1802</v>
      </c>
      <c r="J163">
        <f>+H163+CF*F163*(1+($I163-1850)*slope/1000)+F163*hQc*COS(2*PI()*$I163/qbo+$L163)+F163*hQs*SIN(2*PI()*$I163/qbo+$L163)+F163*hCs*SIN(2*PI()*$I163/cw)+F163*hCc*COS(2*PI()*$I163/cw) +mix*F163*(hQc*COS(2*PI()*$I163/qbo+$L163)+hQs*SIN(2*PI()*$I163/qbo+$L163))*(hCs*SIN(2*PI()*$I163/cw)+hCc*COS(2*PI()*$I163/cw))</f>
        <v>-2.9405901796759379</v>
      </c>
      <c r="K163">
        <f>fQc*COS(2*PI()*$I163/qbo+$L163)+fQs*SIN(2*PI()*$I163/qbo+$L163)+fCs*SIN(2*PI()*$I163/cw)+fCc*COS(2*PI()*$I163/cw)</f>
        <v>-2.1066955575516633</v>
      </c>
      <c r="L163">
        <f>+QMA*COS(2*PI()*$I163/QM+QMP)</f>
        <v>0.83695052683843596</v>
      </c>
      <c r="P163">
        <f t="shared" si="14"/>
        <v>1</v>
      </c>
    </row>
    <row r="164" spans="1:16" x14ac:dyDescent="0.25">
      <c r="A164" s="1"/>
      <c r="B164" t="s">
        <v>177</v>
      </c>
      <c r="C164" t="s">
        <v>24</v>
      </c>
      <c r="D164" s="3">
        <v>6.416666666666667</v>
      </c>
      <c r="E164" s="5">
        <f t="shared" si="10"/>
        <v>1803</v>
      </c>
      <c r="F164">
        <v>-0.23111999999999999</v>
      </c>
      <c r="G164">
        <f t="shared" si="11"/>
        <v>0.74812999999999985</v>
      </c>
      <c r="H164">
        <f t="shared" si="12"/>
        <v>0.74812999999999985</v>
      </c>
      <c r="I164" s="5">
        <f t="shared" si="13"/>
        <v>1803</v>
      </c>
      <c r="J164">
        <f>+H164+CF*F164*(1+($I164-1850)*slope/1000)+F164*hQc*COS(2*PI()*$I164/qbo+$L164)+F164*hQs*SIN(2*PI()*$I164/qbo+$L164)+F164*hCs*SIN(2*PI()*$I164/cw)+F164*hCc*COS(2*PI()*$I164/cw) +mix*F164*(hQc*COS(2*PI()*$I164/qbo+$L164)+hQs*SIN(2*PI()*$I164/qbo+$L164))*(hCs*SIN(2*PI()*$I164/cw)+hCc*COS(2*PI()*$I164/cw))</f>
        <v>2.323460983060341</v>
      </c>
      <c r="K164">
        <f>fQc*COS(2*PI()*$I164/qbo+$L164)+fQs*SIN(2*PI()*$I164/qbo+$L164)+fCs*SIN(2*PI()*$I164/cw)+fCc*COS(2*PI()*$I164/cw)</f>
        <v>3.3533707515598183</v>
      </c>
      <c r="L164">
        <f>+QMA*COS(2*PI()*$I164/QM+QMP)</f>
        <v>0.88601998650946501</v>
      </c>
      <c r="P164">
        <f t="shared" si="14"/>
        <v>1</v>
      </c>
    </row>
    <row r="165" spans="1:16" x14ac:dyDescent="0.25">
      <c r="A165" s="1"/>
      <c r="B165" t="s">
        <v>178</v>
      </c>
      <c r="C165" t="s">
        <v>24</v>
      </c>
      <c r="D165" s="3">
        <v>6.458333333333333</v>
      </c>
      <c r="E165" s="5">
        <f t="shared" si="10"/>
        <v>1804</v>
      </c>
      <c r="F165">
        <v>1.1305799999999999</v>
      </c>
      <c r="G165">
        <f t="shared" si="11"/>
        <v>-3.59389</v>
      </c>
      <c r="H165">
        <f t="shared" si="12"/>
        <v>-3.59389</v>
      </c>
      <c r="I165" s="5">
        <f t="shared" si="13"/>
        <v>1804</v>
      </c>
      <c r="J165">
        <f>+H165+CF*F165*(1+($I165-1850)*slope/1000)+F165*hQc*COS(2*PI()*$I165/qbo+$L165)+F165*hQs*SIN(2*PI()*$I165/qbo+$L165)+F165*hCs*SIN(2*PI()*$I165/cw)+F165*hCc*COS(2*PI()*$I165/cw) +mix*F165*(hQc*COS(2*PI()*$I165/qbo+$L165)+hQs*SIN(2*PI()*$I165/qbo+$L165))*(hCs*SIN(2*PI()*$I165/cw)+hCc*COS(2*PI()*$I165/cw))</f>
        <v>2.6110194743003814</v>
      </c>
      <c r="K165">
        <f>fQc*COS(2*PI()*$I165/qbo+$L165)+fQs*SIN(2*PI()*$I165/qbo+$L165)+fCs*SIN(2*PI()*$I165/cw)+fCc*COS(2*PI()*$I165/cw)</f>
        <v>-2.3893034665612771</v>
      </c>
      <c r="L165">
        <f>+QMA*COS(2*PI()*$I165/QM+QMP)</f>
        <v>0.91818692278814151</v>
      </c>
      <c r="P165">
        <f t="shared" si="14"/>
        <v>0</v>
      </c>
    </row>
    <row r="166" spans="1:16" x14ac:dyDescent="0.25">
      <c r="A166" s="1"/>
      <c r="B166" t="s">
        <v>179</v>
      </c>
      <c r="C166" t="s">
        <v>24</v>
      </c>
      <c r="D166" s="3">
        <v>6.5</v>
      </c>
      <c r="E166" s="5">
        <f t="shared" si="10"/>
        <v>1805</v>
      </c>
      <c r="F166">
        <v>-1.10161</v>
      </c>
      <c r="G166">
        <f t="shared" si="11"/>
        <v>2.3978600000000001</v>
      </c>
      <c r="H166">
        <f t="shared" si="12"/>
        <v>2.3978600000000001</v>
      </c>
      <c r="I166" s="5">
        <f t="shared" si="13"/>
        <v>1805</v>
      </c>
      <c r="J166">
        <f>+H166+CF*F166*(1+($I166-1850)*slope/1000)+F166*hQc*COS(2*PI()*$I166/qbo+$L166)+F166*hQs*SIN(2*PI()*$I166/qbo+$L166)+F166*hCs*SIN(2*PI()*$I166/cw)+F166*hCc*COS(2*PI()*$I166/cw) +mix*F166*(hQc*COS(2*PI()*$I166/qbo+$L166)+hQs*SIN(2*PI()*$I166/qbo+$L166))*(hCs*SIN(2*PI()*$I166/cw)+hCc*COS(2*PI()*$I166/cw))</f>
        <v>4.4672782734324112</v>
      </c>
      <c r="K166">
        <f>fQc*COS(2*PI()*$I166/qbo+$L166)+fQs*SIN(2*PI()*$I166/qbo+$L166)+fCs*SIN(2*PI()*$I166/cw)+fCc*COS(2*PI()*$I166/cw)</f>
        <v>2.0454574594400254</v>
      </c>
      <c r="L166">
        <f>+QMA*COS(2*PI()*$I166/QM+QMP)</f>
        <v>0.93283768993147642</v>
      </c>
      <c r="P166">
        <f t="shared" si="14"/>
        <v>1</v>
      </c>
    </row>
    <row r="167" spans="1:16" x14ac:dyDescent="0.25">
      <c r="A167" s="1"/>
      <c r="B167" t="s">
        <v>180</v>
      </c>
      <c r="C167" t="s">
        <v>24</v>
      </c>
      <c r="D167" s="3">
        <v>6.541666666666667</v>
      </c>
      <c r="E167" s="5">
        <f t="shared" si="10"/>
        <v>1806</v>
      </c>
      <c r="F167">
        <v>-0.93593999999999999</v>
      </c>
      <c r="G167">
        <f t="shared" si="11"/>
        <v>1.1355599999999999</v>
      </c>
      <c r="H167">
        <f t="shared" si="12"/>
        <v>1.1355599999999999</v>
      </c>
      <c r="I167" s="5">
        <f t="shared" si="13"/>
        <v>1806</v>
      </c>
      <c r="J167">
        <f>+H167+CF*F167*(1+($I167-1850)*slope/1000)+F167*hQc*COS(2*PI()*$I167/qbo+$L167)+F167*hQs*SIN(2*PI()*$I167/qbo+$L167)+F167*hCs*SIN(2*PI()*$I167/cw)+F167*hCc*COS(2*PI()*$I167/cw) +mix*F167*(hQc*COS(2*PI()*$I167/qbo+$L167)+hQs*SIN(2*PI()*$I167/qbo+$L167))*(hCs*SIN(2*PI()*$I167/cw)+hCc*COS(2*PI()*$I167/cw))</f>
        <v>-6.7036211050389705E-2</v>
      </c>
      <c r="K167">
        <f>fQc*COS(2*PI()*$I167/qbo+$L167)+fQs*SIN(2*PI()*$I167/qbo+$L167)+fCs*SIN(2*PI()*$I167/cw)+fCc*COS(2*PI()*$I167/cw)</f>
        <v>-1.2731721121431006</v>
      </c>
      <c r="L167">
        <f>+QMA*COS(2*PI()*$I167/QM+QMP)</f>
        <v>0.92969279657571857</v>
      </c>
      <c r="P167">
        <f t="shared" si="14"/>
        <v>1</v>
      </c>
    </row>
    <row r="168" spans="1:16" x14ac:dyDescent="0.25">
      <c r="A168" s="1"/>
      <c r="B168" t="s">
        <v>181</v>
      </c>
      <c r="C168" t="s">
        <v>24</v>
      </c>
      <c r="D168" s="3">
        <v>6.583333333333333</v>
      </c>
      <c r="E168" s="5">
        <f t="shared" si="10"/>
        <v>1807</v>
      </c>
      <c r="F168">
        <v>0.36529</v>
      </c>
      <c r="G168">
        <f t="shared" si="11"/>
        <v>-2.5386899999999999</v>
      </c>
      <c r="H168">
        <f t="shared" si="12"/>
        <v>-2.5386899999999999</v>
      </c>
      <c r="I168" s="5">
        <f t="shared" si="13"/>
        <v>1807</v>
      </c>
      <c r="J168">
        <f>+H168+CF*F168*(1+($I168-1850)*slope/1000)+F168*hQc*COS(2*PI()*$I168/qbo+$L168)+F168*hQs*SIN(2*PI()*$I168/qbo+$L168)+F168*hCs*SIN(2*PI()*$I168/cw)+F168*hCc*COS(2*PI()*$I168/cw) +mix*F168*(hQc*COS(2*PI()*$I168/qbo+$L168)+hQs*SIN(2*PI()*$I168/qbo+$L168))*(hCs*SIN(2*PI()*$I168/cw)+hCc*COS(2*PI()*$I168/cw))</f>
        <v>-1.808403704365819</v>
      </c>
      <c r="K168">
        <f>fQc*COS(2*PI()*$I168/qbo+$L168)+fQs*SIN(2*PI()*$I168/qbo+$L168)+fCs*SIN(2*PI()*$I168/cw)+fCc*COS(2*PI()*$I168/cw)</f>
        <v>-0.89467138274284175</v>
      </c>
      <c r="L168">
        <f>+QMA*COS(2*PI()*$I168/QM+QMP)</f>
        <v>0.90881223756784002</v>
      </c>
      <c r="P168">
        <f t="shared" si="14"/>
        <v>1</v>
      </c>
    </row>
    <row r="169" spans="1:16" x14ac:dyDescent="0.25">
      <c r="A169" s="1"/>
      <c r="B169" t="s">
        <v>182</v>
      </c>
      <c r="C169" t="s">
        <v>24</v>
      </c>
      <c r="D169" s="3">
        <v>6.625</v>
      </c>
      <c r="E169" s="5">
        <f t="shared" si="10"/>
        <v>1808</v>
      </c>
      <c r="F169">
        <v>-0.87217</v>
      </c>
      <c r="G169">
        <f t="shared" si="11"/>
        <v>1.8944000000000001</v>
      </c>
      <c r="H169">
        <f t="shared" si="12"/>
        <v>1.8944000000000001</v>
      </c>
      <c r="I169" s="5">
        <f t="shared" si="13"/>
        <v>1808</v>
      </c>
      <c r="J169">
        <f>+H169+CF*F169*(1+($I169-1850)*slope/1000)+F169*hQc*COS(2*PI()*$I169/qbo+$L169)+F169*hQs*SIN(2*PI()*$I169/qbo+$L169)+F169*hCs*SIN(2*PI()*$I169/cw)+F169*hCc*COS(2*PI()*$I169/cw) +mix*F169*(hQc*COS(2*PI()*$I169/qbo+$L169)+hQs*SIN(2*PI()*$I169/qbo+$L169))*(hCs*SIN(2*PI()*$I169/cw)+hCc*COS(2*PI()*$I169/cw))</f>
        <v>-2.6490218317308676</v>
      </c>
      <c r="K169">
        <f>fQc*COS(2*PI()*$I169/qbo+$L169)+fQs*SIN(2*PI()*$I169/qbo+$L169)+fCs*SIN(2*PI()*$I169/cw)+fCc*COS(2*PI()*$I169/cw)</f>
        <v>1.2806695187743644</v>
      </c>
      <c r="L169">
        <f>+QMA*COS(2*PI()*$I169/QM+QMP)</f>
        <v>0.87059434944929515</v>
      </c>
      <c r="P169">
        <f t="shared" si="14"/>
        <v>0</v>
      </c>
    </row>
    <row r="170" spans="1:16" x14ac:dyDescent="0.25">
      <c r="A170" s="1"/>
      <c r="B170" t="s">
        <v>183</v>
      </c>
      <c r="C170" t="s">
        <v>24</v>
      </c>
      <c r="D170" s="3">
        <v>6.666666666666667</v>
      </c>
      <c r="E170" s="5">
        <f t="shared" si="10"/>
        <v>1809</v>
      </c>
      <c r="F170">
        <v>-0.21523</v>
      </c>
      <c r="G170">
        <f t="shared" si="11"/>
        <v>-0.44238</v>
      </c>
      <c r="H170">
        <f t="shared" si="12"/>
        <v>-0.44238</v>
      </c>
      <c r="I170" s="5">
        <f t="shared" si="13"/>
        <v>1809</v>
      </c>
      <c r="J170">
        <f>+H170+CF*F170*(1+($I170-1850)*slope/1000)+F170*hQc*COS(2*PI()*$I170/qbo+$L170)+F170*hQs*SIN(2*PI()*$I170/qbo+$L170)+F170*hCs*SIN(2*PI()*$I170/cw)+F170*hCc*COS(2*PI()*$I170/cw) +mix*F170*(hQc*COS(2*PI()*$I170/qbo+$L170)+hQs*SIN(2*PI()*$I170/qbo+$L170))*(hCs*SIN(2*PI()*$I170/cw)+hCc*COS(2*PI()*$I170/cw))</f>
        <v>-0.36607345703547245</v>
      </c>
      <c r="K170">
        <f>fQc*COS(2*PI()*$I170/qbo+$L170)+fQs*SIN(2*PI()*$I170/qbo+$L170)+fCs*SIN(2*PI()*$I170/cw)+fCc*COS(2*PI()*$I170/cw)</f>
        <v>-2.7593266903909619</v>
      </c>
      <c r="L170">
        <f>+QMA*COS(2*PI()*$I170/QM+QMP)</f>
        <v>0.81576821142569111</v>
      </c>
      <c r="P170">
        <f t="shared" si="14"/>
        <v>1</v>
      </c>
    </row>
    <row r="171" spans="1:16" x14ac:dyDescent="0.25">
      <c r="A171" s="1"/>
      <c r="B171" t="s">
        <v>184</v>
      </c>
      <c r="C171" t="s">
        <v>24</v>
      </c>
      <c r="D171" s="3">
        <v>6.708333333333333</v>
      </c>
      <c r="E171" s="5">
        <f t="shared" si="10"/>
        <v>1810</v>
      </c>
      <c r="F171">
        <v>-6.7000000000000002E-4</v>
      </c>
      <c r="G171">
        <f t="shared" si="11"/>
        <v>-0.71382000000000001</v>
      </c>
      <c r="H171">
        <f t="shared" si="12"/>
        <v>-0.71382000000000001</v>
      </c>
      <c r="I171" s="5">
        <f t="shared" si="13"/>
        <v>1810</v>
      </c>
      <c r="J171">
        <f>+H171+CF*F171*(1+($I171-1850)*slope/1000)+F171*hQc*COS(2*PI()*$I171/qbo+$L171)+F171*hQs*SIN(2*PI()*$I171/qbo+$L171)+F171*hCs*SIN(2*PI()*$I171/cw)+F171*hCc*COS(2*PI()*$I171/cw) +mix*F171*(hQc*COS(2*PI()*$I171/qbo+$L171)+hQs*SIN(2*PI()*$I171/qbo+$L171))*(hCs*SIN(2*PI()*$I171/cw)+hCc*COS(2*PI()*$I171/cw))</f>
        <v>-0.71383298228600511</v>
      </c>
      <c r="K171">
        <f>fQc*COS(2*PI()*$I171/qbo+$L171)+fQs*SIN(2*PI()*$I171/qbo+$L171)+fCs*SIN(2*PI()*$I171/cw)+fCc*COS(2*PI()*$I171/cw)</f>
        <v>3.0591555038162221</v>
      </c>
      <c r="L171">
        <f>+QMA*COS(2*PI()*$I171/QM+QMP)</f>
        <v>0.74537973678858571</v>
      </c>
      <c r="P171">
        <f t="shared" si="14"/>
        <v>0</v>
      </c>
    </row>
    <row r="172" spans="1:16" x14ac:dyDescent="0.25">
      <c r="A172" s="1"/>
      <c r="B172" t="s">
        <v>185</v>
      </c>
      <c r="C172" t="s">
        <v>24</v>
      </c>
      <c r="D172" s="3">
        <v>6.75</v>
      </c>
      <c r="E172" s="5">
        <f t="shared" si="10"/>
        <v>1811</v>
      </c>
      <c r="F172">
        <v>-0.49992999999999999</v>
      </c>
      <c r="G172">
        <f t="shared" si="11"/>
        <v>0.46398</v>
      </c>
      <c r="H172">
        <f t="shared" si="12"/>
        <v>0.46398</v>
      </c>
      <c r="I172" s="5">
        <f t="shared" si="13"/>
        <v>1811</v>
      </c>
      <c r="J172">
        <f>+H172+CF*F172*(1+($I172-1850)*slope/1000)+F172*hQc*COS(2*PI()*$I172/qbo+$L172)+F172*hQs*SIN(2*PI()*$I172/qbo+$L172)+F172*hCs*SIN(2*PI()*$I172/cw)+F172*hCc*COS(2*PI()*$I172/cw) +mix*F172*(hQc*COS(2*PI()*$I172/qbo+$L172)+hQs*SIN(2*PI()*$I172/qbo+$L172))*(hCs*SIN(2*PI()*$I172/cw)+hCc*COS(2*PI()*$I172/cw))</f>
        <v>-1.4676397659724842</v>
      </c>
      <c r="K172">
        <f>fQc*COS(2*PI()*$I172/qbo+$L172)+fQs*SIN(2*PI()*$I172/qbo+$L172)+fCs*SIN(2*PI()*$I172/cw)+fCc*COS(2*PI()*$I172/cw)</f>
        <v>-1.857310195348771</v>
      </c>
      <c r="L172">
        <f>+QMA*COS(2*PI()*$I172/QM+QMP)</f>
        <v>0.66077172012184315</v>
      </c>
      <c r="P172">
        <f t="shared" si="14"/>
        <v>1</v>
      </c>
    </row>
    <row r="173" spans="1:16" x14ac:dyDescent="0.25">
      <c r="A173" s="1"/>
      <c r="B173" t="s">
        <v>186</v>
      </c>
      <c r="C173" t="s">
        <v>24</v>
      </c>
      <c r="D173" s="3">
        <v>6.791666666666667</v>
      </c>
      <c r="E173" s="5">
        <f t="shared" si="10"/>
        <v>1812</v>
      </c>
      <c r="F173">
        <v>-0.53520999999999996</v>
      </c>
      <c r="G173">
        <f t="shared" si="11"/>
        <v>-0.15298</v>
      </c>
      <c r="H173">
        <f t="shared" si="12"/>
        <v>-0.15298</v>
      </c>
      <c r="I173" s="5">
        <f t="shared" si="13"/>
        <v>1812</v>
      </c>
      <c r="J173">
        <f>+H173+CF*F173*(1+($I173-1850)*slope/1000)+F173*hQc*COS(2*PI()*$I173/qbo+$L173)+F173*hQs*SIN(2*PI()*$I173/qbo+$L173)+F173*hCs*SIN(2*PI()*$I173/cw)+F173*hCc*COS(2*PI()*$I173/cw) +mix*F173*(hQc*COS(2*PI()*$I173/qbo+$L173)+hQs*SIN(2*PI()*$I173/qbo+$L173))*(hCs*SIN(2*PI()*$I173/cw)+hCc*COS(2*PI()*$I173/cw))</f>
        <v>1.5584481157707075</v>
      </c>
      <c r="K173">
        <f>fQc*COS(2*PI()*$I173/qbo+$L173)+fQs*SIN(2*PI()*$I173/qbo+$L173)+fCs*SIN(2*PI()*$I173/cw)+fCc*COS(2*PI()*$I173/cw)</f>
        <v>1.545924081522325</v>
      </c>
      <c r="L173">
        <f>+QMA*COS(2*PI()*$I173/QM+QMP)</f>
        <v>0.56355822093052743</v>
      </c>
      <c r="P173">
        <f t="shared" si="14"/>
        <v>1</v>
      </c>
    </row>
    <row r="174" spans="1:16" x14ac:dyDescent="0.25">
      <c r="A174" s="1"/>
      <c r="B174" t="s">
        <v>187</v>
      </c>
      <c r="C174" t="s">
        <v>24</v>
      </c>
      <c r="D174" s="3">
        <v>6.833333333333333</v>
      </c>
      <c r="E174" s="5">
        <f t="shared" si="10"/>
        <v>1813</v>
      </c>
      <c r="F174">
        <v>-0.72346999999999995</v>
      </c>
      <c r="G174">
        <f t="shared" si="11"/>
        <v>1.4404699999999999</v>
      </c>
      <c r="H174">
        <f t="shared" si="12"/>
        <v>1.4404699999999999</v>
      </c>
      <c r="I174" s="5">
        <f t="shared" si="13"/>
        <v>1813</v>
      </c>
      <c r="J174">
        <f>+H174+CF*F174*(1+($I174-1850)*slope/1000)+F174*hQc*COS(2*PI()*$I174/qbo+$L174)+F174*hQs*SIN(2*PI()*$I174/qbo+$L174)+F174*hCs*SIN(2*PI()*$I174/cw)+F174*hCc*COS(2*PI()*$I174/cw) +mix*F174*(hQc*COS(2*PI()*$I174/qbo+$L174)+hQs*SIN(2*PI()*$I174/qbo+$L174))*(hCs*SIN(2*PI()*$I174/cw)+hCc*COS(2*PI()*$I174/cw))</f>
        <v>2.2856432117228733</v>
      </c>
      <c r="K174">
        <f>fQc*COS(2*PI()*$I174/qbo+$L174)+fQs*SIN(2*PI()*$I174/qbo+$L174)+fCs*SIN(2*PI()*$I174/cw)+fCc*COS(2*PI()*$I174/cw)</f>
        <v>0.80301973916358804</v>
      </c>
      <c r="L174">
        <f>+QMA*COS(2*PI()*$I174/QM+QMP)</f>
        <v>0.45559377237322768</v>
      </c>
      <c r="P174">
        <f t="shared" si="14"/>
        <v>1</v>
      </c>
    </row>
    <row r="175" spans="1:16" x14ac:dyDescent="0.25">
      <c r="A175" s="1"/>
      <c r="B175" t="s">
        <v>188</v>
      </c>
      <c r="C175" t="s">
        <v>24</v>
      </c>
      <c r="D175" s="3">
        <v>6.875</v>
      </c>
      <c r="E175" s="5">
        <f t="shared" si="10"/>
        <v>1814</v>
      </c>
      <c r="F175">
        <v>0.52873999999999999</v>
      </c>
      <c r="G175">
        <f t="shared" si="11"/>
        <v>-0.60739999999999972</v>
      </c>
      <c r="H175">
        <f t="shared" si="12"/>
        <v>-0.60739999999999972</v>
      </c>
      <c r="I175" s="5">
        <f t="shared" si="13"/>
        <v>1814</v>
      </c>
      <c r="J175">
        <f>+H175+CF*F175*(1+($I175-1850)*slope/1000)+F175*hQc*COS(2*PI()*$I175/qbo+$L175)+F175*hQs*SIN(2*PI()*$I175/qbo+$L175)+F175*hCs*SIN(2*PI()*$I175/cw)+F175*hCc*COS(2*PI()*$I175/cw) +mix*F175*(hQc*COS(2*PI()*$I175/qbo+$L175)+hQs*SIN(2*PI()*$I175/qbo+$L175))*(hCs*SIN(2*PI()*$I175/cw)+hCc*COS(2*PI()*$I175/cw))</f>
        <v>0.58771832654134282</v>
      </c>
      <c r="K175">
        <f>fQc*COS(2*PI()*$I175/qbo+$L175)+fQs*SIN(2*PI()*$I175/qbo+$L175)+fCs*SIN(2*PI()*$I175/cw)+fCc*COS(2*PI()*$I175/cw)</f>
        <v>-2.0250295506613663</v>
      </c>
      <c r="L175">
        <f>+QMA*COS(2*PI()*$I175/QM+QMP)</f>
        <v>0.3389380025001334</v>
      </c>
      <c r="P175">
        <f t="shared" si="14"/>
        <v>0</v>
      </c>
    </row>
    <row r="176" spans="1:16" x14ac:dyDescent="0.25">
      <c r="A176" s="1"/>
      <c r="B176" t="s">
        <v>189</v>
      </c>
      <c r="C176" t="s">
        <v>24</v>
      </c>
      <c r="D176" s="3">
        <v>6.916666666666667</v>
      </c>
      <c r="E176" s="5">
        <f t="shared" si="10"/>
        <v>1815</v>
      </c>
      <c r="F176">
        <v>1.1735500000000001</v>
      </c>
      <c r="G176">
        <f t="shared" si="11"/>
        <v>-0.10818000000000016</v>
      </c>
      <c r="H176">
        <f t="shared" si="12"/>
        <v>-0.10818000000000016</v>
      </c>
      <c r="I176" s="5">
        <f t="shared" si="13"/>
        <v>1815</v>
      </c>
      <c r="J176">
        <f>+H176+CF*F176*(1+($I176-1850)*slope/1000)+F176*hQc*COS(2*PI()*$I176/qbo+$L176)+F176*hQs*SIN(2*PI()*$I176/qbo+$L176)+F176*hCs*SIN(2*PI()*$I176/cw)+F176*hCc*COS(2*PI()*$I176/cw) +mix*F176*(hQc*COS(2*PI()*$I176/qbo+$L176)+hQs*SIN(2*PI()*$I176/qbo+$L176))*(hCs*SIN(2*PI()*$I176/cw)+hCc*COS(2*PI()*$I176/cw))</f>
        <v>3.2608211282499395</v>
      </c>
      <c r="K176">
        <f>fQc*COS(2*PI()*$I176/qbo+$L176)+fQs*SIN(2*PI()*$I176/qbo+$L176)+fCs*SIN(2*PI()*$I176/cw)+fCc*COS(2*PI()*$I176/cw)</f>
        <v>2.4264777704678311</v>
      </c>
      <c r="L176">
        <f>+QMA*COS(2*PI()*$I176/QM+QMP)</f>
        <v>0.21581634291453985</v>
      </c>
      <c r="P176">
        <f t="shared" si="14"/>
        <v>1</v>
      </c>
    </row>
    <row r="177" spans="1:16" x14ac:dyDescent="0.25">
      <c r="A177" s="1"/>
      <c r="B177" t="s">
        <v>190</v>
      </c>
      <c r="C177" t="s">
        <v>24</v>
      </c>
      <c r="D177" s="3">
        <v>6.958333333333333</v>
      </c>
      <c r="E177" s="5">
        <f t="shared" si="10"/>
        <v>1816</v>
      </c>
      <c r="F177">
        <v>1.71018</v>
      </c>
      <c r="G177">
        <f t="shared" si="11"/>
        <v>-1.95078</v>
      </c>
      <c r="H177">
        <f t="shared" si="12"/>
        <v>-1.95078</v>
      </c>
      <c r="I177" s="5">
        <f t="shared" si="13"/>
        <v>1816</v>
      </c>
      <c r="J177">
        <f>+H177+CF*F177*(1+($I177-1850)*slope/1000)+F177*hQc*COS(2*PI()*$I177/qbo+$L177)+F177*hQs*SIN(2*PI()*$I177/qbo+$L177)+F177*hCs*SIN(2*PI()*$I177/cw)+F177*hCc*COS(2*PI()*$I177/cw) +mix*F177*(hQc*COS(2*PI()*$I177/qbo+$L177)+hQs*SIN(2*PI()*$I177/qbo+$L177))*(hCs*SIN(2*PI()*$I177/cw)+hCc*COS(2*PI()*$I177/cw))</f>
        <v>-4.6359597167002145</v>
      </c>
      <c r="K177">
        <f>fQc*COS(2*PI()*$I177/qbo+$L177)+fQs*SIN(2*PI()*$I177/qbo+$L177)+fCs*SIN(2*PI()*$I177/cw)+fCc*COS(2*PI()*$I177/cw)</f>
        <v>-3.2006699509591185</v>
      </c>
      <c r="L177">
        <f>+QMA*COS(2*PI()*$I177/QM+QMP)</f>
        <v>8.8577574414855476E-2</v>
      </c>
      <c r="P177">
        <f t="shared" si="14"/>
        <v>1</v>
      </c>
    </row>
    <row r="178" spans="1:16" x14ac:dyDescent="0.25">
      <c r="A178" s="1"/>
      <c r="B178" t="s">
        <v>191</v>
      </c>
      <c r="C178" t="s">
        <v>24</v>
      </c>
      <c r="D178" s="3">
        <v>7</v>
      </c>
      <c r="E178" s="5">
        <f t="shared" si="10"/>
        <v>1817</v>
      </c>
      <c r="F178">
        <v>0.29603000000000002</v>
      </c>
      <c r="G178">
        <f t="shared" si="11"/>
        <v>-8.0999999999999961E-3</v>
      </c>
      <c r="H178">
        <f t="shared" si="12"/>
        <v>-8.0999999999999961E-3</v>
      </c>
      <c r="I178" s="5">
        <f t="shared" si="13"/>
        <v>1817</v>
      </c>
      <c r="J178">
        <f>+H178+CF*F178*(1+($I178-1850)*slope/1000)+F178*hQc*COS(2*PI()*$I178/qbo+$L178)+F178*hQs*SIN(2*PI()*$I178/qbo+$L178)+F178*hCs*SIN(2*PI()*$I178/cw)+F178*hCc*COS(2*PI()*$I178/cw) +mix*F178*(hQc*COS(2*PI()*$I178/qbo+$L178)+hQs*SIN(2*PI()*$I178/qbo+$L178))*(hCs*SIN(2*PI()*$I178/cw)+hCc*COS(2*PI()*$I178/cw))</f>
        <v>1.5564862472511136</v>
      </c>
      <c r="K178">
        <f>fQc*COS(2*PI()*$I178/qbo+$L178)+fQs*SIN(2*PI()*$I178/qbo+$L178)+fCs*SIN(2*PI()*$I178/cw)+fCc*COS(2*PI()*$I178/cw)</f>
        <v>1.3297522715847518</v>
      </c>
      <c r="L178">
        <f>+QMA*COS(2*PI()*$I178/QM+QMP)</f>
        <v>-4.0350980485140818E-2</v>
      </c>
      <c r="P178">
        <f t="shared" si="14"/>
        <v>1</v>
      </c>
    </row>
    <row r="179" spans="1:16" x14ac:dyDescent="0.25">
      <c r="A179" s="1"/>
      <c r="B179" t="s">
        <v>192</v>
      </c>
      <c r="C179" t="s">
        <v>24</v>
      </c>
      <c r="D179" s="3">
        <v>7.041666666666667</v>
      </c>
      <c r="E179" s="5">
        <f t="shared" si="10"/>
        <v>1818</v>
      </c>
      <c r="F179">
        <v>-1.12622</v>
      </c>
      <c r="G179">
        <f t="shared" si="11"/>
        <v>1.1086400000000001</v>
      </c>
      <c r="H179">
        <f t="shared" si="12"/>
        <v>1.1086400000000001</v>
      </c>
      <c r="I179" s="5">
        <f t="shared" si="13"/>
        <v>1818</v>
      </c>
      <c r="J179">
        <f>+H179+CF*F179*(1+($I179-1850)*slope/1000)+F179*hQc*COS(2*PI()*$I179/qbo+$L179)+F179*hQs*SIN(2*PI()*$I179/qbo+$L179)+F179*hCs*SIN(2*PI()*$I179/cw)+F179*hCc*COS(2*PI()*$I179/cw) +mix*F179*(hQc*COS(2*PI()*$I179/qbo+$L179)+hQs*SIN(2*PI()*$I179/qbo+$L179))*(hCs*SIN(2*PI()*$I179/cw)+hCc*COS(2*PI()*$I179/cw))</f>
        <v>-0.70747428368016818</v>
      </c>
      <c r="K179">
        <f>fQc*COS(2*PI()*$I179/qbo+$L179)+fQs*SIN(2*PI()*$I179/qbo+$L179)+fCs*SIN(2*PI()*$I179/cw)+fCc*COS(2*PI()*$I179/cw)</f>
        <v>-0.26015545640856585</v>
      </c>
      <c r="L179">
        <f>+QMA*COS(2*PI()*$I179/QM+QMP)</f>
        <v>-0.1685097633687726</v>
      </c>
      <c r="P179">
        <f t="shared" si="14"/>
        <v>1</v>
      </c>
    </row>
    <row r="180" spans="1:16" x14ac:dyDescent="0.25">
      <c r="A180" s="1"/>
      <c r="B180" t="s">
        <v>193</v>
      </c>
      <c r="C180" t="s">
        <v>24</v>
      </c>
      <c r="D180" s="3">
        <v>7.083333333333333</v>
      </c>
      <c r="E180" s="5">
        <f t="shared" si="10"/>
        <v>1819</v>
      </c>
      <c r="F180">
        <v>-1.4398299999999999</v>
      </c>
      <c r="G180">
        <f t="shared" si="11"/>
        <v>-0.21862000000000004</v>
      </c>
      <c r="H180">
        <f t="shared" si="12"/>
        <v>-0.21862000000000004</v>
      </c>
      <c r="I180" s="5">
        <f t="shared" si="13"/>
        <v>1819</v>
      </c>
      <c r="J180">
        <f>+H180+CF*F180*(1+($I180-1850)*slope/1000)+F180*hQc*COS(2*PI()*$I180/qbo+$L180)+F180*hQs*SIN(2*PI()*$I180/qbo+$L180)+F180*hCs*SIN(2*PI()*$I180/cw)+F180*hCc*COS(2*PI()*$I180/cw) +mix*F180*(hQc*COS(2*PI()*$I180/qbo+$L180)+hQs*SIN(2*PI()*$I180/qbo+$L180))*(hCs*SIN(2*PI()*$I180/cw)+hCc*COS(2*PI()*$I180/cw))</f>
        <v>-2.3880130837642688</v>
      </c>
      <c r="K180">
        <f>fQc*COS(2*PI()*$I180/qbo+$L180)+fQs*SIN(2*PI()*$I180/qbo+$L180)+fCs*SIN(2*PI()*$I180/cw)+fCc*COS(2*PI()*$I180/cw)</f>
        <v>-1.1834568604549172</v>
      </c>
      <c r="L180">
        <f>+QMA*COS(2*PI()*$I180/QM+QMP)</f>
        <v>-0.29345390069071176</v>
      </c>
      <c r="P180">
        <f t="shared" si="14"/>
        <v>1</v>
      </c>
    </row>
    <row r="181" spans="1:16" x14ac:dyDescent="0.25">
      <c r="A181" s="1"/>
      <c r="B181" t="s">
        <v>194</v>
      </c>
      <c r="C181" t="s">
        <v>24</v>
      </c>
      <c r="D181" s="3">
        <v>7.125</v>
      </c>
      <c r="E181" s="5">
        <f t="shared" si="10"/>
        <v>1820</v>
      </c>
      <c r="F181">
        <v>-1.9720599999999999</v>
      </c>
      <c r="G181">
        <f t="shared" si="11"/>
        <v>2.8971200000000001</v>
      </c>
      <c r="H181">
        <f t="shared" si="12"/>
        <v>2.8971200000000001</v>
      </c>
      <c r="I181" s="5">
        <f t="shared" si="13"/>
        <v>1820</v>
      </c>
      <c r="J181">
        <f>+H181+CF*F181*(1+($I181-1850)*slope/1000)+F181*hQc*COS(2*PI()*$I181/qbo+$L181)+F181*hQs*SIN(2*PI()*$I181/qbo+$L181)+F181*hCs*SIN(2*PI()*$I181/cw)+F181*hCc*COS(2*PI()*$I181/cw) +mix*F181*(hQc*COS(2*PI()*$I181/qbo+$L181)+hQs*SIN(2*PI()*$I181/qbo+$L181))*(hCs*SIN(2*PI()*$I181/cw)+hCc*COS(2*PI()*$I181/cw))</f>
        <v>12.185117710980165</v>
      </c>
      <c r="K181">
        <f>fQc*COS(2*PI()*$I181/qbo+$L181)+fQs*SIN(2*PI()*$I181/qbo+$L181)+fCs*SIN(2*PI()*$I181/cw)+fCc*COS(2*PI()*$I181/cw)</f>
        <v>3.024919499578544</v>
      </c>
      <c r="L181">
        <f>+QMA*COS(2*PI()*$I181/QM+QMP)</f>
        <v>-0.41279984440923018</v>
      </c>
      <c r="P181">
        <f t="shared" si="14"/>
        <v>1</v>
      </c>
    </row>
    <row r="182" spans="1:16" x14ac:dyDescent="0.25">
      <c r="A182" s="1"/>
      <c r="B182" t="s">
        <v>195</v>
      </c>
      <c r="C182" t="s">
        <v>24</v>
      </c>
      <c r="D182" s="3">
        <v>7.166666666666667</v>
      </c>
      <c r="E182" s="5">
        <f t="shared" si="10"/>
        <v>1821</v>
      </c>
      <c r="F182">
        <v>0.39283000000000001</v>
      </c>
      <c r="G182">
        <f t="shared" si="11"/>
        <v>-3.3246099999999998</v>
      </c>
      <c r="H182">
        <f t="shared" si="12"/>
        <v>-3.3246099999999998</v>
      </c>
      <c r="I182" s="5">
        <f t="shared" si="13"/>
        <v>1821</v>
      </c>
      <c r="J182">
        <f>+H182+CF*F182*(1+($I182-1850)*slope/1000)+F182*hQc*COS(2*PI()*$I182/qbo+$L182)+F182*hQs*SIN(2*PI()*$I182/qbo+$L182)+F182*hCs*SIN(2*PI()*$I182/cw)+F182*hCc*COS(2*PI()*$I182/cw) +mix*F182*(hQc*COS(2*PI()*$I182/qbo+$L182)+hQs*SIN(2*PI()*$I182/qbo+$L182))*(hCs*SIN(2*PI()*$I182/cw)+hCc*COS(2*PI()*$I182/cw))</f>
        <v>-0.97895284784338132</v>
      </c>
      <c r="K182">
        <f>fQc*COS(2*PI()*$I182/qbo+$L182)+fQs*SIN(2*PI()*$I182/qbo+$L182)+fCs*SIN(2*PI()*$I182/cw)+fCc*COS(2*PI()*$I182/cw)</f>
        <v>-2.3962091688234257</v>
      </c>
      <c r="L182">
        <f>+QMA*COS(2*PI()*$I182/QM+QMP)</f>
        <v>-0.52427084271709734</v>
      </c>
      <c r="P182">
        <f t="shared" si="14"/>
        <v>1</v>
      </c>
    </row>
    <row r="183" spans="1:16" x14ac:dyDescent="0.25">
      <c r="A183" s="1"/>
      <c r="B183" t="s">
        <v>196</v>
      </c>
      <c r="C183" t="s">
        <v>24</v>
      </c>
      <c r="D183" s="3">
        <v>7.208333333333333</v>
      </c>
      <c r="E183" s="5">
        <f t="shared" si="10"/>
        <v>1822</v>
      </c>
      <c r="F183">
        <v>-0.56689000000000001</v>
      </c>
      <c r="G183">
        <f t="shared" si="11"/>
        <v>0.88999000000000006</v>
      </c>
      <c r="H183">
        <f t="shared" si="12"/>
        <v>0.88999000000000006</v>
      </c>
      <c r="I183" s="5">
        <f t="shared" si="13"/>
        <v>1822</v>
      </c>
      <c r="J183">
        <f>+H183+CF*F183*(1+($I183-1850)*slope/1000)+F183*hQc*COS(2*PI()*$I183/qbo+$L183)+F183*hQs*SIN(2*PI()*$I183/qbo+$L183)+F183*hCs*SIN(2*PI()*$I183/cw)+F183*hCc*COS(2*PI()*$I183/cw) +mix*F183*(hQc*COS(2*PI()*$I183/qbo+$L183)+hQs*SIN(2*PI()*$I183/qbo+$L183))*(hCs*SIN(2*PI()*$I183/cw)+hCc*COS(2*PI()*$I183/cw))</f>
        <v>3.5839896912137528</v>
      </c>
      <c r="K183">
        <f>fQc*COS(2*PI()*$I183/qbo+$L183)+fQs*SIN(2*PI()*$I183/qbo+$L183)+fCs*SIN(2*PI()*$I183/cw)+fCc*COS(2*PI()*$I183/cw)</f>
        <v>2.5223161734355974</v>
      </c>
      <c r="L183">
        <f>+QMA*COS(2*PI()*$I183/QM+QMP)</f>
        <v>-0.62574037343071065</v>
      </c>
      <c r="P183">
        <f t="shared" si="14"/>
        <v>1</v>
      </c>
    </row>
    <row r="184" spans="1:16" x14ac:dyDescent="0.25">
      <c r="A184" s="1"/>
      <c r="B184" t="s">
        <v>197</v>
      </c>
      <c r="C184" t="s">
        <v>24</v>
      </c>
      <c r="D184" s="3">
        <v>7.25</v>
      </c>
      <c r="E184" s="5">
        <f t="shared" si="10"/>
        <v>1823</v>
      </c>
      <c r="F184">
        <v>-0.63661999999999996</v>
      </c>
      <c r="G184">
        <f t="shared" si="11"/>
        <v>0.91339999999999988</v>
      </c>
      <c r="H184">
        <f t="shared" si="12"/>
        <v>0.91339999999999988</v>
      </c>
      <c r="I184" s="5">
        <f t="shared" si="13"/>
        <v>1823</v>
      </c>
      <c r="J184">
        <f>+H184+CF*F184*(1+($I184-1850)*slope/1000)+F184*hQc*COS(2*PI()*$I184/qbo+$L184)+F184*hQs*SIN(2*PI()*$I184/qbo+$L184)+F184*hCs*SIN(2*PI()*$I184/cw)+F184*hCc*COS(2*PI()*$I184/cw) +mix*F184*(hQc*COS(2*PI()*$I184/qbo+$L184)+hQs*SIN(2*PI()*$I184/qbo+$L184))*(hCs*SIN(2*PI()*$I184/cw)+hCc*COS(2*PI()*$I184/cw))</f>
        <v>1.8356175846747758E-2</v>
      </c>
      <c r="K184">
        <f>fQc*COS(2*PI()*$I184/qbo+$L184)+fQs*SIN(2*PI()*$I184/qbo+$L184)+fCs*SIN(2*PI()*$I184/cw)+fCc*COS(2*PI()*$I184/cw)</f>
        <v>-1.1668359987675097</v>
      </c>
      <c r="L184">
        <f>+QMA*COS(2*PI()*$I184/QM+QMP)</f>
        <v>-0.71527271146188542</v>
      </c>
      <c r="P184">
        <f t="shared" si="14"/>
        <v>0</v>
      </c>
    </row>
    <row r="185" spans="1:16" x14ac:dyDescent="0.25">
      <c r="A185" s="1"/>
      <c r="B185" t="s">
        <v>198</v>
      </c>
      <c r="C185" t="s">
        <v>24</v>
      </c>
      <c r="D185" s="3">
        <v>7.291666666666667</v>
      </c>
      <c r="E185" s="5">
        <f t="shared" si="10"/>
        <v>1824</v>
      </c>
      <c r="F185">
        <v>0.20705000000000001</v>
      </c>
      <c r="G185">
        <f t="shared" si="11"/>
        <v>-0.43204999999999988</v>
      </c>
      <c r="H185">
        <f t="shared" si="12"/>
        <v>-0.43204999999999988</v>
      </c>
      <c r="I185" s="5">
        <f t="shared" si="13"/>
        <v>1824</v>
      </c>
      <c r="J185">
        <f>+H185+CF*F185*(1+($I185-1850)*slope/1000)+F185*hQc*COS(2*PI()*$I185/qbo+$L185)+F185*hQs*SIN(2*PI()*$I185/qbo+$L185)+F185*hCs*SIN(2*PI()*$I185/cw)+F185*hCc*COS(2*PI()*$I185/cw) +mix*F185*(hQc*COS(2*PI()*$I185/qbo+$L185)+hQs*SIN(2*PI()*$I185/qbo+$L185))*(hCs*SIN(2*PI()*$I185/cw)+hCc*COS(2*PI()*$I185/cw))</f>
        <v>-0.1352837627005698</v>
      </c>
      <c r="K185">
        <f>fQc*COS(2*PI()*$I185/qbo+$L185)+fQs*SIN(2*PI()*$I185/qbo+$L185)+fCs*SIN(2*PI()*$I185/cw)+fCc*COS(2*PI()*$I185/cw)</f>
        <v>-0.8401096399886383</v>
      </c>
      <c r="L185">
        <f>+QMA*COS(2*PI()*$I185/QM+QMP)</f>
        <v>-0.79115985647090159</v>
      </c>
      <c r="P185">
        <f t="shared" si="14"/>
        <v>1</v>
      </c>
    </row>
    <row r="186" spans="1:16" x14ac:dyDescent="0.25">
      <c r="A186" s="1"/>
      <c r="B186" t="s">
        <v>199</v>
      </c>
      <c r="C186" t="s">
        <v>24</v>
      </c>
      <c r="D186" s="3">
        <v>7.333333333333333</v>
      </c>
      <c r="E186" s="5">
        <f t="shared" si="10"/>
        <v>1825</v>
      </c>
      <c r="F186">
        <v>0.61867000000000005</v>
      </c>
      <c r="G186">
        <f t="shared" si="11"/>
        <v>-1.02498</v>
      </c>
      <c r="H186">
        <f t="shared" si="12"/>
        <v>-1.02498</v>
      </c>
      <c r="I186" s="5">
        <f t="shared" si="13"/>
        <v>1825</v>
      </c>
      <c r="J186">
        <f>+H186+CF*F186*(1+($I186-1850)*slope/1000)+F186*hQc*COS(2*PI()*$I186/qbo+$L186)+F186*hQs*SIN(2*PI()*$I186/qbo+$L186)+F186*hCs*SIN(2*PI()*$I186/cw)+F186*hCc*COS(2*PI()*$I186/cw) +mix*F186*(hQc*COS(2*PI()*$I186/qbo+$L186)+hQs*SIN(2*PI()*$I186/qbo+$L186))*(hCs*SIN(2*PI()*$I186/cw)+hCc*COS(2*PI()*$I186/cw))</f>
        <v>2.0243647490702088</v>
      </c>
      <c r="K186">
        <f>fQc*COS(2*PI()*$I186/qbo+$L186)+fQs*SIN(2*PI()*$I186/qbo+$L186)+fCs*SIN(2*PI()*$I186/cw)+fCc*COS(2*PI()*$I186/cw)</f>
        <v>1.2869890256939933</v>
      </c>
      <c r="L186">
        <f>+QMA*COS(2*PI()*$I186/QM+QMP)</f>
        <v>-0.85195411623502493</v>
      </c>
      <c r="P186">
        <f t="shared" si="14"/>
        <v>1</v>
      </c>
    </row>
    <row r="187" spans="1:16" x14ac:dyDescent="0.25">
      <c r="A187" s="1"/>
      <c r="B187" t="s">
        <v>200</v>
      </c>
      <c r="C187" t="s">
        <v>24</v>
      </c>
      <c r="D187" s="3">
        <v>7.375</v>
      </c>
      <c r="E187" s="5">
        <f t="shared" si="10"/>
        <v>1826</v>
      </c>
      <c r="F187">
        <v>5.3099999999999996E-3</v>
      </c>
      <c r="G187">
        <f t="shared" si="11"/>
        <v>1.6189200000000001</v>
      </c>
      <c r="H187">
        <f t="shared" si="12"/>
        <v>1.6189200000000001</v>
      </c>
      <c r="I187" s="5">
        <f t="shared" si="13"/>
        <v>1826</v>
      </c>
      <c r="J187">
        <f>+H187+CF*F187*(1+($I187-1850)*slope/1000)+F187*hQc*COS(2*PI()*$I187/qbo+$L187)+F187*hQs*SIN(2*PI()*$I187/qbo+$L187)+F187*hCs*SIN(2*PI()*$I187/cw)+F187*hCc*COS(2*PI()*$I187/cw) +mix*F187*(hQc*COS(2*PI()*$I187/qbo+$L187)+hQs*SIN(2*PI()*$I187/qbo+$L187))*(hCs*SIN(2*PI()*$I187/cw)+hCc*COS(2*PI()*$I187/cw))</f>
        <v>1.6104272182049926</v>
      </c>
      <c r="K187">
        <f>fQc*COS(2*PI()*$I187/qbo+$L187)+fQs*SIN(2*PI()*$I187/qbo+$L187)+fCs*SIN(2*PI()*$I187/cw)+fCc*COS(2*PI()*$I187/cw)</f>
        <v>-2.9982590560699665</v>
      </c>
      <c r="L187">
        <f>+QMA*COS(2*PI()*$I187/QM+QMP)</f>
        <v>-0.89649572414236489</v>
      </c>
      <c r="P187">
        <f t="shared" si="14"/>
        <v>0</v>
      </c>
    </row>
    <row r="188" spans="1:16" x14ac:dyDescent="0.25">
      <c r="A188" s="1"/>
      <c r="B188" t="s">
        <v>201</v>
      </c>
      <c r="C188" t="s">
        <v>24</v>
      </c>
      <c r="D188" s="3">
        <v>7.416666666666667</v>
      </c>
      <c r="E188" s="5">
        <f t="shared" si="10"/>
        <v>1827</v>
      </c>
      <c r="F188">
        <v>1.0108699999999999</v>
      </c>
      <c r="G188">
        <f t="shared" si="11"/>
        <v>-0.80272999999999994</v>
      </c>
      <c r="H188">
        <f t="shared" si="12"/>
        <v>-0.80272999999999994</v>
      </c>
      <c r="I188" s="5">
        <f t="shared" si="13"/>
        <v>1827</v>
      </c>
      <c r="J188">
        <f>+H188+CF*F188*(1+($I188-1850)*slope/1000)+F188*hQc*COS(2*PI()*$I188/qbo+$L188)+F188*hQs*SIN(2*PI()*$I188/qbo+$L188)+F188*hCs*SIN(2*PI()*$I188/cw)+F188*hCc*COS(2*PI()*$I188/cw) +mix*F188*(hQc*COS(2*PI()*$I188/qbo+$L188)+hQs*SIN(2*PI()*$I188/qbo+$L188))*(hCs*SIN(2*PI()*$I188/cw)+hCc*COS(2*PI()*$I188/cw))</f>
        <v>2.4940592663190002</v>
      </c>
      <c r="K188">
        <f>fQc*COS(2*PI()*$I188/qbo+$L188)+fQs*SIN(2*PI()*$I188/qbo+$L188)+fCs*SIN(2*PI()*$I188/cw)+fCc*COS(2*PI()*$I188/cw)</f>
        <v>2.8229070696361407</v>
      </c>
      <c r="L188">
        <f>+QMA*COS(2*PI()*$I188/QM+QMP)</f>
        <v>-0.92393496395509256</v>
      </c>
      <c r="P188">
        <f t="shared" si="14"/>
        <v>1</v>
      </c>
    </row>
    <row r="189" spans="1:16" x14ac:dyDescent="0.25">
      <c r="A189" s="1"/>
      <c r="B189" t="s">
        <v>202</v>
      </c>
      <c r="C189" t="s">
        <v>24</v>
      </c>
      <c r="D189" s="3">
        <v>7.458333333333333</v>
      </c>
      <c r="E189" s="5">
        <f t="shared" si="10"/>
        <v>1828</v>
      </c>
      <c r="F189">
        <v>1.2137</v>
      </c>
      <c r="G189">
        <f t="shared" si="11"/>
        <v>-0.55542000000000002</v>
      </c>
      <c r="H189">
        <f t="shared" si="12"/>
        <v>-0.55542000000000002</v>
      </c>
      <c r="I189" s="5">
        <f t="shared" si="13"/>
        <v>1828</v>
      </c>
      <c r="J189">
        <f>+H189+CF*F189*(1+($I189-1850)*slope/1000)+F189*hQc*COS(2*PI()*$I189/qbo+$L189)+F189*hQs*SIN(2*PI()*$I189/qbo+$L189)+F189*hCs*SIN(2*PI()*$I189/cw)+F189*hCc*COS(2*PI()*$I189/cw) +mix*F189*(hQc*COS(2*PI()*$I189/qbo+$L189)+hQs*SIN(2*PI()*$I189/qbo+$L189))*(hCs*SIN(2*PI()*$I189/cw)+hCc*COS(2*PI()*$I189/cw))</f>
        <v>2.375104056202018</v>
      </c>
      <c r="K189">
        <f>fQc*COS(2*PI()*$I189/qbo+$L189)+fQs*SIN(2*PI()*$I189/qbo+$L189)+fCs*SIN(2*PI()*$I189/cw)+fCc*COS(2*PI()*$I189/cw)</f>
        <v>-2.1605555404618118</v>
      </c>
      <c r="L189">
        <f>+QMA*COS(2*PI()*$I189/QM+QMP)</f>
        <v>-0.93374837976944192</v>
      </c>
      <c r="P189">
        <f t="shared" si="14"/>
        <v>0</v>
      </c>
    </row>
    <row r="190" spans="1:16" x14ac:dyDescent="0.25">
      <c r="A190" s="1"/>
      <c r="B190" t="s">
        <v>203</v>
      </c>
      <c r="C190" t="s">
        <v>24</v>
      </c>
      <c r="D190" s="3">
        <v>7.5</v>
      </c>
      <c r="E190" s="5">
        <f t="shared" si="10"/>
        <v>1829</v>
      </c>
      <c r="F190">
        <v>0.86111000000000004</v>
      </c>
      <c r="G190">
        <f t="shared" si="11"/>
        <v>-0.45816000000000012</v>
      </c>
      <c r="H190">
        <f t="shared" si="12"/>
        <v>-0.45816000000000012</v>
      </c>
      <c r="I190" s="5">
        <f t="shared" si="13"/>
        <v>1829</v>
      </c>
      <c r="J190">
        <f>+H190+CF*F190*(1+($I190-1850)*slope/1000)+F190*hQc*COS(2*PI()*$I190/qbo+$L190)+F190*hQs*SIN(2*PI()*$I190/qbo+$L190)+F190*hCs*SIN(2*PI()*$I190/cw)+F190*hCc*COS(2*PI()*$I190/cw) +mix*F190*(hQc*COS(2*PI()*$I190/qbo+$L190)+hQs*SIN(2*PI()*$I190/qbo+$L190))*(hCs*SIN(2*PI()*$I190/cw)+hCc*COS(2*PI()*$I190/cw))</f>
        <v>-3.5747660068615632</v>
      </c>
      <c r="K190">
        <f>fQc*COS(2*PI()*$I190/qbo+$L190)+fQs*SIN(2*PI()*$I190/qbo+$L190)+fCs*SIN(2*PI()*$I190/cw)+fCc*COS(2*PI()*$I190/cw)</f>
        <v>2.0516242168740333</v>
      </c>
      <c r="L190">
        <f>+QMA*COS(2*PI()*$I190/QM+QMP)</f>
        <v>-0.92574876193676725</v>
      </c>
      <c r="P190">
        <f t="shared" si="14"/>
        <v>0</v>
      </c>
    </row>
    <row r="191" spans="1:16" x14ac:dyDescent="0.25">
      <c r="A191" s="1"/>
      <c r="B191" t="s">
        <v>204</v>
      </c>
      <c r="C191" t="s">
        <v>24</v>
      </c>
      <c r="D191" s="3">
        <v>7.541666666666667</v>
      </c>
      <c r="E191" s="5">
        <f t="shared" si="10"/>
        <v>1830</v>
      </c>
      <c r="F191">
        <v>5.0360000000000002E-2</v>
      </c>
      <c r="G191">
        <f t="shared" si="11"/>
        <v>0.28301000000000009</v>
      </c>
      <c r="H191">
        <f t="shared" si="12"/>
        <v>0.28301000000000009</v>
      </c>
      <c r="I191" s="5">
        <f t="shared" si="13"/>
        <v>1830</v>
      </c>
      <c r="J191">
        <f>+H191+CF*F191*(1+($I191-1850)*slope/1000)+F191*hQc*COS(2*PI()*$I191/qbo+$L191)+F191*hQs*SIN(2*PI()*$I191/qbo+$L191)+F191*hCs*SIN(2*PI()*$I191/cw)+F191*hCc*COS(2*PI()*$I191/cw) +mix*F191*(hQc*COS(2*PI()*$I191/qbo+$L191)+hQs*SIN(2*PI()*$I191/qbo+$L191))*(hCs*SIN(2*PI()*$I191/cw)+hCc*COS(2*PI()*$I191/cw))</f>
        <v>0.30558381248344929</v>
      </c>
      <c r="K191">
        <f>fQc*COS(2*PI()*$I191/qbo+$L191)+fQs*SIN(2*PI()*$I191/qbo+$L191)+fCs*SIN(2*PI()*$I191/cw)+fCc*COS(2*PI()*$I191/cw)</f>
        <v>1.9851415784062732E-2</v>
      </c>
      <c r="L191">
        <f>+QMA*COS(2*PI()*$I191/QM+QMP)</f>
        <v>-0.90008871844516325</v>
      </c>
      <c r="P191">
        <f t="shared" si="14"/>
        <v>1</v>
      </c>
    </row>
    <row r="192" spans="1:16" x14ac:dyDescent="0.25">
      <c r="A192" s="1"/>
      <c r="B192" t="s">
        <v>205</v>
      </c>
      <c r="C192" t="s">
        <v>24</v>
      </c>
      <c r="D192" s="3">
        <v>7.583333333333333</v>
      </c>
      <c r="E192" s="5">
        <f t="shared" si="10"/>
        <v>1831</v>
      </c>
      <c r="F192">
        <v>-0.47738000000000003</v>
      </c>
      <c r="G192">
        <f t="shared" si="11"/>
        <v>1.6845300000000001</v>
      </c>
      <c r="H192">
        <f t="shared" si="12"/>
        <v>1.6845300000000001</v>
      </c>
      <c r="I192" s="5">
        <f t="shared" si="13"/>
        <v>1831</v>
      </c>
      <c r="J192">
        <f>+H192+CF*F192*(1+($I192-1850)*slope/1000)+F192*hQc*COS(2*PI()*$I192/qbo+$L192)+F192*hQs*SIN(2*PI()*$I192/qbo+$L192)+F192*hCs*SIN(2*PI()*$I192/cw)+F192*hCc*COS(2*PI()*$I192/cw) +mix*F192*(hQc*COS(2*PI()*$I192/qbo+$L192)+hQs*SIN(2*PI()*$I192/qbo+$L192))*(hCs*SIN(2*PI()*$I192/cw)+hCc*COS(2*PI()*$I192/cw))</f>
        <v>1.2963332396272405</v>
      </c>
      <c r="K192">
        <f>fQc*COS(2*PI()*$I192/qbo+$L192)+fQs*SIN(2*PI()*$I192/qbo+$L192)+fCs*SIN(2*PI()*$I192/cw)+fCc*COS(2*PI()*$I192/cw)</f>
        <v>-0.56666193410624277</v>
      </c>
      <c r="L192">
        <f>+QMA*COS(2*PI()*$I192/QM+QMP)</f>
        <v>-0.85725776363060457</v>
      </c>
      <c r="P192">
        <f t="shared" si="14"/>
        <v>0</v>
      </c>
    </row>
    <row r="193" spans="1:16" x14ac:dyDescent="0.25">
      <c r="A193" s="1"/>
      <c r="B193" t="s">
        <v>206</v>
      </c>
      <c r="C193" t="s">
        <v>24</v>
      </c>
      <c r="D193" s="3">
        <v>7.625</v>
      </c>
      <c r="E193" s="5">
        <f t="shared" si="10"/>
        <v>1832</v>
      </c>
      <c r="F193">
        <v>0.67940999999999996</v>
      </c>
      <c r="G193">
        <f t="shared" si="11"/>
        <v>0.30939000000000005</v>
      </c>
      <c r="H193">
        <f t="shared" si="12"/>
        <v>0.30939000000000005</v>
      </c>
      <c r="I193" s="5">
        <f t="shared" si="13"/>
        <v>1832</v>
      </c>
      <c r="J193">
        <f>+H193+CF*F193*(1+($I193-1850)*slope/1000)+F193*hQc*COS(2*PI()*$I193/qbo+$L193)+F193*hQs*SIN(2*PI()*$I193/qbo+$L193)+F193*hCs*SIN(2*PI()*$I193/cw)+F193*hCc*COS(2*PI()*$I193/cw) +mix*F193*(hQc*COS(2*PI()*$I193/qbo+$L193)+hQs*SIN(2*PI()*$I193/qbo+$L193))*(hCs*SIN(2*PI()*$I193/cw)+hCc*COS(2*PI()*$I193/cw))</f>
        <v>0.18474954820281991</v>
      </c>
      <c r="K193">
        <f>fQc*COS(2*PI()*$I193/qbo+$L193)+fQs*SIN(2*PI()*$I193/qbo+$L193)+fCs*SIN(2*PI()*$I193/cw)+fCc*COS(2*PI()*$I193/cw)</f>
        <v>1.6025524770999384</v>
      </c>
      <c r="L193">
        <f>+QMA*COS(2*PI()*$I193/QM+QMP)</f>
        <v>-0.798072979756142</v>
      </c>
      <c r="P193">
        <f t="shared" si="14"/>
        <v>1</v>
      </c>
    </row>
    <row r="194" spans="1:16" x14ac:dyDescent="0.25">
      <c r="A194" s="1"/>
      <c r="B194" t="s">
        <v>207</v>
      </c>
      <c r="C194" t="s">
        <v>24</v>
      </c>
      <c r="D194" s="3">
        <v>7.666666666666667</v>
      </c>
      <c r="E194" s="5">
        <f t="shared" si="10"/>
        <v>1833</v>
      </c>
      <c r="F194">
        <v>2.1455899999999999</v>
      </c>
      <c r="G194">
        <f t="shared" si="11"/>
        <v>-2.7098499999999999</v>
      </c>
      <c r="H194">
        <f t="shared" si="12"/>
        <v>-2.7098499999999999</v>
      </c>
      <c r="I194" s="5">
        <f t="shared" si="13"/>
        <v>1833</v>
      </c>
      <c r="J194">
        <f>+H194+CF*F194*(1+($I194-1850)*slope/1000)+F194*hQc*COS(2*PI()*$I194/qbo+$L194)+F194*hQs*SIN(2*PI()*$I194/qbo+$L194)+F194*hCs*SIN(2*PI()*$I194/cw)+F194*hCc*COS(2*PI()*$I194/cw) +mix*F194*(hQc*COS(2*PI()*$I194/qbo+$L194)+hQs*SIN(2*PI()*$I194/qbo+$L194))*(hCs*SIN(2*PI()*$I194/cw)+hCc*COS(2*PI()*$I194/cw))</f>
        <v>-3.3765243339547615</v>
      </c>
      <c r="K194">
        <f>fQc*COS(2*PI()*$I194/qbo+$L194)+fQs*SIN(2*PI()*$I194/qbo+$L194)+fCs*SIN(2*PI()*$I194/cw)+fCc*COS(2*PI()*$I194/cw)</f>
        <v>-2.9087182710533979</v>
      </c>
      <c r="L194">
        <f>+QMA*COS(2*PI()*$I194/QM+QMP)</f>
        <v>-0.72366342960717522</v>
      </c>
      <c r="P194">
        <f t="shared" si="14"/>
        <v>1</v>
      </c>
    </row>
    <row r="195" spans="1:16" x14ac:dyDescent="0.25">
      <c r="A195" s="1"/>
      <c r="B195" t="s">
        <v>208</v>
      </c>
      <c r="C195" t="s">
        <v>24</v>
      </c>
      <c r="D195" s="3">
        <v>7.708333333333333</v>
      </c>
      <c r="E195" s="5">
        <f t="shared" si="10"/>
        <v>1834</v>
      </c>
      <c r="F195">
        <v>0.90192000000000005</v>
      </c>
      <c r="G195">
        <f t="shared" si="11"/>
        <v>0.3685299999999998</v>
      </c>
      <c r="H195">
        <f t="shared" si="12"/>
        <v>0.3685299999999998</v>
      </c>
      <c r="I195" s="5">
        <f t="shared" si="13"/>
        <v>1834</v>
      </c>
      <c r="J195">
        <f>+H195+CF*F195*(1+($I195-1850)*slope/1000)+F195*hQc*COS(2*PI()*$I195/qbo+$L195)+F195*hQs*SIN(2*PI()*$I195/qbo+$L195)+F195*hCs*SIN(2*PI()*$I195/cw)+F195*hCc*COS(2*PI()*$I195/cw) +mix*F195*(hQc*COS(2*PI()*$I195/qbo+$L195)+hQs*SIN(2*PI()*$I195/qbo+$L195))*(hCs*SIN(2*PI()*$I195/cw)+hCc*COS(2*PI()*$I195/cw))</f>
        <v>6.4445715022373111</v>
      </c>
      <c r="K195">
        <f>fQc*COS(2*PI()*$I195/qbo+$L195)+fQs*SIN(2*PI()*$I195/qbo+$L195)+fCs*SIN(2*PI()*$I195/cw)+fCc*COS(2*PI()*$I195/cw)</f>
        <v>2.3446335572317487</v>
      </c>
      <c r="L195">
        <f>+QMA*COS(2*PI()*$I195/QM+QMP)</f>
        <v>-0.63544861746255754</v>
      </c>
      <c r="P195">
        <f t="shared" si="14"/>
        <v>1</v>
      </c>
    </row>
    <row r="196" spans="1:16" x14ac:dyDescent="0.25">
      <c r="A196" s="1"/>
      <c r="B196" t="s">
        <v>209</v>
      </c>
      <c r="C196" t="s">
        <v>24</v>
      </c>
      <c r="D196" s="3">
        <v>7.75</v>
      </c>
      <c r="E196" s="5">
        <f t="shared" si="10"/>
        <v>1835</v>
      </c>
      <c r="F196">
        <v>2.6780000000000002E-2</v>
      </c>
      <c r="G196">
        <f t="shared" si="11"/>
        <v>0.85698000000000008</v>
      </c>
      <c r="H196">
        <f t="shared" si="12"/>
        <v>0.85698000000000008</v>
      </c>
      <c r="I196" s="5">
        <f t="shared" si="13"/>
        <v>1835</v>
      </c>
      <c r="J196">
        <f>+H196+CF*F196*(1+($I196-1850)*slope/1000)+F196*hQc*COS(2*PI()*$I196/qbo+$L196)+F196*hQs*SIN(2*PI()*$I196/qbo+$L196)+F196*hCs*SIN(2*PI()*$I196/cw)+F196*hCc*COS(2*PI()*$I196/cw) +mix*F196*(hQc*COS(2*PI()*$I196/qbo+$L196)+hQs*SIN(2*PI()*$I196/qbo+$L196))*(hCs*SIN(2*PI()*$I196/cw)+hCc*COS(2*PI()*$I196/cw))</f>
        <v>0.80670286222272358</v>
      </c>
      <c r="K196">
        <f>fQc*COS(2*PI()*$I196/qbo+$L196)+fQs*SIN(2*PI()*$I196/qbo+$L196)+fCs*SIN(2*PI()*$I196/cw)+fCc*COS(2*PI()*$I196/cw)</f>
        <v>-3.1333615663415388</v>
      </c>
      <c r="L196">
        <f>+QMA*COS(2*PI()*$I196/QM+QMP)</f>
        <v>-0.53511140933953505</v>
      </c>
      <c r="P196">
        <f t="shared" si="14"/>
        <v>0</v>
      </c>
    </row>
    <row r="197" spans="1:16" x14ac:dyDescent="0.25">
      <c r="A197" s="1"/>
      <c r="B197" t="s">
        <v>210</v>
      </c>
      <c r="C197" t="s">
        <v>24</v>
      </c>
      <c r="D197" s="3">
        <v>7.791666666666667</v>
      </c>
      <c r="E197" s="5">
        <f t="shared" si="10"/>
        <v>1836</v>
      </c>
      <c r="F197">
        <v>8.6199999999999992E-3</v>
      </c>
      <c r="G197">
        <f t="shared" si="11"/>
        <v>1.0293399999999999</v>
      </c>
      <c r="H197">
        <f t="shared" si="12"/>
        <v>1.0293399999999999</v>
      </c>
      <c r="I197" s="5">
        <f t="shared" si="13"/>
        <v>1836</v>
      </c>
      <c r="J197">
        <f>+H197+CF*F197*(1+($I197-1850)*slope/1000)+F197*hQc*COS(2*PI()*$I197/qbo+$L197)+F197*hQs*SIN(2*PI()*$I197/qbo+$L197)+F197*hCs*SIN(2*PI()*$I197/cw)+F197*hCc*COS(2*PI()*$I197/cw) +mix*F197*(hQc*COS(2*PI()*$I197/qbo+$L197)+hQs*SIN(2*PI()*$I197/qbo+$L197))*(hCs*SIN(2*PI()*$I197/cw)+hCc*COS(2*PI()*$I197/cw))</f>
        <v>1.0492807567338871</v>
      </c>
      <c r="K197">
        <f>fQc*COS(2*PI()*$I197/qbo+$L197)+fQs*SIN(2*PI()*$I197/qbo+$L197)+fCs*SIN(2*PI()*$I197/cw)+fCc*COS(2*PI()*$I197/cw)</f>
        <v>2.4809815174185137</v>
      </c>
      <c r="L197">
        <f>+QMA*COS(2*PI()*$I197/QM+QMP)</f>
        <v>-0.42456592911018387</v>
      </c>
      <c r="P197">
        <f t="shared" si="14"/>
        <v>1</v>
      </c>
    </row>
    <row r="198" spans="1:16" x14ac:dyDescent="0.25">
      <c r="A198" s="1"/>
      <c r="B198" t="s">
        <v>211</v>
      </c>
      <c r="C198" t="s">
        <v>24</v>
      </c>
      <c r="D198" s="3">
        <v>7.833333333333333</v>
      </c>
      <c r="E198" s="5">
        <f t="shared" si="10"/>
        <v>1837</v>
      </c>
      <c r="F198">
        <v>1.0198</v>
      </c>
      <c r="G198">
        <f t="shared" si="11"/>
        <v>-1.1686000000000001</v>
      </c>
      <c r="H198">
        <f t="shared" si="12"/>
        <v>-1.1686000000000001</v>
      </c>
      <c r="I198" s="5">
        <f t="shared" si="13"/>
        <v>1837</v>
      </c>
      <c r="J198">
        <f>+H198+CF*F198*(1+($I198-1850)*slope/1000)+F198*hQc*COS(2*PI()*$I198/qbo+$L198)+F198*hQs*SIN(2*PI()*$I198/qbo+$L198)+F198*hCs*SIN(2*PI()*$I198/cw)+F198*hCc*COS(2*PI()*$I198/cw) +mix*F198*(hQc*COS(2*PI()*$I198/qbo+$L198)+hQs*SIN(2*PI()*$I198/qbo+$L198))*(hCs*SIN(2*PI()*$I198/cw)+hCc*COS(2*PI()*$I198/cw))</f>
        <v>0.96166700711671438</v>
      </c>
      <c r="K198">
        <f>fQc*COS(2*PI()*$I198/qbo+$L198)+fQs*SIN(2*PI()*$I198/qbo+$L198)+fCs*SIN(2*PI()*$I198/cw)+fCc*COS(2*PI()*$I198/cw)</f>
        <v>-1.5086425076377625</v>
      </c>
      <c r="L198">
        <f>+QMA*COS(2*PI()*$I198/QM+QMP)</f>
        <v>-0.30592104293330441</v>
      </c>
      <c r="P198">
        <f t="shared" si="14"/>
        <v>0</v>
      </c>
    </row>
    <row r="199" spans="1:16" x14ac:dyDescent="0.25">
      <c r="A199" s="1"/>
      <c r="B199" t="s">
        <v>212</v>
      </c>
      <c r="C199" t="s">
        <v>24</v>
      </c>
      <c r="D199" s="3">
        <v>7.875</v>
      </c>
      <c r="E199" s="5">
        <f t="shared" si="10"/>
        <v>1838</v>
      </c>
      <c r="F199">
        <v>0.86238000000000004</v>
      </c>
      <c r="G199">
        <f t="shared" si="11"/>
        <v>1.4644500000000003</v>
      </c>
      <c r="H199">
        <f t="shared" si="12"/>
        <v>1.4644500000000003</v>
      </c>
      <c r="I199" s="5">
        <f t="shared" si="13"/>
        <v>1838</v>
      </c>
      <c r="J199">
        <f>+H199+CF*F199*(1+($I199-1850)*slope/1000)+F199*hQc*COS(2*PI()*$I199/qbo+$L199)+F199*hQs*SIN(2*PI()*$I199/qbo+$L199)+F199*hCs*SIN(2*PI()*$I199/cw)+F199*hCc*COS(2*PI()*$I199/cw) +mix*F199*(hQc*COS(2*PI()*$I199/qbo+$L199)+hQs*SIN(2*PI()*$I199/qbo+$L199))*(hCs*SIN(2*PI()*$I199/cw)+hCc*COS(2*PI()*$I199/cw))</f>
        <v>-1.0647554233165495</v>
      </c>
      <c r="K199">
        <f>fQc*COS(2*PI()*$I199/qbo+$L199)+fQs*SIN(2*PI()*$I199/qbo+$L199)+fCs*SIN(2*PI()*$I199/cw)+fCc*COS(2*PI()*$I199/cw)</f>
        <v>1.5223474658545579</v>
      </c>
      <c r="L199">
        <f>+QMA*COS(2*PI()*$I199/QM+QMP)</f>
        <v>-0.18144012860457442</v>
      </c>
      <c r="P199">
        <f t="shared" si="14"/>
        <v>0</v>
      </c>
    </row>
    <row r="200" spans="1:16" x14ac:dyDescent="0.25">
      <c r="A200" s="1"/>
      <c r="B200" t="s">
        <v>213</v>
      </c>
      <c r="C200" t="s">
        <v>24</v>
      </c>
      <c r="D200" s="3">
        <v>7.916666666666667</v>
      </c>
      <c r="E200" s="5">
        <f t="shared" si="10"/>
        <v>1839</v>
      </c>
      <c r="F200">
        <v>2.1694100000000001</v>
      </c>
      <c r="G200">
        <f t="shared" si="11"/>
        <v>-3.0995699999999999</v>
      </c>
      <c r="H200">
        <f t="shared" si="12"/>
        <v>-3.0995699999999999</v>
      </c>
      <c r="I200" s="5">
        <f t="shared" si="13"/>
        <v>1839</v>
      </c>
      <c r="J200">
        <f>+H200+CF*F200*(1+($I200-1850)*slope/1000)+F200*hQc*COS(2*PI()*$I200/qbo+$L200)+F200*hQs*SIN(2*PI()*$I200/qbo+$L200)+F200*hCs*SIN(2*PI()*$I200/cw)+F200*hCc*COS(2*PI()*$I200/cw) +mix*F200*(hQc*COS(2*PI()*$I200/qbo+$L200)+hQs*SIN(2*PI()*$I200/qbo+$L200))*(hCs*SIN(2*PI()*$I200/cw)+hCc*COS(2*PI()*$I200/cw))</f>
        <v>-3.8703904575901995</v>
      </c>
      <c r="K200">
        <f>fQc*COS(2*PI()*$I200/qbo+$L200)+fQs*SIN(2*PI()*$I200/qbo+$L200)+fCs*SIN(2*PI()*$I200/cw)+fCc*COS(2*PI()*$I200/cw)</f>
        <v>0.3032006616535205</v>
      </c>
      <c r="L200">
        <f>+QMA*COS(2*PI()*$I200/QM+QMP)</f>
        <v>-5.349789730244834E-2</v>
      </c>
      <c r="P200">
        <f t="shared" si="14"/>
        <v>0</v>
      </c>
    </row>
    <row r="201" spans="1:16" x14ac:dyDescent="0.25">
      <c r="A201" s="1"/>
      <c r="B201" t="s">
        <v>214</v>
      </c>
      <c r="C201" t="s">
        <v>24</v>
      </c>
      <c r="D201" s="3">
        <v>7.958333333333333</v>
      </c>
      <c r="E201" s="5">
        <f t="shared" si="10"/>
        <v>1840</v>
      </c>
      <c r="F201">
        <v>0.37686999999999998</v>
      </c>
      <c r="G201">
        <f t="shared" si="11"/>
        <v>1.48078</v>
      </c>
      <c r="H201">
        <f t="shared" si="12"/>
        <v>1.48078</v>
      </c>
      <c r="I201" s="5">
        <f t="shared" si="13"/>
        <v>1840</v>
      </c>
      <c r="J201">
        <f>+H201+CF*F201*(1+($I201-1850)*slope/1000)+F201*hQc*COS(2*PI()*$I201/qbo+$L201)+F201*hQs*SIN(2*PI()*$I201/qbo+$L201)+F201*hCs*SIN(2*PI()*$I201/cw)+F201*hCc*COS(2*PI()*$I201/cw) +mix*F201*(hQc*COS(2*PI()*$I201/qbo+$L201)+hQs*SIN(2*PI()*$I201/qbo+$L201))*(hCs*SIN(2*PI()*$I201/cw)+hCc*COS(2*PI()*$I201/cw))</f>
        <v>1.793523969289148</v>
      </c>
      <c r="K201">
        <f>fQc*COS(2*PI()*$I201/qbo+$L201)+fQs*SIN(2*PI()*$I201/qbo+$L201)+fCs*SIN(2*PI()*$I201/cw)+fCc*COS(2*PI()*$I201/cw)</f>
        <v>-0.67945612284455581</v>
      </c>
      <c r="L201">
        <f>+QMA*COS(2*PI()*$I201/QM+QMP)</f>
        <v>7.5464908562740296E-2</v>
      </c>
      <c r="P201">
        <f t="shared" si="14"/>
        <v>0</v>
      </c>
    </row>
    <row r="202" spans="1:16" x14ac:dyDescent="0.25">
      <c r="A202" s="1"/>
      <c r="B202" t="s">
        <v>215</v>
      </c>
      <c r="C202" t="s">
        <v>24</v>
      </c>
      <c r="D202" s="3">
        <v>8</v>
      </c>
      <c r="E202" s="5">
        <f t="shared" si="10"/>
        <v>1841</v>
      </c>
      <c r="F202">
        <v>6.5110000000000001E-2</v>
      </c>
      <c r="G202">
        <f t="shared" si="11"/>
        <v>-0.61817000000000011</v>
      </c>
      <c r="H202">
        <f t="shared" si="12"/>
        <v>-0.61817000000000011</v>
      </c>
      <c r="I202" s="5">
        <f t="shared" si="13"/>
        <v>1841</v>
      </c>
      <c r="J202">
        <f>+H202+CF*F202*(1+($I202-1850)*slope/1000)+F202*hQc*COS(2*PI()*$I202/qbo+$L202)+F202*hQs*SIN(2*PI()*$I202/qbo+$L202)+F202*hCs*SIN(2*PI()*$I202/cw)+F202*hCc*COS(2*PI()*$I202/cw) +mix*F202*(hQc*COS(2*PI()*$I202/qbo+$L202)+hQs*SIN(2*PI()*$I202/qbo+$L202))*(hCs*SIN(2*PI()*$I202/cw)+hCc*COS(2*PI()*$I202/cw))</f>
        <v>-0.60079313497189635</v>
      </c>
      <c r="K202">
        <f>fQc*COS(2*PI()*$I202/qbo+$L202)+fQs*SIN(2*PI()*$I202/qbo+$L202)+fCs*SIN(2*PI()*$I202/cw)+fCc*COS(2*PI()*$I202/cw)</f>
        <v>1.4471766207051608</v>
      </c>
      <c r="L202">
        <f>+QMA*COS(2*PI()*$I202/QM+QMP)</f>
        <v>0.20298807717174028</v>
      </c>
      <c r="P202">
        <f t="shared" si="14"/>
        <v>0</v>
      </c>
    </row>
    <row r="203" spans="1:16" x14ac:dyDescent="0.25">
      <c r="A203" s="1"/>
      <c r="B203" t="s">
        <v>216</v>
      </c>
      <c r="C203" t="s">
        <v>24</v>
      </c>
      <c r="D203" s="3">
        <v>8.0416666666666661</v>
      </c>
      <c r="E203" s="5">
        <f t="shared" si="10"/>
        <v>1842</v>
      </c>
      <c r="F203">
        <v>-0.86482000000000003</v>
      </c>
      <c r="G203">
        <f t="shared" si="11"/>
        <v>1.83446</v>
      </c>
      <c r="H203">
        <f t="shared" si="12"/>
        <v>1.83446</v>
      </c>
      <c r="I203" s="5">
        <f t="shared" si="13"/>
        <v>1842</v>
      </c>
      <c r="J203">
        <f>+H203+CF*F203*(1+($I203-1850)*slope/1000)+F203*hQc*COS(2*PI()*$I203/qbo+$L203)+F203*hQs*SIN(2*PI()*$I203/qbo+$L203)+F203*hCs*SIN(2*PI()*$I203/cw)+F203*hCc*COS(2*PI()*$I203/cw) +mix*F203*(hQc*COS(2*PI()*$I203/qbo+$L203)+hQs*SIN(2*PI()*$I203/qbo+$L203))*(hCs*SIN(2*PI()*$I203/cw)+hCc*COS(2*PI()*$I203/cw))</f>
        <v>2.2919338504812772</v>
      </c>
      <c r="K203">
        <f>fQc*COS(2*PI()*$I203/qbo+$L203)+fQs*SIN(2*PI()*$I203/qbo+$L203)+fCs*SIN(2*PI()*$I203/cw)+fCc*COS(2*PI()*$I203/cw)</f>
        <v>-2.7844971308090702</v>
      </c>
      <c r="L203">
        <f>+QMA*COS(2*PI()*$I203/QM+QMP)</f>
        <v>0.32663886053550639</v>
      </c>
      <c r="P203">
        <f t="shared" si="14"/>
        <v>0</v>
      </c>
    </row>
    <row r="204" spans="1:16" x14ac:dyDescent="0.25">
      <c r="A204" s="1"/>
      <c r="B204" t="s">
        <v>217</v>
      </c>
      <c r="C204" t="s">
        <v>24</v>
      </c>
      <c r="D204" s="3">
        <v>8.0833333333333339</v>
      </c>
      <c r="E204" s="5">
        <f t="shared" si="10"/>
        <v>1843</v>
      </c>
      <c r="F204">
        <v>3.9710000000000002E-2</v>
      </c>
      <c r="G204">
        <f t="shared" si="11"/>
        <v>-0.38485000000000003</v>
      </c>
      <c r="H204">
        <f t="shared" si="12"/>
        <v>-0.38485000000000003</v>
      </c>
      <c r="I204" s="5">
        <f t="shared" si="13"/>
        <v>1843</v>
      </c>
      <c r="J204">
        <f>+H204+CF*F204*(1+($I204-1850)*slope/1000)+F204*hQc*COS(2*PI()*$I204/qbo+$L204)+F204*hQs*SIN(2*PI()*$I204/qbo+$L204)+F204*hCs*SIN(2*PI()*$I204/cw)+F204*hCc*COS(2*PI()*$I204/cw) +mix*F204*(hQc*COS(2*PI()*$I204/qbo+$L204)+hQs*SIN(2*PI()*$I204/qbo+$L204))*(hCs*SIN(2*PI()*$I204/cw)+hCc*COS(2*PI()*$I204/cw))</f>
        <v>-0.12204179072835916</v>
      </c>
      <c r="K204">
        <f>fQc*COS(2*PI()*$I204/qbo+$L204)+fQs*SIN(2*PI()*$I204/qbo+$L204)+fCs*SIN(2*PI()*$I204/cw)+fCc*COS(2*PI()*$I204/cw)</f>
        <v>2.277577981739872</v>
      </c>
      <c r="L204">
        <f>+QMA*COS(2*PI()*$I204/QM+QMP)</f>
        <v>0.44405838380905094</v>
      </c>
      <c r="P204">
        <f t="shared" si="14"/>
        <v>0</v>
      </c>
    </row>
    <row r="205" spans="1:16" x14ac:dyDescent="0.25">
      <c r="A205" s="1"/>
      <c r="B205" t="s">
        <v>218</v>
      </c>
      <c r="C205" t="s">
        <v>24</v>
      </c>
      <c r="D205" s="3">
        <v>8.125</v>
      </c>
      <c r="E205" s="5">
        <f t="shared" ref="E205:E268" si="15">+E204+1</f>
        <v>1844</v>
      </c>
      <c r="F205">
        <v>0.55939000000000005</v>
      </c>
      <c r="G205">
        <f t="shared" ref="G205:G268" si="16">+(F206-F205)-(F205-F204)</f>
        <v>-0.66176000000000013</v>
      </c>
      <c r="H205">
        <f t="shared" ref="H205:H268" si="17">+G205</f>
        <v>-0.66176000000000013</v>
      </c>
      <c r="I205" s="5">
        <f t="shared" si="13"/>
        <v>1844</v>
      </c>
      <c r="J205">
        <f>+H205+CF*F205*(1+($I205-1850)*slope/1000)+F205*hQc*COS(2*PI()*$I205/qbo+$L205)+F205*hQs*SIN(2*PI()*$I205/qbo+$L205)+F205*hCs*SIN(2*PI()*$I205/cw)+F205*hCc*COS(2*PI()*$I205/cw) +mix*F205*(hQc*COS(2*PI()*$I205/qbo+$L205)+hQs*SIN(2*PI()*$I205/qbo+$L205))*(hCs*SIN(2*PI()*$I205/cw)+hCc*COS(2*PI()*$I205/cw))</f>
        <v>-1.6726714111980974</v>
      </c>
      <c r="K205">
        <f>fQc*COS(2*PI()*$I205/qbo+$L205)+fQs*SIN(2*PI()*$I205/qbo+$L205)+fCs*SIN(2*PI()*$I205/cw)+fCc*COS(2*PI()*$I205/cw)</f>
        <v>-3.1381877151684887</v>
      </c>
      <c r="L205">
        <f>+QMA*COS(2*PI()*$I205/QM+QMP)</f>
        <v>0.55300664533436772</v>
      </c>
      <c r="P205">
        <f t="shared" si="14"/>
        <v>1</v>
      </c>
    </row>
    <row r="206" spans="1:16" x14ac:dyDescent="0.25">
      <c r="A206" s="1"/>
      <c r="B206" t="s">
        <v>219</v>
      </c>
      <c r="C206" t="s">
        <v>24</v>
      </c>
      <c r="D206" s="3">
        <v>8.1666666666666661</v>
      </c>
      <c r="E206" s="5">
        <f t="shared" si="15"/>
        <v>1845</v>
      </c>
      <c r="F206">
        <v>0.41731000000000001</v>
      </c>
      <c r="G206">
        <f t="shared" si="16"/>
        <v>0.73028999999999988</v>
      </c>
      <c r="H206">
        <f t="shared" si="17"/>
        <v>0.73028999999999988</v>
      </c>
      <c r="I206" s="5">
        <f t="shared" ref="I206:I269" si="18">+E206</f>
        <v>1845</v>
      </c>
      <c r="J206">
        <f>+H206+CF*F206*(1+($I206-1850)*slope/1000)+F206*hQc*COS(2*PI()*$I206/qbo+$L206)+F206*hQs*SIN(2*PI()*$I206/qbo+$L206)+F206*hCs*SIN(2*PI()*$I206/cw)+F206*hCc*COS(2*PI()*$I206/cw) +mix*F206*(hQc*COS(2*PI()*$I206/qbo+$L206)+hQs*SIN(2*PI()*$I206/qbo+$L206))*(hCs*SIN(2*PI()*$I206/cw)+hCc*COS(2*PI()*$I206/cw))</f>
        <v>1.3866255417189763</v>
      </c>
      <c r="K206">
        <f>fQc*COS(2*PI()*$I206/qbo+$L206)+fQs*SIN(2*PI()*$I206/qbo+$L206)+fCs*SIN(2*PI()*$I206/cw)+fCc*COS(2*PI()*$I206/cw)</f>
        <v>2.6934426308865471</v>
      </c>
      <c r="L206">
        <f>+QMA*COS(2*PI()*$I206/QM+QMP)</f>
        <v>0.65140524894993401</v>
      </c>
      <c r="P206">
        <f t="shared" ref="P206:P269" si="19">+IF(J206*K206&gt;0,1, 0)</f>
        <v>1</v>
      </c>
    </row>
    <row r="207" spans="1:16" x14ac:dyDescent="0.25">
      <c r="A207" s="1"/>
      <c r="B207" t="s">
        <v>220</v>
      </c>
      <c r="C207" t="s">
        <v>24</v>
      </c>
      <c r="D207" s="3">
        <v>8.2083333333333339</v>
      </c>
      <c r="E207" s="5">
        <f t="shared" si="15"/>
        <v>1846</v>
      </c>
      <c r="F207">
        <v>1.00552</v>
      </c>
      <c r="G207">
        <f t="shared" si="16"/>
        <v>-2.6277099999999995</v>
      </c>
      <c r="H207">
        <f t="shared" si="17"/>
        <v>-2.6277099999999995</v>
      </c>
      <c r="I207" s="5">
        <f t="shared" si="18"/>
        <v>1846</v>
      </c>
      <c r="J207">
        <f>+H207+CF*F207*(1+($I207-1850)*slope/1000)+F207*hQc*COS(2*PI()*$I207/qbo+$L207)+F207*hQs*SIN(2*PI()*$I207/qbo+$L207)+F207*hCs*SIN(2*PI()*$I207/cw)+F207*hCc*COS(2*PI()*$I207/cw) +mix*F207*(hQc*COS(2*PI()*$I207/qbo+$L207)+hQs*SIN(2*PI()*$I207/qbo+$L207))*(hCs*SIN(2*PI()*$I207/cw)+hCc*COS(2*PI()*$I207/cw))</f>
        <v>-0.1969350368170284</v>
      </c>
      <c r="K207">
        <f>fQc*COS(2*PI()*$I207/qbo+$L207)+fQs*SIN(2*PI()*$I207/qbo+$L207)+fCs*SIN(2*PI()*$I207/cw)+fCc*COS(2*PI()*$I207/cw)</f>
        <v>-1.6576680915511706</v>
      </c>
      <c r="L207">
        <f>+QMA*COS(2*PI()*$I207/QM+QMP)</f>
        <v>0.73737705336686776</v>
      </c>
      <c r="P207">
        <f t="shared" si="19"/>
        <v>1</v>
      </c>
    </row>
    <row r="208" spans="1:16" x14ac:dyDescent="0.25">
      <c r="A208" s="1"/>
      <c r="B208" t="s">
        <v>221</v>
      </c>
      <c r="C208" t="s">
        <v>24</v>
      </c>
      <c r="D208" s="3">
        <v>8.25</v>
      </c>
      <c r="E208" s="5">
        <f t="shared" si="15"/>
        <v>1847</v>
      </c>
      <c r="F208">
        <v>-1.0339799999999999</v>
      </c>
      <c r="G208">
        <f t="shared" si="16"/>
        <v>3.3584299999999998</v>
      </c>
      <c r="H208">
        <f t="shared" si="17"/>
        <v>3.3584299999999998</v>
      </c>
      <c r="I208" s="5">
        <f t="shared" si="18"/>
        <v>1847</v>
      </c>
      <c r="J208">
        <f>+H208+CF*F208*(1+($I208-1850)*slope/1000)+F208*hQc*COS(2*PI()*$I208/qbo+$L208)+F208*hQs*SIN(2*PI()*$I208/qbo+$L208)+F208*hCs*SIN(2*PI()*$I208/cw)+F208*hCc*COS(2*PI()*$I208/cw) +mix*F208*(hQc*COS(2*PI()*$I208/qbo+$L208)+hQs*SIN(2*PI()*$I208/qbo+$L208))*(hCs*SIN(2*PI()*$I208/cw)+hCc*COS(2*PI()*$I208/cw))</f>
        <v>6.8986613360870122</v>
      </c>
      <c r="K208">
        <f>fQc*COS(2*PI()*$I208/qbo+$L208)+fQs*SIN(2*PI()*$I208/qbo+$L208)+fCs*SIN(2*PI()*$I208/cw)+fCc*COS(2*PI()*$I208/cw)</f>
        <v>1.6206243777620069</v>
      </c>
      <c r="L208">
        <f>+QMA*COS(2*PI()*$I208/QM+QMP)</f>
        <v>0.80928198222428183</v>
      </c>
      <c r="P208">
        <f t="shared" si="19"/>
        <v>1</v>
      </c>
    </row>
    <row r="209" spans="1:16" x14ac:dyDescent="0.25">
      <c r="A209" s="1"/>
      <c r="B209" t="s">
        <v>222</v>
      </c>
      <c r="C209" t="s">
        <v>24</v>
      </c>
      <c r="D209" s="3">
        <v>8.2916666666666661</v>
      </c>
      <c r="E209" s="5">
        <f t="shared" si="15"/>
        <v>1848</v>
      </c>
      <c r="F209">
        <v>0.28494999999999998</v>
      </c>
      <c r="G209">
        <f t="shared" si="16"/>
        <v>-1.40743</v>
      </c>
      <c r="H209">
        <f t="shared" si="17"/>
        <v>-1.40743</v>
      </c>
      <c r="I209" s="5">
        <f t="shared" si="18"/>
        <v>1848</v>
      </c>
      <c r="J209">
        <f>+H209+CF*F209*(1+($I209-1850)*slope/1000)+F209*hQc*COS(2*PI()*$I209/qbo+$L209)+F209*hQs*SIN(2*PI()*$I209/qbo+$L209)+F209*hCs*SIN(2*PI()*$I209/cw)+F209*hCc*COS(2*PI()*$I209/cw) +mix*F209*(hQc*COS(2*PI()*$I209/qbo+$L209)+hQs*SIN(2*PI()*$I209/qbo+$L209))*(hCs*SIN(2*PI()*$I209/cw)+hCc*COS(2*PI()*$I209/cw))</f>
        <v>-1.5961909612080458</v>
      </c>
      <c r="K209">
        <f>fQc*COS(2*PI()*$I209/qbo+$L209)+fQs*SIN(2*PI()*$I209/qbo+$L209)+fCs*SIN(2*PI()*$I209/cw)+fCc*COS(2*PI()*$I209/cw)</f>
        <v>0.37455185553935055</v>
      </c>
      <c r="L209">
        <f>+QMA*COS(2*PI()*$I209/QM+QMP)</f>
        <v>0.86574831167779009</v>
      </c>
      <c r="P209">
        <f t="shared" si="19"/>
        <v>0</v>
      </c>
    </row>
    <row r="210" spans="1:16" x14ac:dyDescent="0.25">
      <c r="A210" s="1"/>
      <c r="B210" t="s">
        <v>223</v>
      </c>
      <c r="C210" t="s">
        <v>24</v>
      </c>
      <c r="D210" s="3">
        <v>8.3333333333333339</v>
      </c>
      <c r="E210" s="5">
        <f t="shared" si="15"/>
        <v>1849</v>
      </c>
      <c r="F210">
        <v>0.19645000000000001</v>
      </c>
      <c r="G210">
        <f t="shared" si="16"/>
        <v>-9.4840000000000035E-2</v>
      </c>
      <c r="H210">
        <f t="shared" si="17"/>
        <v>-9.4840000000000035E-2</v>
      </c>
      <c r="I210" s="5">
        <f t="shared" si="18"/>
        <v>1849</v>
      </c>
      <c r="J210">
        <f>+H210+CF*F210*(1+($I210-1850)*slope/1000)+F210*hQc*COS(2*PI()*$I210/qbo+$L210)+F210*hQs*SIN(2*PI()*$I210/qbo+$L210)+F210*hCs*SIN(2*PI()*$I210/cw)+F210*hCc*COS(2*PI()*$I210/cw) +mix*F210*(hQc*COS(2*PI()*$I210/qbo+$L210)+hQs*SIN(2*PI()*$I210/qbo+$L210))*(hCs*SIN(2*PI()*$I210/cw)+hCc*COS(2*PI()*$I210/cw))</f>
        <v>0.14494210882320435</v>
      </c>
      <c r="K210">
        <f>fQc*COS(2*PI()*$I210/qbo+$L210)+fQs*SIN(2*PI()*$I210/qbo+$L210)+fCs*SIN(2*PI()*$I210/cw)+fCc*COS(2*PI()*$I210/cw)</f>
        <v>-1.0686662293763456</v>
      </c>
      <c r="L210">
        <f>+QMA*COS(2*PI()*$I210/QM+QMP)</f>
        <v>0.90569883865185008</v>
      </c>
      <c r="P210">
        <f t="shared" si="19"/>
        <v>0</v>
      </c>
    </row>
    <row r="211" spans="1:16" x14ac:dyDescent="0.25">
      <c r="A211" s="1"/>
      <c r="B211" t="s">
        <v>224</v>
      </c>
      <c r="C211" t="s">
        <v>24</v>
      </c>
      <c r="D211" s="3">
        <v>8.375</v>
      </c>
      <c r="E211" s="5">
        <f t="shared" si="15"/>
        <v>1850</v>
      </c>
      <c r="F211">
        <v>1.311E-2</v>
      </c>
      <c r="G211">
        <f t="shared" si="16"/>
        <v>-0.64488999999999996</v>
      </c>
      <c r="H211">
        <f t="shared" si="17"/>
        <v>-0.64488999999999996</v>
      </c>
      <c r="I211" s="5">
        <f t="shared" si="18"/>
        <v>1850</v>
      </c>
      <c r="J211">
        <f>+H211+CF*F211*(1+($I211-1850)*slope/1000)+F211*hQc*COS(2*PI()*$I211/qbo+$L211)+F211*hQs*SIN(2*PI()*$I211/qbo+$L211)+F211*hCs*SIN(2*PI()*$I211/cw)+F211*hCc*COS(2*PI()*$I211/cw) +mix*F211*(hQc*COS(2*PI()*$I211/qbo+$L211)+hQs*SIN(2*PI()*$I211/qbo+$L211))*(hCs*SIN(2*PI()*$I211/cw)+hCc*COS(2*PI()*$I211/cw))</f>
        <v>-0.63670462486572843</v>
      </c>
      <c r="K211">
        <f>fQc*COS(2*PI()*$I211/qbo+$L211)+fQs*SIN(2*PI()*$I211/qbo+$L211)+fCs*SIN(2*PI()*$I211/cw)+fCc*COS(2*PI()*$I211/cw)</f>
        <v>1.8908452876317843</v>
      </c>
      <c r="L211">
        <f>+QMA*COS(2*PI()*$I211/QM+QMP)</f>
        <v>0.92837143054563698</v>
      </c>
      <c r="P211">
        <f t="shared" si="19"/>
        <v>0</v>
      </c>
    </row>
    <row r="212" spans="1:16" x14ac:dyDescent="0.25">
      <c r="A212" s="1"/>
      <c r="B212" t="s">
        <v>225</v>
      </c>
      <c r="C212" t="s">
        <v>24</v>
      </c>
      <c r="D212" s="3">
        <v>8.4166666666666661</v>
      </c>
      <c r="E212" s="5">
        <f t="shared" si="15"/>
        <v>1851</v>
      </c>
      <c r="F212">
        <v>-0.81511999999999996</v>
      </c>
      <c r="G212">
        <f t="shared" si="16"/>
        <v>3.0331700000000001</v>
      </c>
      <c r="H212">
        <f t="shared" si="17"/>
        <v>3.0331700000000001</v>
      </c>
      <c r="I212" s="5">
        <f t="shared" si="18"/>
        <v>1851</v>
      </c>
      <c r="J212">
        <f>+H212+CF*F212*(1+($I212-1850)*slope/1000)+F212*hQc*COS(2*PI()*$I212/qbo+$L212)+F212*hQs*SIN(2*PI()*$I212/qbo+$L212)+F212*hCs*SIN(2*PI()*$I212/cw)+F212*hCc*COS(2*PI()*$I212/cw) +mix*F212*(hQc*COS(2*PI()*$I212/qbo+$L212)+hQs*SIN(2*PI()*$I212/qbo+$L212))*(hCs*SIN(2*PI()*$I212/cw)+hCc*COS(2*PI()*$I212/cw))</f>
        <v>4.1603774126803605</v>
      </c>
      <c r="K212">
        <f>fQc*COS(2*PI()*$I212/qbo+$L212)+fQs*SIN(2*PI()*$I212/qbo+$L212)+fCs*SIN(2*PI()*$I212/cw)+fCc*COS(2*PI()*$I212/cw)</f>
        <v>-3.2370272165572356</v>
      </c>
      <c r="L212">
        <f>+QMA*COS(2*PI()*$I212/QM+QMP)</f>
        <v>0.93333356436791581</v>
      </c>
      <c r="P212">
        <f t="shared" si="19"/>
        <v>0</v>
      </c>
    </row>
    <row r="213" spans="1:16" x14ac:dyDescent="0.25">
      <c r="A213" s="1"/>
      <c r="B213" t="s">
        <v>226</v>
      </c>
      <c r="C213" t="s">
        <v>24</v>
      </c>
      <c r="D213" s="3">
        <v>8.4583333333333339</v>
      </c>
      <c r="E213" s="5">
        <f t="shared" si="15"/>
        <v>1852</v>
      </c>
      <c r="F213">
        <v>1.3898200000000001</v>
      </c>
      <c r="G213">
        <f t="shared" si="16"/>
        <v>-2.8027600000000001</v>
      </c>
      <c r="H213">
        <f t="shared" si="17"/>
        <v>-2.8027600000000001</v>
      </c>
      <c r="I213" s="5">
        <f t="shared" si="18"/>
        <v>1852</v>
      </c>
      <c r="J213">
        <f>+H213+CF*F213*(1+($I213-1850)*slope/1000)+F213*hQc*COS(2*PI()*$I213/qbo+$L213)+F213*hQs*SIN(2*PI()*$I213/qbo+$L213)+F213*hCs*SIN(2*PI()*$I213/cw)+F213*hCc*COS(2*PI()*$I213/cw) +mix*F213*(hQc*COS(2*PI()*$I213/qbo+$L213)+hQs*SIN(2*PI()*$I213/qbo+$L213))*(hCs*SIN(2*PI()*$I213/cw)+hCc*COS(2*PI()*$I213/cw))</f>
        <v>6.578038599718945</v>
      </c>
      <c r="K213">
        <f>fQc*COS(2*PI()*$I213/qbo+$L213)+fQs*SIN(2*PI()*$I213/qbo+$L213)+fCs*SIN(2*PI()*$I213/cw)+fCc*COS(2*PI()*$I213/cw)</f>
        <v>2.3593298780753464</v>
      </c>
      <c r="L213">
        <f>+QMA*COS(2*PI()*$I213/QM+QMP)</f>
        <v>0.92049057793918254</v>
      </c>
      <c r="P213">
        <f t="shared" si="19"/>
        <v>1</v>
      </c>
    </row>
    <row r="214" spans="1:16" x14ac:dyDescent="0.25">
      <c r="A214" s="1"/>
      <c r="B214" t="s">
        <v>227</v>
      </c>
      <c r="C214" t="s">
        <v>24</v>
      </c>
      <c r="D214" s="3">
        <v>8.5</v>
      </c>
      <c r="E214" s="5">
        <f t="shared" si="15"/>
        <v>1853</v>
      </c>
      <c r="F214">
        <v>0.79200000000000004</v>
      </c>
      <c r="G214">
        <f t="shared" si="16"/>
        <v>-0.41556999999999999</v>
      </c>
      <c r="H214">
        <f t="shared" si="17"/>
        <v>-0.41556999999999999</v>
      </c>
      <c r="I214" s="5">
        <f t="shared" si="18"/>
        <v>1853</v>
      </c>
      <c r="J214">
        <f>+H214+CF*F214*(1+($I214-1850)*slope/1000)+F214*hQc*COS(2*PI()*$I214/qbo+$L214)+F214*hQs*SIN(2*PI()*$I214/qbo+$L214)+F214*hCs*SIN(2*PI()*$I214/cw)+F214*hCc*COS(2*PI()*$I214/cw) +mix*F214*(hQc*COS(2*PI()*$I214/qbo+$L214)+hQs*SIN(2*PI()*$I214/qbo+$L214))*(hCs*SIN(2*PI()*$I214/cw)+hCc*COS(2*PI()*$I214/cw))</f>
        <v>-1.1879359354230421</v>
      </c>
      <c r="K214">
        <f>fQc*COS(2*PI()*$I214/qbo+$L214)+fQs*SIN(2*PI()*$I214/qbo+$L214)+fCs*SIN(2*PI()*$I214/cw)+fCc*COS(2*PI()*$I214/cw)</f>
        <v>-2.4616559381238363</v>
      </c>
      <c r="L214">
        <f>+QMA*COS(2*PI()*$I214/QM+QMP)</f>
        <v>0.89008747575351699</v>
      </c>
      <c r="P214">
        <f t="shared" si="19"/>
        <v>1</v>
      </c>
    </row>
    <row r="215" spans="1:16" x14ac:dyDescent="0.25">
      <c r="A215" s="1"/>
      <c r="B215" t="s">
        <v>228</v>
      </c>
      <c r="C215" t="s">
        <v>24</v>
      </c>
      <c r="D215" s="3">
        <v>8.5416666666666661</v>
      </c>
      <c r="E215" s="5">
        <f t="shared" si="15"/>
        <v>1854</v>
      </c>
      <c r="F215">
        <v>-0.22139</v>
      </c>
      <c r="G215">
        <f t="shared" si="16"/>
        <v>0.86353000000000002</v>
      </c>
      <c r="H215">
        <f t="shared" si="17"/>
        <v>0.86353000000000002</v>
      </c>
      <c r="I215" s="5">
        <f t="shared" si="18"/>
        <v>1854</v>
      </c>
      <c r="J215">
        <f>+H215+CF*F215*(1+($I215-1850)*slope/1000)+F215*hQc*COS(2*PI()*$I215/qbo+$L215)+F215*hQs*SIN(2*PI()*$I215/qbo+$L215)+F215*hCs*SIN(2*PI()*$I215/cw)+F215*hCc*COS(2*PI()*$I215/cw) +mix*F215*(hQc*COS(2*PI()*$I215/qbo+$L215)+hQs*SIN(2*PI()*$I215/qbo+$L215))*(hCs*SIN(2*PI()*$I215/cw)+hCc*COS(2*PI()*$I215/cw))</f>
        <v>0.69340614569340797</v>
      </c>
      <c r="K215">
        <f>fQc*COS(2*PI()*$I215/qbo+$L215)+fQs*SIN(2*PI()*$I215/qbo+$L215)+fCs*SIN(2*PI()*$I215/cw)+fCc*COS(2*PI()*$I215/cw)</f>
        <v>1.2119253456039163</v>
      </c>
      <c r="L215">
        <f>+QMA*COS(2*PI()*$I215/QM+QMP)</f>
        <v>0.84270425504996382</v>
      </c>
      <c r="P215">
        <f t="shared" si="19"/>
        <v>1</v>
      </c>
    </row>
    <row r="216" spans="1:16" x14ac:dyDescent="0.25">
      <c r="A216" s="1"/>
      <c r="B216" t="s">
        <v>229</v>
      </c>
      <c r="C216" t="s">
        <v>24</v>
      </c>
      <c r="D216" s="3">
        <v>8.5833333333333339</v>
      </c>
      <c r="E216" s="5">
        <f t="shared" si="15"/>
        <v>1855</v>
      </c>
      <c r="F216">
        <v>-0.37125000000000002</v>
      </c>
      <c r="G216">
        <f t="shared" si="16"/>
        <v>2.0419100000000001</v>
      </c>
      <c r="H216">
        <f t="shared" si="17"/>
        <v>2.0419100000000001</v>
      </c>
      <c r="I216" s="5">
        <f t="shared" si="18"/>
        <v>1855</v>
      </c>
      <c r="J216">
        <f>+H216+CF*F216*(1+($I216-1850)*slope/1000)+F216*hQc*COS(2*PI()*$I216/qbo+$L216)+F216*hQs*SIN(2*PI()*$I216/qbo+$L216)+F216*hCs*SIN(2*PI()*$I216/cw)+F216*hCc*COS(2*PI()*$I216/cw) +mix*F216*(hQc*COS(2*PI()*$I216/qbo+$L216)+hQs*SIN(2*PI()*$I216/qbo+$L216))*(hCs*SIN(2*PI()*$I216/cw)+hCc*COS(2*PI()*$I216/cw))</f>
        <v>2.2870777737293064</v>
      </c>
      <c r="K216">
        <f>fQc*COS(2*PI()*$I216/qbo+$L216)+fQs*SIN(2*PI()*$I216/qbo+$L216)+fCs*SIN(2*PI()*$I216/cw)+fCc*COS(2*PI()*$I216/cw)</f>
        <v>0.77365348394563582</v>
      </c>
      <c r="L216">
        <f>+QMA*COS(2*PI()*$I216/QM+QMP)</f>
        <v>0.779244841257415</v>
      </c>
      <c r="P216">
        <f t="shared" si="19"/>
        <v>1</v>
      </c>
    </row>
    <row r="217" spans="1:16" x14ac:dyDescent="0.25">
      <c r="A217" s="1"/>
      <c r="B217" t="s">
        <v>230</v>
      </c>
      <c r="C217" t="s">
        <v>24</v>
      </c>
      <c r="D217" s="3">
        <v>8.625</v>
      </c>
      <c r="E217" s="5">
        <f t="shared" si="15"/>
        <v>1856</v>
      </c>
      <c r="F217">
        <v>1.5207999999999999</v>
      </c>
      <c r="G217">
        <f t="shared" si="16"/>
        <v>-3.7130200000000002</v>
      </c>
      <c r="H217">
        <f t="shared" si="17"/>
        <v>-3.7130200000000002</v>
      </c>
      <c r="I217" s="5">
        <f t="shared" si="18"/>
        <v>1856</v>
      </c>
      <c r="J217">
        <f>+H217+CF*F217*(1+($I217-1850)*slope/1000)+F217*hQc*COS(2*PI()*$I217/qbo+$L217)+F217*hQs*SIN(2*PI()*$I217/qbo+$L217)+F217*hCs*SIN(2*PI()*$I217/cw)+F217*hCc*COS(2*PI()*$I217/cw) +mix*F217*(hQc*COS(2*PI()*$I217/qbo+$L217)+hQs*SIN(2*PI()*$I217/qbo+$L217))*(hCs*SIN(2*PI()*$I217/cw)+hCc*COS(2*PI()*$I217/cw))</f>
        <v>0.45166456528037724</v>
      </c>
      <c r="K217">
        <f>fQc*COS(2*PI()*$I217/qbo+$L217)+fQs*SIN(2*PI()*$I217/qbo+$L217)+fCs*SIN(2*PI()*$I217/cw)+fCc*COS(2*PI()*$I217/cw)</f>
        <v>-1.2697588409023968</v>
      </c>
      <c r="L217">
        <f>+QMA*COS(2*PI()*$I217/QM+QMP)</f>
        <v>0.70091984389082485</v>
      </c>
      <c r="P217">
        <f t="shared" si="19"/>
        <v>0</v>
      </c>
    </row>
    <row r="218" spans="1:16" x14ac:dyDescent="0.25">
      <c r="A218" s="1"/>
      <c r="B218" t="s">
        <v>231</v>
      </c>
      <c r="C218" t="s">
        <v>24</v>
      </c>
      <c r="D218" s="3">
        <v>8.6666666666666661</v>
      </c>
      <c r="E218" s="5">
        <f t="shared" si="15"/>
        <v>1857</v>
      </c>
      <c r="F218">
        <v>-0.30016999999999999</v>
      </c>
      <c r="G218">
        <f t="shared" si="16"/>
        <v>2.5389900000000001</v>
      </c>
      <c r="H218">
        <f t="shared" si="17"/>
        <v>2.5389900000000001</v>
      </c>
      <c r="I218" s="5">
        <f t="shared" si="18"/>
        <v>1857</v>
      </c>
      <c r="J218">
        <f>+H218+CF*F218*(1+($I218-1850)*slope/1000)+F218*hQc*COS(2*PI()*$I218/qbo+$L218)+F218*hQs*SIN(2*PI()*$I218/qbo+$L218)+F218*hCs*SIN(2*PI()*$I218/cw)+F218*hCc*COS(2*PI()*$I218/cw) +mix*F218*(hQc*COS(2*PI()*$I218/qbo+$L218)+hQs*SIN(2*PI()*$I218/qbo+$L218))*(hCs*SIN(2*PI()*$I218/cw)+hCc*COS(2*PI()*$I218/cw))</f>
        <v>4.5462256335323774</v>
      </c>
      <c r="K218">
        <f>fQc*COS(2*PI()*$I218/qbo+$L218)+fQs*SIN(2*PI()*$I218/qbo+$L218)+fCs*SIN(2*PI()*$I218/cw)+fCc*COS(2*PI()*$I218/cw)</f>
        <v>3.0326863948640108</v>
      </c>
      <c r="L218">
        <f>+QMA*COS(2*PI()*$I218/QM+QMP)</f>
        <v>0.60922346186258003</v>
      </c>
      <c r="P218">
        <f t="shared" si="19"/>
        <v>1</v>
      </c>
    </row>
    <row r="219" spans="1:16" x14ac:dyDescent="0.25">
      <c r="A219" s="1"/>
      <c r="B219" t="s">
        <v>232</v>
      </c>
      <c r="C219" t="s">
        <v>24</v>
      </c>
      <c r="D219" s="3">
        <v>8.7083333333333339</v>
      </c>
      <c r="E219" s="5">
        <f t="shared" si="15"/>
        <v>1858</v>
      </c>
      <c r="F219">
        <v>0.41785</v>
      </c>
      <c r="G219">
        <f t="shared" si="16"/>
        <v>-1.84158</v>
      </c>
      <c r="H219">
        <f t="shared" si="17"/>
        <v>-1.84158</v>
      </c>
      <c r="I219" s="5">
        <f t="shared" si="18"/>
        <v>1858</v>
      </c>
      <c r="J219">
        <f>+H219+CF*F219*(1+($I219-1850)*slope/1000)+F219*hQc*COS(2*PI()*$I219/qbo+$L219)+F219*hQs*SIN(2*PI()*$I219/qbo+$L219)+F219*hCs*SIN(2*PI()*$I219/cw)+F219*hCc*COS(2*PI()*$I219/cw) +mix*F219*(hQc*COS(2*PI()*$I219/qbo+$L219)+hQs*SIN(2*PI()*$I219/qbo+$L219))*(hCs*SIN(2*PI()*$I219/cw)+hCc*COS(2*PI()*$I219/cw))</f>
        <v>-0.4815623204928634</v>
      </c>
      <c r="K219">
        <f>fQc*COS(2*PI()*$I219/qbo+$L219)+fQs*SIN(2*PI()*$I219/qbo+$L219)+fCs*SIN(2*PI()*$I219/cw)+fCc*COS(2*PI()*$I219/cw)</f>
        <v>-2.7875538880371478</v>
      </c>
      <c r="L219">
        <f>+QMA*COS(2*PI()*$I219/QM+QMP)</f>
        <v>0.50590497878459173</v>
      </c>
      <c r="P219">
        <f t="shared" si="19"/>
        <v>1</v>
      </c>
    </row>
    <row r="220" spans="1:16" x14ac:dyDescent="0.25">
      <c r="A220" s="1"/>
      <c r="B220" t="s">
        <v>233</v>
      </c>
      <c r="C220" t="s">
        <v>24</v>
      </c>
      <c r="D220" s="3">
        <v>8.75</v>
      </c>
      <c r="E220" s="5">
        <f t="shared" si="15"/>
        <v>1859</v>
      </c>
      <c r="F220">
        <v>-0.70570999999999995</v>
      </c>
      <c r="G220">
        <f t="shared" si="16"/>
        <v>0.71167999999999976</v>
      </c>
      <c r="H220">
        <f t="shared" si="17"/>
        <v>0.71167999999999976</v>
      </c>
      <c r="I220" s="5">
        <f t="shared" si="18"/>
        <v>1859</v>
      </c>
      <c r="J220">
        <f>+H220+CF*F220*(1+($I220-1850)*slope/1000)+F220*hQc*COS(2*PI()*$I220/qbo+$L220)+F220*hQs*SIN(2*PI()*$I220/qbo+$L220)+F220*hCs*SIN(2*PI()*$I220/cw)+F220*hCc*COS(2*PI()*$I220/cw) +mix*F220*(hQc*COS(2*PI()*$I220/qbo+$L220)+hQs*SIN(2*PI()*$I220/qbo+$L220))*(hCs*SIN(2*PI()*$I220/cw)+hCc*COS(2*PI()*$I220/cw))</f>
        <v>-8.3011858705030916E-2</v>
      </c>
      <c r="K220">
        <f>fQc*COS(2*PI()*$I220/qbo+$L220)+fQs*SIN(2*PI()*$I220/qbo+$L220)+fCs*SIN(2*PI()*$I220/cw)+fCc*COS(2*PI()*$I220/cw)</f>
        <v>1.7708134976377603</v>
      </c>
      <c r="L220">
        <f>+QMA*COS(2*PI()*$I220/QM+QMP)</f>
        <v>0.39293539204256067</v>
      </c>
      <c r="P220">
        <f t="shared" si="19"/>
        <v>0</v>
      </c>
    </row>
    <row r="221" spans="1:16" x14ac:dyDescent="0.25">
      <c r="A221" s="1"/>
      <c r="B221" t="s">
        <v>234</v>
      </c>
      <c r="C221" t="s">
        <v>24</v>
      </c>
      <c r="D221" s="3">
        <v>8.7916666666666661</v>
      </c>
      <c r="E221" s="5">
        <f t="shared" si="15"/>
        <v>1860</v>
      </c>
      <c r="F221">
        <v>-1.1175900000000001</v>
      </c>
      <c r="G221">
        <f t="shared" si="16"/>
        <v>0.52851000000000015</v>
      </c>
      <c r="H221">
        <f t="shared" si="17"/>
        <v>0.52851000000000015</v>
      </c>
      <c r="I221" s="5">
        <f t="shared" si="18"/>
        <v>1860</v>
      </c>
      <c r="J221">
        <f>+H221+CF*F221*(1+($I221-1850)*slope/1000)+F221*hQc*COS(2*PI()*$I221/qbo+$L221)+F221*hQs*SIN(2*PI()*$I221/qbo+$L221)+F221*hCs*SIN(2*PI()*$I221/cw)+F221*hCc*COS(2*PI()*$I221/cw) +mix*F221*(hQc*COS(2*PI()*$I221/qbo+$L221)+hQs*SIN(2*PI()*$I221/qbo+$L221))*(hCs*SIN(2*PI()*$I221/cw)+hCc*COS(2*PI()*$I221/cw))</f>
        <v>-0.32930451268147354</v>
      </c>
      <c r="K221">
        <f>fQc*COS(2*PI()*$I221/qbo+$L221)+fQs*SIN(2*PI()*$I221/qbo+$L221)+fCs*SIN(2*PI()*$I221/cw)+fCc*COS(2*PI()*$I221/cw)</f>
        <v>-1.1428060697707145</v>
      </c>
      <c r="L221">
        <f>+QMA*COS(2*PI()*$I221/QM+QMP)</f>
        <v>0.2724698122566202</v>
      </c>
      <c r="P221">
        <f t="shared" si="19"/>
        <v>1</v>
      </c>
    </row>
    <row r="222" spans="1:16" x14ac:dyDescent="0.25">
      <c r="A222" s="1"/>
      <c r="B222" t="s">
        <v>235</v>
      </c>
      <c r="C222" t="s">
        <v>24</v>
      </c>
      <c r="D222" s="3">
        <v>8.8333333333333339</v>
      </c>
      <c r="E222" s="5">
        <f t="shared" si="15"/>
        <v>1861</v>
      </c>
      <c r="F222">
        <v>-1.0009600000000001</v>
      </c>
      <c r="G222">
        <f t="shared" si="16"/>
        <v>-0.15195000000000003</v>
      </c>
      <c r="H222">
        <f t="shared" si="17"/>
        <v>-0.15195000000000003</v>
      </c>
      <c r="I222" s="5">
        <f t="shared" si="18"/>
        <v>1861</v>
      </c>
      <c r="J222">
        <f>+H222+CF*F222*(1+($I222-1850)*slope/1000)+F222*hQc*COS(2*PI()*$I222/qbo+$L222)+F222*hQs*SIN(2*PI()*$I222/qbo+$L222)+F222*hCs*SIN(2*PI()*$I222/cw)+F222*hCc*COS(2*PI()*$I222/cw) +mix*F222*(hQc*COS(2*PI()*$I222/qbo+$L222)+hQs*SIN(2*PI()*$I222/qbo+$L222))*(hCs*SIN(2*PI()*$I222/cw)+hCc*COS(2*PI()*$I222/cw))</f>
        <v>-0.70465539848881709</v>
      </c>
      <c r="K222">
        <f>fQc*COS(2*PI()*$I222/qbo+$L222)+fQs*SIN(2*PI()*$I222/qbo+$L222)+fCs*SIN(2*PI()*$I222/cw)+fCc*COS(2*PI()*$I222/cw)</f>
        <v>-1.4232754577418041</v>
      </c>
      <c r="L222">
        <f>+QMA*COS(2*PI()*$I222/QM+QMP)</f>
        <v>0.14680635043010501</v>
      </c>
      <c r="P222">
        <f t="shared" si="19"/>
        <v>1</v>
      </c>
    </row>
    <row r="223" spans="1:16" x14ac:dyDescent="0.25">
      <c r="A223" s="1"/>
      <c r="B223" t="s">
        <v>236</v>
      </c>
      <c r="C223" t="s">
        <v>24</v>
      </c>
      <c r="D223" s="3">
        <v>8.875</v>
      </c>
      <c r="E223" s="5">
        <f t="shared" si="15"/>
        <v>1862</v>
      </c>
      <c r="F223">
        <v>-1.0362800000000001</v>
      </c>
      <c r="G223">
        <f t="shared" si="16"/>
        <v>-0.14271999999999996</v>
      </c>
      <c r="H223">
        <f t="shared" si="17"/>
        <v>-0.14271999999999996</v>
      </c>
      <c r="I223" s="5">
        <f t="shared" si="18"/>
        <v>1862</v>
      </c>
      <c r="J223">
        <f>+H223+CF*F223*(1+($I223-1850)*slope/1000)+F223*hQc*COS(2*PI()*$I223/qbo+$L223)+F223*hQs*SIN(2*PI()*$I223/qbo+$L223)+F223*hCs*SIN(2*PI()*$I223/cw)+F223*hCc*COS(2*PI()*$I223/cw) +mix*F223*(hQc*COS(2*PI()*$I223/qbo+$L223)+hQs*SIN(2*PI()*$I223/qbo+$L223))*(hCs*SIN(2*PI()*$I223/cw)+hCc*COS(2*PI()*$I223/cw))</f>
        <v>-4.1247358733089374</v>
      </c>
      <c r="K223">
        <f>fQc*COS(2*PI()*$I223/qbo+$L223)+fQs*SIN(2*PI()*$I223/qbo+$L223)+fCs*SIN(2*PI()*$I223/cw)+fCc*COS(2*PI()*$I223/cw)</f>
        <v>2.1340563273263111</v>
      </c>
      <c r="L223">
        <f>+QMA*COS(2*PI()*$I223/QM+QMP)</f>
        <v>1.8342277093686233E-2</v>
      </c>
      <c r="P223">
        <f t="shared" si="19"/>
        <v>0</v>
      </c>
    </row>
    <row r="224" spans="1:16" x14ac:dyDescent="0.25">
      <c r="A224" s="1"/>
      <c r="B224" t="s">
        <v>237</v>
      </c>
      <c r="C224" t="s">
        <v>24</v>
      </c>
      <c r="D224" s="3">
        <v>8.9166666666666661</v>
      </c>
      <c r="E224" s="5">
        <f t="shared" si="15"/>
        <v>1863</v>
      </c>
      <c r="F224">
        <v>-1.2143200000000001</v>
      </c>
      <c r="G224">
        <f t="shared" si="16"/>
        <v>-0.2688299999999999</v>
      </c>
      <c r="H224">
        <f t="shared" si="17"/>
        <v>-0.2688299999999999</v>
      </c>
      <c r="I224" s="5">
        <f t="shared" si="18"/>
        <v>1863</v>
      </c>
      <c r="J224">
        <f>+H224+CF*F224*(1+($I224-1850)*slope/1000)+F224*hQc*COS(2*PI()*$I224/qbo+$L224)+F224*hQs*SIN(2*PI()*$I224/qbo+$L224)+F224*hCs*SIN(2*PI()*$I224/cw)+F224*hCc*COS(2*PI()*$I224/cw) +mix*F224*(hQc*COS(2*PI()*$I224/qbo+$L224)+hQs*SIN(2*PI()*$I224/qbo+$L224))*(hCs*SIN(2*PI()*$I224/cw)+hCc*COS(2*PI()*$I224/cw))</f>
        <v>-1.6576018113907098</v>
      </c>
      <c r="K224">
        <f>fQc*COS(2*PI()*$I224/qbo+$L224)+fQs*SIN(2*PI()*$I224/qbo+$L224)+fCs*SIN(2*PI()*$I224/cw)+fCc*COS(2*PI()*$I224/cw)</f>
        <v>-2.6978685492689922</v>
      </c>
      <c r="L224">
        <f>+QMA*COS(2*PI()*$I224/QM+QMP)</f>
        <v>-0.11047171020894345</v>
      </c>
      <c r="P224">
        <f t="shared" si="19"/>
        <v>1</v>
      </c>
    </row>
    <row r="225" spans="1:16" x14ac:dyDescent="0.25">
      <c r="A225" s="1"/>
      <c r="B225" t="s">
        <v>238</v>
      </c>
      <c r="C225" t="s">
        <v>24</v>
      </c>
      <c r="D225" s="3">
        <v>8.9583333333333339</v>
      </c>
      <c r="E225" s="5">
        <f t="shared" si="15"/>
        <v>1864</v>
      </c>
      <c r="F225">
        <v>-1.6611899999999999</v>
      </c>
      <c r="G225">
        <f t="shared" si="16"/>
        <v>2.6381399999999999</v>
      </c>
      <c r="H225">
        <f t="shared" si="17"/>
        <v>2.6381399999999999</v>
      </c>
      <c r="I225" s="5">
        <f t="shared" si="18"/>
        <v>1864</v>
      </c>
      <c r="J225">
        <f>+H225+CF*F225*(1+($I225-1850)*slope/1000)+F225*hQc*COS(2*PI()*$I225/qbo+$L225)+F225*hQs*SIN(2*PI()*$I225/qbo+$L225)+F225*hCs*SIN(2*PI()*$I225/cw)+F225*hCc*COS(2*PI()*$I225/cw) +mix*F225*(hQc*COS(2*PI()*$I225/qbo+$L225)+hQs*SIN(2*PI()*$I225/qbo+$L225))*(hCs*SIN(2*PI()*$I225/cw)+hCc*COS(2*PI()*$I225/cw))</f>
        <v>9.9895978435208477</v>
      </c>
      <c r="K225">
        <f>fQc*COS(2*PI()*$I225/qbo+$L225)+fQs*SIN(2*PI()*$I225/qbo+$L225)+fCs*SIN(2*PI()*$I225/cw)+fCc*COS(2*PI()*$I225/cw)</f>
        <v>2.9135767214539592</v>
      </c>
      <c r="L225">
        <f>+QMA*COS(2*PI()*$I225/QM+QMP)</f>
        <v>-0.23717823865693763</v>
      </c>
      <c r="P225">
        <f t="shared" si="19"/>
        <v>1</v>
      </c>
    </row>
    <row r="226" spans="1:16" x14ac:dyDescent="0.25">
      <c r="A226" s="1"/>
      <c r="B226" t="s">
        <v>239</v>
      </c>
      <c r="C226" t="s">
        <v>24</v>
      </c>
      <c r="D226" s="3">
        <v>9</v>
      </c>
      <c r="E226" s="5">
        <f t="shared" si="15"/>
        <v>1865</v>
      </c>
      <c r="F226">
        <v>0.53008</v>
      </c>
      <c r="G226">
        <f t="shared" si="16"/>
        <v>-2.5571199999999998</v>
      </c>
      <c r="H226">
        <f t="shared" si="17"/>
        <v>-2.5571199999999998</v>
      </c>
      <c r="I226" s="5">
        <f t="shared" si="18"/>
        <v>1865</v>
      </c>
      <c r="J226">
        <f>+H226+CF*F226*(1+($I226-1850)*slope/1000)+F226*hQc*COS(2*PI()*$I226/qbo+$L226)+F226*hQs*SIN(2*PI()*$I226/qbo+$L226)+F226*hCs*SIN(2*PI()*$I226/cw)+F226*hCc*COS(2*PI()*$I226/cw) +mix*F226*(hQc*COS(2*PI()*$I226/qbo+$L226)+hQs*SIN(2*PI()*$I226/qbo+$L226))*(hCs*SIN(2*PI()*$I226/cw)+hCc*COS(2*PI()*$I226/cw))</f>
        <v>-1.503533389578003</v>
      </c>
      <c r="K226">
        <f>fQc*COS(2*PI()*$I226/qbo+$L226)+fQs*SIN(2*PI()*$I226/qbo+$L226)+fCs*SIN(2*PI()*$I226/cw)+fCc*COS(2*PI()*$I226/cw)</f>
        <v>-0.79759321334588484</v>
      </c>
      <c r="L226">
        <f>+QMA*COS(2*PI()*$I226/QM+QMP)</f>
        <v>-0.35936013923186272</v>
      </c>
      <c r="P226">
        <f t="shared" si="19"/>
        <v>1</v>
      </c>
    </row>
    <row r="227" spans="1:16" x14ac:dyDescent="0.25">
      <c r="A227" s="1"/>
      <c r="B227" t="s">
        <v>240</v>
      </c>
      <c r="C227" t="s">
        <v>24</v>
      </c>
      <c r="D227" s="3">
        <v>9.0416666666666661</v>
      </c>
      <c r="E227" s="5">
        <f t="shared" si="15"/>
        <v>1866</v>
      </c>
      <c r="F227">
        <v>0.16422999999999999</v>
      </c>
      <c r="G227">
        <f t="shared" si="16"/>
        <v>0.22108000000000003</v>
      </c>
      <c r="H227">
        <f t="shared" si="17"/>
        <v>0.22108000000000003</v>
      </c>
      <c r="I227" s="5">
        <f t="shared" si="18"/>
        <v>1866</v>
      </c>
      <c r="J227">
        <f>+H227+CF*F227*(1+($I227-1850)*slope/1000)+F227*hQc*COS(2*PI()*$I227/qbo+$L227)+F227*hQs*SIN(2*PI()*$I227/qbo+$L227)+F227*hCs*SIN(2*PI()*$I227/cw)+F227*hCc*COS(2*PI()*$I227/cw) +mix*F227*(hQc*COS(2*PI()*$I227/qbo+$L227)+hQs*SIN(2*PI()*$I227/qbo+$L227))*(hCs*SIN(2*PI()*$I227/cw)+hCc*COS(2*PI()*$I227/cw))</f>
        <v>0.12706932697273729</v>
      </c>
      <c r="K227">
        <f>fQc*COS(2*PI()*$I227/qbo+$L227)+fQs*SIN(2*PI()*$I227/qbo+$L227)+fCs*SIN(2*PI()*$I227/cw)+fCc*COS(2*PI()*$I227/cw)</f>
        <v>8.950508872247534E-4</v>
      </c>
      <c r="L227">
        <f>+QMA*COS(2*PI()*$I227/QM+QMP)</f>
        <v>-0.47468655883329791</v>
      </c>
      <c r="P227">
        <f t="shared" si="19"/>
        <v>1</v>
      </c>
    </row>
    <row r="228" spans="1:16" x14ac:dyDescent="0.25">
      <c r="A228" s="1"/>
      <c r="B228" t="s">
        <v>241</v>
      </c>
      <c r="C228" t="s">
        <v>24</v>
      </c>
      <c r="D228" s="3">
        <v>9.0833333333333339</v>
      </c>
      <c r="E228" s="5">
        <f t="shared" si="15"/>
        <v>1867</v>
      </c>
      <c r="F228">
        <v>1.9460000000000002E-2</v>
      </c>
      <c r="G228">
        <f t="shared" si="16"/>
        <v>0.33774999999999999</v>
      </c>
      <c r="H228">
        <f t="shared" si="17"/>
        <v>0.33774999999999999</v>
      </c>
      <c r="I228" s="5">
        <f t="shared" si="18"/>
        <v>1867</v>
      </c>
      <c r="J228">
        <f>+H228+CF*F228*(1+($I228-1850)*slope/1000)+F228*hQc*COS(2*PI()*$I228/qbo+$L228)+F228*hQs*SIN(2*PI()*$I228/qbo+$L228)+F228*hCs*SIN(2*PI()*$I228/cw)+F228*hCc*COS(2*PI()*$I228/cw) +mix*F228*(hQc*COS(2*PI()*$I228/qbo+$L228)+hQs*SIN(2*PI()*$I228/qbo+$L228))*(hCs*SIN(2*PI()*$I228/cw)+hCc*COS(2*PI()*$I228/cw))</f>
        <v>0.30000667856505903</v>
      </c>
      <c r="K228">
        <f>fQc*COS(2*PI()*$I228/qbo+$L228)+fQs*SIN(2*PI()*$I228/qbo+$L228)+fCs*SIN(2*PI()*$I228/cw)+fCc*COS(2*PI()*$I228/cw)</f>
        <v>1.7549687432811423</v>
      </c>
      <c r="L228">
        <f>+QMA*COS(2*PI()*$I228/QM+QMP)</f>
        <v>-0.58095742575321141</v>
      </c>
      <c r="P228">
        <f t="shared" si="19"/>
        <v>1</v>
      </c>
    </row>
    <row r="229" spans="1:16" x14ac:dyDescent="0.25">
      <c r="A229" s="1"/>
      <c r="B229" t="s">
        <v>242</v>
      </c>
      <c r="C229" t="s">
        <v>24</v>
      </c>
      <c r="D229" s="3">
        <v>9.125</v>
      </c>
      <c r="E229" s="5">
        <f t="shared" si="15"/>
        <v>1868</v>
      </c>
      <c r="F229">
        <v>0.21243999999999999</v>
      </c>
      <c r="G229">
        <f t="shared" si="16"/>
        <v>1.2817400000000001</v>
      </c>
      <c r="H229">
        <f t="shared" si="17"/>
        <v>1.2817400000000001</v>
      </c>
      <c r="I229" s="5">
        <f t="shared" si="18"/>
        <v>1868</v>
      </c>
      <c r="J229">
        <f>+H229+CF*F229*(1+($I229-1850)*slope/1000)+F229*hQc*COS(2*PI()*$I229/qbo+$L229)+F229*hQs*SIN(2*PI()*$I229/qbo+$L229)+F229*hCs*SIN(2*PI()*$I229/cw)+F229*hCc*COS(2*PI()*$I229/cw) +mix*F229*(hQc*COS(2*PI()*$I229/qbo+$L229)+hQs*SIN(2*PI()*$I229/qbo+$L229))*(hCs*SIN(2*PI()*$I229/cw)+hCc*COS(2*PI()*$I229/cw))</f>
        <v>1.2813378977326169</v>
      </c>
      <c r="K229">
        <f>fQc*COS(2*PI()*$I229/qbo+$L229)+fQs*SIN(2*PI()*$I229/qbo+$L229)+fCs*SIN(2*PI()*$I229/cw)+fCc*COS(2*PI()*$I229/cw)</f>
        <v>-3.038170072518406</v>
      </c>
      <c r="L229">
        <f>+QMA*COS(2*PI()*$I229/QM+QMP)</f>
        <v>-0.67614542024552327</v>
      </c>
      <c r="P229">
        <f t="shared" si="19"/>
        <v>0</v>
      </c>
    </row>
    <row r="230" spans="1:16" x14ac:dyDescent="0.25">
      <c r="A230" s="1"/>
      <c r="B230" t="s">
        <v>243</v>
      </c>
      <c r="C230" t="s">
        <v>24</v>
      </c>
      <c r="D230" s="3">
        <v>9.1666666666666661</v>
      </c>
      <c r="E230" s="5">
        <f t="shared" si="15"/>
        <v>1869</v>
      </c>
      <c r="F230">
        <v>1.68716</v>
      </c>
      <c r="G230">
        <f t="shared" si="16"/>
        <v>-3.8360799999999999</v>
      </c>
      <c r="H230">
        <f t="shared" si="17"/>
        <v>-3.8360799999999999</v>
      </c>
      <c r="I230" s="5">
        <f t="shared" si="18"/>
        <v>1869</v>
      </c>
      <c r="J230">
        <f>+H230+CF*F230*(1+($I230-1850)*slope/1000)+F230*hQc*COS(2*PI()*$I230/qbo+$L230)+F230*hQs*SIN(2*PI()*$I230/qbo+$L230)+F230*hCs*SIN(2*PI()*$I230/cw)+F230*hCc*COS(2*PI()*$I230/cw) +mix*F230*(hQc*COS(2*PI()*$I230/qbo+$L230)+hQs*SIN(2*PI()*$I230/qbo+$L230))*(hCs*SIN(2*PI()*$I230/cw)+hCc*COS(2*PI()*$I230/cw))</f>
        <v>5.6799936955412011</v>
      </c>
      <c r="K230">
        <f>fQc*COS(2*PI()*$I230/qbo+$L230)+fQs*SIN(2*PI()*$I230/qbo+$L230)+fCs*SIN(2*PI()*$I230/cw)+fCc*COS(2*PI()*$I230/cw)</f>
        <v>2.3280297721583736</v>
      </c>
      <c r="L230">
        <f>+QMA*COS(2*PI()*$I230/QM+QMP)</f>
        <v>-0.75843464952225326</v>
      </c>
      <c r="P230">
        <f t="shared" si="19"/>
        <v>1</v>
      </c>
    </row>
    <row r="231" spans="1:16" x14ac:dyDescent="0.25">
      <c r="A231" s="1"/>
      <c r="B231" t="s">
        <v>244</v>
      </c>
      <c r="C231" t="s">
        <v>24</v>
      </c>
      <c r="D231" s="3">
        <v>9.2083333333333339</v>
      </c>
      <c r="E231" s="5">
        <f t="shared" si="15"/>
        <v>1870</v>
      </c>
      <c r="F231">
        <v>-0.67420000000000002</v>
      </c>
      <c r="G231">
        <f t="shared" si="16"/>
        <v>1.8069799999999998</v>
      </c>
      <c r="H231">
        <f t="shared" si="17"/>
        <v>1.8069799999999998</v>
      </c>
      <c r="I231" s="5">
        <f t="shared" si="18"/>
        <v>1870</v>
      </c>
      <c r="J231">
        <f>+H231+CF*F231*(1+($I231-1850)*slope/1000)+F231*hQc*COS(2*PI()*$I231/qbo+$L231)+F231*hQs*SIN(2*PI()*$I231/qbo+$L231)+F231*hCs*SIN(2*PI()*$I231/cw)+F231*hCc*COS(2*PI()*$I231/cw) +mix*F231*(hQc*COS(2*PI()*$I231/qbo+$L231)+hQs*SIN(2*PI()*$I231/qbo+$L231))*(hCs*SIN(2*PI()*$I231/cw)+hCc*COS(2*PI()*$I231/cw))</f>
        <v>2.9658834502172753</v>
      </c>
      <c r="K231">
        <f>fQc*COS(2*PI()*$I231/qbo+$L231)+fQs*SIN(2*PI()*$I231/qbo+$L231)+fCs*SIN(2*PI()*$I231/cw)+fCc*COS(2*PI()*$I231/cw)</f>
        <v>-2.5908295107929327</v>
      </c>
      <c r="L231">
        <f>+QMA*COS(2*PI()*$I231/QM+QMP)</f>
        <v>-0.82625528937629367</v>
      </c>
      <c r="P231">
        <f t="shared" si="19"/>
        <v>0</v>
      </c>
    </row>
    <row r="232" spans="1:16" x14ac:dyDescent="0.25">
      <c r="A232" s="1"/>
      <c r="B232" t="s">
        <v>245</v>
      </c>
      <c r="C232" t="s">
        <v>24</v>
      </c>
      <c r="D232" s="3">
        <v>9.25</v>
      </c>
      <c r="E232" s="5">
        <f t="shared" si="15"/>
        <v>1871</v>
      </c>
      <c r="F232">
        <v>-1.22858</v>
      </c>
      <c r="G232">
        <f t="shared" si="16"/>
        <v>0.84607999999999994</v>
      </c>
      <c r="H232">
        <f t="shared" si="17"/>
        <v>0.84607999999999994</v>
      </c>
      <c r="I232" s="5">
        <f t="shared" si="18"/>
        <v>1871</v>
      </c>
      <c r="J232">
        <f>+H232+CF*F232*(1+($I232-1850)*slope/1000)+F232*hQc*COS(2*PI()*$I232/qbo+$L232)+F232*hQs*SIN(2*PI()*$I232/qbo+$L232)+F232*hCs*SIN(2*PI()*$I232/cw)+F232*hCc*COS(2*PI()*$I232/cw) +mix*F232*(hQc*COS(2*PI()*$I232/qbo+$L232)+hQs*SIN(2*PI()*$I232/qbo+$L232))*(hCs*SIN(2*PI()*$I232/cw)+hCc*COS(2*PI()*$I232/cw))</f>
        <v>-1.9110902242682257</v>
      </c>
      <c r="K232">
        <f>fQc*COS(2*PI()*$I232/qbo+$L232)+fQs*SIN(2*PI()*$I232/qbo+$L232)+fCs*SIN(2*PI()*$I232/cw)+fCc*COS(2*PI()*$I232/cw)</f>
        <v>0.87514824007909131</v>
      </c>
      <c r="L232">
        <f>+QMA*COS(2*PI()*$I232/QM+QMP)</f>
        <v>-0.87831353157629855</v>
      </c>
      <c r="P232">
        <f t="shared" si="19"/>
        <v>0</v>
      </c>
    </row>
    <row r="233" spans="1:16" x14ac:dyDescent="0.25">
      <c r="A233" s="1"/>
      <c r="B233" t="s">
        <v>246</v>
      </c>
      <c r="C233" t="s">
        <v>24</v>
      </c>
      <c r="D233" s="3">
        <v>9.2916666666666661</v>
      </c>
      <c r="E233" s="5">
        <f t="shared" si="15"/>
        <v>1872</v>
      </c>
      <c r="F233">
        <v>-0.93688000000000005</v>
      </c>
      <c r="G233">
        <f t="shared" si="16"/>
        <v>-0.18365999999999993</v>
      </c>
      <c r="H233">
        <f t="shared" si="17"/>
        <v>-0.18365999999999993</v>
      </c>
      <c r="I233" s="5">
        <f t="shared" si="18"/>
        <v>1872</v>
      </c>
      <c r="J233">
        <f>+H233+CF*F233*(1+($I233-1850)*slope/1000)+F233*hQc*COS(2*PI()*$I233/qbo+$L233)+F233*hQs*SIN(2*PI()*$I233/qbo+$L233)+F233*hCs*SIN(2*PI()*$I233/cw)+F233*hCc*COS(2*PI()*$I233/cw) +mix*F233*(hQc*COS(2*PI()*$I233/qbo+$L233)+hQs*SIN(2*PI()*$I233/qbo+$L233))*(hCs*SIN(2*PI()*$I233/cw)+hCc*COS(2*PI()*$I233/cw))</f>
        <v>-0.28980881667094011</v>
      </c>
      <c r="K233">
        <f>fQc*COS(2*PI()*$I233/qbo+$L233)+fQs*SIN(2*PI()*$I233/qbo+$L233)+fCs*SIN(2*PI()*$I233/cw)+fCc*COS(2*PI()*$I233/cw)</f>
        <v>0.60622916356424783</v>
      </c>
      <c r="L233">
        <f>+QMA*COS(2*PI()*$I233/QM+QMP)</f>
        <v>-0.9136162657298581</v>
      </c>
      <c r="P233">
        <f t="shared" si="19"/>
        <v>0</v>
      </c>
    </row>
    <row r="234" spans="1:16" x14ac:dyDescent="0.25">
      <c r="A234" s="1"/>
      <c r="B234" t="s">
        <v>247</v>
      </c>
      <c r="C234" t="s">
        <v>24</v>
      </c>
      <c r="D234" s="3">
        <v>9.3333333333333339</v>
      </c>
      <c r="E234" s="5">
        <f t="shared" si="15"/>
        <v>1873</v>
      </c>
      <c r="F234">
        <v>-0.82884000000000002</v>
      </c>
      <c r="G234">
        <f t="shared" si="16"/>
        <v>0.55813000000000001</v>
      </c>
      <c r="H234">
        <f t="shared" si="17"/>
        <v>0.55813000000000001</v>
      </c>
      <c r="I234" s="5">
        <f t="shared" si="18"/>
        <v>1873</v>
      </c>
      <c r="J234">
        <f>+H234+CF*F234*(1+($I234-1850)*slope/1000)+F234*hQc*COS(2*PI()*$I234/qbo+$L234)+F234*hQs*SIN(2*PI()*$I234/qbo+$L234)+F234*hCs*SIN(2*PI()*$I234/cw)+F234*hCc*COS(2*PI()*$I234/cw) +mix*F234*(hQc*COS(2*PI()*$I234/qbo+$L234)+hQs*SIN(2*PI()*$I234/qbo+$L234))*(hCs*SIN(2*PI()*$I234/cw)+hCc*COS(2*PI()*$I234/cw))</f>
        <v>-0.98516682300744529</v>
      </c>
      <c r="K234">
        <f>fQc*COS(2*PI()*$I234/qbo+$L234)+fQs*SIN(2*PI()*$I234/qbo+$L234)+fCs*SIN(2*PI()*$I234/cw)+fCc*COS(2*PI()*$I234/cw)</f>
        <v>-1.1829866740507387</v>
      </c>
      <c r="L234">
        <f>+QMA*COS(2*PI()*$I234/QM+QMP)</f>
        <v>-0.93149002476066278</v>
      </c>
      <c r="P234">
        <f t="shared" si="19"/>
        <v>1</v>
      </c>
    </row>
    <row r="235" spans="1:16" x14ac:dyDescent="0.25">
      <c r="A235" s="1"/>
      <c r="B235" t="s">
        <v>248</v>
      </c>
      <c r="C235" t="s">
        <v>24</v>
      </c>
      <c r="D235" s="3">
        <v>9.375</v>
      </c>
      <c r="E235" s="5">
        <f t="shared" si="15"/>
        <v>1874</v>
      </c>
      <c r="F235">
        <v>-0.16267000000000001</v>
      </c>
      <c r="G235">
        <f t="shared" si="16"/>
        <v>-0.27478000000000002</v>
      </c>
      <c r="H235">
        <f t="shared" si="17"/>
        <v>-0.27478000000000002</v>
      </c>
      <c r="I235" s="5">
        <f t="shared" si="18"/>
        <v>1874</v>
      </c>
      <c r="J235">
        <f>+H235+CF*F235*(1+($I235-1850)*slope/1000)+F235*hQc*COS(2*PI()*$I235/qbo+$L235)+F235*hQs*SIN(2*PI()*$I235/qbo+$L235)+F235*hCs*SIN(2*PI()*$I235/cw)+F235*hCc*COS(2*PI()*$I235/cw) +mix*F235*(hQc*COS(2*PI()*$I235/qbo+$L235)+hQs*SIN(2*PI()*$I235/qbo+$L235))*(hCs*SIN(2*PI()*$I235/cw)+hCc*COS(2*PI()*$I235/cw))</f>
        <v>0.8525719116253756</v>
      </c>
      <c r="K235">
        <f>fQc*COS(2*PI()*$I235/qbo+$L235)+fQs*SIN(2*PI()*$I235/qbo+$L235)+fCs*SIN(2*PI()*$I235/cw)+fCc*COS(2*PI()*$I235/cw)</f>
        <v>2.9851820205714108</v>
      </c>
      <c r="L235">
        <f>+QMA*COS(2*PI()*$I235/QM+QMP)</f>
        <v>-0.9315938325793155</v>
      </c>
      <c r="P235">
        <f t="shared" si="19"/>
        <v>1</v>
      </c>
    </row>
    <row r="236" spans="1:16" x14ac:dyDescent="0.25">
      <c r="A236" s="1"/>
      <c r="B236" t="s">
        <v>249</v>
      </c>
      <c r="C236" t="s">
        <v>24</v>
      </c>
      <c r="D236" s="3">
        <v>9.4166666666666661</v>
      </c>
      <c r="E236" s="5">
        <f t="shared" si="15"/>
        <v>1875</v>
      </c>
      <c r="F236">
        <v>0.22872000000000001</v>
      </c>
      <c r="G236">
        <f t="shared" si="16"/>
        <v>-1.0702400000000001</v>
      </c>
      <c r="H236">
        <f t="shared" si="17"/>
        <v>-1.0702400000000001</v>
      </c>
      <c r="I236" s="5">
        <f t="shared" si="18"/>
        <v>1875</v>
      </c>
      <c r="J236">
        <f>+H236+CF*F236*(1+($I236-1850)*slope/1000)+F236*hQc*COS(2*PI()*$I236/qbo+$L236)+F236*hQs*SIN(2*PI()*$I236/qbo+$L236)+F236*hCs*SIN(2*PI()*$I236/cw)+F236*hCc*COS(2*PI()*$I236/cw) +mix*F236*(hQc*COS(2*PI()*$I236/qbo+$L236)+hQs*SIN(2*PI()*$I236/qbo+$L236))*(hCs*SIN(2*PI()*$I236/cw)+hCc*COS(2*PI()*$I236/cw))</f>
        <v>-2.0579876308499667E-2</v>
      </c>
      <c r="K236">
        <f>fQc*COS(2*PI()*$I236/qbo+$L236)+fQs*SIN(2*PI()*$I236/qbo+$L236)+fCs*SIN(2*PI()*$I236/cw)+fCc*COS(2*PI()*$I236/cw)</f>
        <v>-2.6032133976204777</v>
      </c>
      <c r="L236">
        <f>+QMA*COS(2*PI()*$I236/QM+QMP)</f>
        <v>-0.91392570885341973</v>
      </c>
      <c r="P236">
        <f t="shared" si="19"/>
        <v>1</v>
      </c>
    </row>
    <row r="237" spans="1:16" x14ac:dyDescent="0.25">
      <c r="A237" s="1"/>
      <c r="B237" t="s">
        <v>250</v>
      </c>
      <c r="C237" t="s">
        <v>24</v>
      </c>
      <c r="D237" s="3">
        <v>9.4583333333333339</v>
      </c>
      <c r="E237" s="5">
        <f t="shared" si="15"/>
        <v>1876</v>
      </c>
      <c r="F237">
        <v>-0.45012999999999997</v>
      </c>
      <c r="G237">
        <f t="shared" si="16"/>
        <v>2.2897299999999996</v>
      </c>
      <c r="H237">
        <f t="shared" si="17"/>
        <v>2.2897299999999996</v>
      </c>
      <c r="I237" s="5">
        <f t="shared" si="18"/>
        <v>1876</v>
      </c>
      <c r="J237">
        <f>+H237+CF*F237*(1+($I237-1850)*slope/1000)+F237*hQc*COS(2*PI()*$I237/qbo+$L237)+F237*hQs*SIN(2*PI()*$I237/qbo+$L237)+F237*hCs*SIN(2*PI()*$I237/cw)+F237*hCc*COS(2*PI()*$I237/cw) +mix*F237*(hQc*COS(2*PI()*$I237/qbo+$L237)+hQs*SIN(2*PI()*$I237/qbo+$L237))*(hCs*SIN(2*PI()*$I237/cw)+hCc*COS(2*PI()*$I237/cw))</f>
        <v>3.3715882121503871</v>
      </c>
      <c r="K237">
        <f>fQc*COS(2*PI()*$I237/qbo+$L237)+fQs*SIN(2*PI()*$I237/qbo+$L237)+fCs*SIN(2*PI()*$I237/cw)+fCc*COS(2*PI()*$I237/cw)</f>
        <v>2.6208375771551995</v>
      </c>
      <c r="L237">
        <f>+QMA*COS(2*PI()*$I237/QM+QMP)</f>
        <v>-0.87882270678622054</v>
      </c>
      <c r="P237">
        <f t="shared" si="19"/>
        <v>1</v>
      </c>
    </row>
    <row r="238" spans="1:16" x14ac:dyDescent="0.25">
      <c r="A238" s="1"/>
      <c r="B238" t="s">
        <v>251</v>
      </c>
      <c r="C238" t="s">
        <v>24</v>
      </c>
      <c r="D238" s="3">
        <v>9.5</v>
      </c>
      <c r="E238" s="5">
        <f t="shared" si="15"/>
        <v>1877</v>
      </c>
      <c r="F238">
        <v>1.1607499999999999</v>
      </c>
      <c r="G238">
        <f t="shared" si="16"/>
        <v>-1.5945399999999998</v>
      </c>
      <c r="H238">
        <f t="shared" si="17"/>
        <v>-1.5945399999999998</v>
      </c>
      <c r="I238" s="5">
        <f t="shared" si="18"/>
        <v>1877</v>
      </c>
      <c r="J238">
        <f>+H238+CF*F238*(1+($I238-1850)*slope/1000)+F238*hQc*COS(2*PI()*$I238/qbo+$L238)+F238*hQs*SIN(2*PI()*$I238/qbo+$L238)+F238*hCs*SIN(2*PI()*$I238/cw)+F238*hCc*COS(2*PI()*$I238/cw) +mix*F238*(hQc*COS(2*PI()*$I238/qbo+$L238)+hQs*SIN(2*PI()*$I238/qbo+$L238))*(hCs*SIN(2*PI()*$I238/cw)+hCc*COS(2*PI()*$I238/cw))</f>
        <v>-1.8352930660596174</v>
      </c>
      <c r="K238">
        <f>fQc*COS(2*PI()*$I238/qbo+$L238)+fQs*SIN(2*PI()*$I238/qbo+$L238)+fCs*SIN(2*PI()*$I238/cw)+fCc*COS(2*PI()*$I238/cw)</f>
        <v>-2.4739830950087822</v>
      </c>
      <c r="L238">
        <f>+QMA*COS(2*PI()*$I238/QM+QMP)</f>
        <v>-0.82695448318297171</v>
      </c>
      <c r="P238">
        <f t="shared" si="19"/>
        <v>1</v>
      </c>
    </row>
    <row r="239" spans="1:16" x14ac:dyDescent="0.25">
      <c r="A239" s="1"/>
      <c r="B239" t="s">
        <v>252</v>
      </c>
      <c r="C239" t="s">
        <v>24</v>
      </c>
      <c r="D239" s="3">
        <v>9.5416666666666661</v>
      </c>
      <c r="E239" s="5">
        <f t="shared" si="15"/>
        <v>1878</v>
      </c>
      <c r="F239">
        <v>1.17709</v>
      </c>
      <c r="G239">
        <f t="shared" si="16"/>
        <v>-2.12297</v>
      </c>
      <c r="H239">
        <f t="shared" si="17"/>
        <v>-2.12297</v>
      </c>
      <c r="I239" s="5">
        <f t="shared" si="18"/>
        <v>1878</v>
      </c>
      <c r="J239">
        <f>+H239+CF*F239*(1+($I239-1850)*slope/1000)+F239*hQc*COS(2*PI()*$I239/qbo+$L239)+F239*hQs*SIN(2*PI()*$I239/qbo+$L239)+F239*hCs*SIN(2*PI()*$I239/cw)+F239*hCc*COS(2*PI()*$I239/cw) +mix*F239*(hQc*COS(2*PI()*$I239/qbo+$L239)+hQs*SIN(2*PI()*$I239/qbo+$L239))*(hCs*SIN(2*PI()*$I239/cw)+hCc*COS(2*PI()*$I239/cw))</f>
        <v>2.0974245320205176</v>
      </c>
      <c r="K239">
        <f>fQc*COS(2*PI()*$I239/qbo+$L239)+fQs*SIN(2*PI()*$I239/qbo+$L239)+fCs*SIN(2*PI()*$I239/cw)+fCc*COS(2*PI()*$I239/cw)</f>
        <v>0.69872936780306005</v>
      </c>
      <c r="L239">
        <f>+QMA*COS(2*PI()*$I239/QM+QMP)</f>
        <v>-0.75931052346853123</v>
      </c>
      <c r="P239">
        <f t="shared" si="19"/>
        <v>1</v>
      </c>
    </row>
    <row r="240" spans="1:16" x14ac:dyDescent="0.25">
      <c r="A240" s="1"/>
      <c r="B240" t="s">
        <v>253</v>
      </c>
      <c r="C240" t="s">
        <v>24</v>
      </c>
      <c r="D240" s="3">
        <v>9.5833333333333339</v>
      </c>
      <c r="E240" s="5">
        <f t="shared" si="15"/>
        <v>1879</v>
      </c>
      <c r="F240">
        <v>-0.92954000000000003</v>
      </c>
      <c r="G240">
        <f t="shared" si="16"/>
        <v>1.21221</v>
      </c>
      <c r="H240">
        <f t="shared" si="17"/>
        <v>1.21221</v>
      </c>
      <c r="I240" s="5">
        <f t="shared" si="18"/>
        <v>1879</v>
      </c>
      <c r="J240">
        <f>+H240+CF*F240*(1+($I240-1850)*slope/1000)+F240*hQc*COS(2*PI()*$I240/qbo+$L240)+F240*hQs*SIN(2*PI()*$I240/qbo+$L240)+F240*hCs*SIN(2*PI()*$I240/cw)+F240*hCc*COS(2*PI()*$I240/cw) +mix*F240*(hQc*COS(2*PI()*$I240/qbo+$L240)+hQs*SIN(2*PI()*$I240/qbo+$L240))*(hCs*SIN(2*PI()*$I240/cw)+hCc*COS(2*PI()*$I240/cw))</f>
        <v>-8.497510273600517E-3</v>
      </c>
      <c r="K240">
        <f>fQc*COS(2*PI()*$I240/qbo+$L240)+fQs*SIN(2*PI()*$I240/qbo+$L240)+fCs*SIN(2*PI()*$I240/cw)+fCc*COS(2*PI()*$I240/cw)</f>
        <v>-0.53858265819901885</v>
      </c>
      <c r="L240">
        <f>+QMA*COS(2*PI()*$I240/QM+QMP)</f>
        <v>-0.67718126536307865</v>
      </c>
      <c r="P240">
        <f t="shared" si="19"/>
        <v>1</v>
      </c>
    </row>
    <row r="241" spans="1:16" x14ac:dyDescent="0.25">
      <c r="A241" s="1"/>
      <c r="B241" t="s">
        <v>254</v>
      </c>
      <c r="C241" t="s">
        <v>24</v>
      </c>
      <c r="D241" s="3">
        <v>9.625</v>
      </c>
      <c r="E241" s="5">
        <f t="shared" si="15"/>
        <v>1880</v>
      </c>
      <c r="F241">
        <v>-1.82396</v>
      </c>
      <c r="G241">
        <f t="shared" si="16"/>
        <v>3.1040900000000002</v>
      </c>
      <c r="H241">
        <f t="shared" si="17"/>
        <v>3.1040900000000002</v>
      </c>
      <c r="I241" s="5">
        <f t="shared" si="18"/>
        <v>1880</v>
      </c>
      <c r="J241">
        <f>+H241+CF*F241*(1+($I241-1850)*slope/1000)+F241*hQc*COS(2*PI()*$I241/qbo+$L241)+F241*hQs*SIN(2*PI()*$I241/qbo+$L241)+F241*hCs*SIN(2*PI()*$I241/cw)+F241*hCc*COS(2*PI()*$I241/cw) +mix*F241*(hQc*COS(2*PI()*$I241/qbo+$L241)+hQs*SIN(2*PI()*$I241/qbo+$L241))*(hCs*SIN(2*PI()*$I241/cw)+hCc*COS(2*PI()*$I241/cw))</f>
        <v>2.1730589045236144</v>
      </c>
      <c r="K241">
        <f>fQc*COS(2*PI()*$I241/qbo+$L241)+fQs*SIN(2*PI()*$I241/qbo+$L241)+fCs*SIN(2*PI()*$I241/cw)+fCc*COS(2*PI()*$I241/cw)</f>
        <v>-0.9307384464173144</v>
      </c>
      <c r="L241">
        <f>+QMA*COS(2*PI()*$I241/QM+QMP)</f>
        <v>-0.58213348131809473</v>
      </c>
      <c r="P241">
        <f t="shared" si="19"/>
        <v>0</v>
      </c>
    </row>
    <row r="242" spans="1:16" x14ac:dyDescent="0.25">
      <c r="A242" s="1"/>
      <c r="B242" t="s">
        <v>255</v>
      </c>
      <c r="C242" t="s">
        <v>24</v>
      </c>
      <c r="D242" s="3">
        <v>9.6666666666666661</v>
      </c>
      <c r="E242" s="5">
        <f t="shared" si="15"/>
        <v>1881</v>
      </c>
      <c r="F242">
        <v>0.38571</v>
      </c>
      <c r="G242">
        <f t="shared" si="16"/>
        <v>-2.3247300000000002</v>
      </c>
      <c r="H242">
        <f t="shared" si="17"/>
        <v>-2.3247300000000002</v>
      </c>
      <c r="I242" s="5">
        <f t="shared" si="18"/>
        <v>1881</v>
      </c>
      <c r="J242">
        <f>+H242+CF*F242*(1+($I242-1850)*slope/1000)+F242*hQc*COS(2*PI()*$I242/qbo+$L242)+F242*hQs*SIN(2*PI()*$I242/qbo+$L242)+F242*hCs*SIN(2*PI()*$I242/cw)+F242*hCc*COS(2*PI()*$I242/cw) +mix*F242*(hQc*COS(2*PI()*$I242/qbo+$L242)+hQs*SIN(2*PI()*$I242/qbo+$L242))*(hCs*SIN(2*PI()*$I242/cw)+hCc*COS(2*PI()*$I242/cw))</f>
        <v>-2.7514456611523492</v>
      </c>
      <c r="K242">
        <f>fQc*COS(2*PI()*$I242/qbo+$L242)+fQs*SIN(2*PI()*$I242/qbo+$L242)+fCs*SIN(2*PI()*$I242/cw)+fCc*COS(2*PI()*$I242/cw)</f>
        <v>2.0105193387677582</v>
      </c>
      <c r="L242">
        <f>+QMA*COS(2*PI()*$I242/QM+QMP)</f>
        <v>-0.47598038933957648</v>
      </c>
      <c r="P242">
        <f t="shared" si="19"/>
        <v>0</v>
      </c>
    </row>
    <row r="243" spans="1:16" x14ac:dyDescent="0.25">
      <c r="A243" s="1"/>
      <c r="B243" t="s">
        <v>256</v>
      </c>
      <c r="C243" t="s">
        <v>24</v>
      </c>
      <c r="D243" s="3">
        <v>9.7083333333333339</v>
      </c>
      <c r="E243" s="5">
        <f t="shared" si="15"/>
        <v>1882</v>
      </c>
      <c r="F243">
        <v>0.27065</v>
      </c>
      <c r="G243">
        <f t="shared" si="16"/>
        <v>-0.93714000000000008</v>
      </c>
      <c r="H243">
        <f t="shared" si="17"/>
        <v>-0.93714000000000008</v>
      </c>
      <c r="I243" s="5">
        <f t="shared" si="18"/>
        <v>1882</v>
      </c>
      <c r="J243">
        <f>+H243+CF*F243*(1+($I243-1850)*slope/1000)+F243*hQc*COS(2*PI()*$I243/qbo+$L243)+F243*hQs*SIN(2*PI()*$I243/qbo+$L243)+F243*hCs*SIN(2*PI()*$I243/cw)+F243*hCc*COS(2*PI()*$I243/cw) +mix*F243*(hQc*COS(2*PI()*$I243/qbo+$L243)+hQs*SIN(2*PI()*$I243/qbo+$L243))*(hCs*SIN(2*PI()*$I243/cw)+hCc*COS(2*PI()*$I243/cw))</f>
        <v>-3.6509985081270235E-2</v>
      </c>
      <c r="K243">
        <f>fQc*COS(2*PI()*$I243/qbo+$L243)+fQs*SIN(2*PI()*$I243/qbo+$L243)+fCs*SIN(2*PI()*$I243/cw)+fCc*COS(2*PI()*$I243/cw)</f>
        <v>-1.9291051881116179</v>
      </c>
      <c r="L243">
        <f>+QMA*COS(2*PI()*$I243/QM+QMP)</f>
        <v>-0.3607470623916299</v>
      </c>
      <c r="P243">
        <f t="shared" si="19"/>
        <v>1</v>
      </c>
    </row>
    <row r="244" spans="1:16" x14ac:dyDescent="0.25">
      <c r="A244" s="1"/>
      <c r="B244" t="s">
        <v>257</v>
      </c>
      <c r="C244" t="s">
        <v>24</v>
      </c>
      <c r="D244" s="3">
        <v>9.75</v>
      </c>
      <c r="E244" s="5">
        <f t="shared" si="15"/>
        <v>1883</v>
      </c>
      <c r="F244">
        <v>-0.78154999999999997</v>
      </c>
      <c r="G244">
        <f t="shared" si="16"/>
        <v>2.1461699999999997</v>
      </c>
      <c r="H244">
        <f t="shared" si="17"/>
        <v>2.1461699999999997</v>
      </c>
      <c r="I244" s="5">
        <f t="shared" si="18"/>
        <v>1883</v>
      </c>
      <c r="J244">
        <f>+H244+CF*F244*(1+($I244-1850)*slope/1000)+F244*hQc*COS(2*PI()*$I244/qbo+$L244)+F244*hQs*SIN(2*PI()*$I244/qbo+$L244)+F244*hCs*SIN(2*PI()*$I244/cw)+F244*hCc*COS(2*PI()*$I244/cw) +mix*F244*(hQc*COS(2*PI()*$I244/qbo+$L244)+hQs*SIN(2*PI()*$I244/qbo+$L244))*(hCs*SIN(2*PI()*$I244/cw)+hCc*COS(2*PI()*$I244/cw))</f>
        <v>8.2147781726232232</v>
      </c>
      <c r="K244">
        <f>fQc*COS(2*PI()*$I244/qbo+$L244)+fQs*SIN(2*PI()*$I244/qbo+$L244)+fCs*SIN(2*PI()*$I244/cw)+fCc*COS(2*PI()*$I244/cw)</f>
        <v>3.2423830455446705</v>
      </c>
      <c r="L244">
        <f>+QMA*COS(2*PI()*$I244/QM+QMP)</f>
        <v>-0.23863179626213002</v>
      </c>
      <c r="P244">
        <f t="shared" si="19"/>
        <v>1</v>
      </c>
    </row>
    <row r="245" spans="1:16" x14ac:dyDescent="0.25">
      <c r="A245" s="1"/>
      <c r="B245" t="s">
        <v>258</v>
      </c>
      <c r="C245" t="s">
        <v>24</v>
      </c>
      <c r="D245" s="3">
        <v>9.7916666666666661</v>
      </c>
      <c r="E245" s="5">
        <f t="shared" si="15"/>
        <v>1884</v>
      </c>
      <c r="F245">
        <v>0.31241999999999998</v>
      </c>
      <c r="G245">
        <f t="shared" si="16"/>
        <v>0.26290000000000013</v>
      </c>
      <c r="H245">
        <f t="shared" si="17"/>
        <v>0.26290000000000013</v>
      </c>
      <c r="I245" s="5">
        <f t="shared" si="18"/>
        <v>1884</v>
      </c>
      <c r="J245">
        <f>+H245+CF*F245*(1+($I245-1850)*slope/1000)+F245*hQc*COS(2*PI()*$I245/qbo+$L245)+F245*hQs*SIN(2*PI()*$I245/qbo+$L245)+F245*hCs*SIN(2*PI()*$I245/cw)+F245*hCc*COS(2*PI()*$I245/cw) +mix*F245*(hQc*COS(2*PI()*$I245/qbo+$L245)+hQs*SIN(2*PI()*$I245/qbo+$L245))*(hCs*SIN(2*PI()*$I245/cw)+hCc*COS(2*PI()*$I245/cw))</f>
        <v>1.587307877093155</v>
      </c>
      <c r="K245">
        <f>fQc*COS(2*PI()*$I245/qbo+$L245)+fQs*SIN(2*PI()*$I245/qbo+$L245)+fCs*SIN(2*PI()*$I245/cw)+fCc*COS(2*PI()*$I245/cw)</f>
        <v>-2.6471672110135542</v>
      </c>
      <c r="L245">
        <f>+QMA*COS(2*PI()*$I245/QM+QMP)</f>
        <v>-0.11196417287219061</v>
      </c>
      <c r="P245">
        <f t="shared" si="19"/>
        <v>0</v>
      </c>
    </row>
    <row r="246" spans="1:16" x14ac:dyDescent="0.25">
      <c r="A246" s="1"/>
      <c r="B246" t="s">
        <v>259</v>
      </c>
      <c r="C246" t="s">
        <v>24</v>
      </c>
      <c r="D246" s="3">
        <v>9.8333333333333339</v>
      </c>
      <c r="E246" s="5">
        <f t="shared" si="15"/>
        <v>1885</v>
      </c>
      <c r="F246">
        <v>1.6692899999999999</v>
      </c>
      <c r="G246">
        <f t="shared" si="16"/>
        <v>-3.0097399999999999</v>
      </c>
      <c r="H246">
        <f t="shared" si="17"/>
        <v>-3.0097399999999999</v>
      </c>
      <c r="I246" s="5">
        <f t="shared" si="18"/>
        <v>1885</v>
      </c>
      <c r="J246">
        <f>+H246+CF*F246*(1+($I246-1850)*slope/1000)+F246*hQc*COS(2*PI()*$I246/qbo+$L246)+F246*hQs*SIN(2*PI()*$I246/qbo+$L246)+F246*hCs*SIN(2*PI()*$I246/cw)+F246*hCc*COS(2*PI()*$I246/cw) +mix*F246*(hQc*COS(2*PI()*$I246/qbo+$L246)+hQs*SIN(2*PI()*$I246/qbo+$L246))*(hCs*SIN(2*PI()*$I246/cw)+hCc*COS(2*PI()*$I246/cw))</f>
        <v>-5.9139765291298607</v>
      </c>
      <c r="K246">
        <f>fQc*COS(2*PI()*$I246/qbo+$L246)+fQs*SIN(2*PI()*$I246/qbo+$L246)+fCs*SIN(2*PI()*$I246/cw)+fCc*COS(2*PI()*$I246/cw)</f>
        <v>2.5050933660540977</v>
      </c>
      <c r="L246">
        <f>+QMA*COS(2*PI()*$I246/QM+QMP)</f>
        <v>1.6839380948039311E-2</v>
      </c>
      <c r="P246">
        <f t="shared" si="19"/>
        <v>0</v>
      </c>
    </row>
    <row r="247" spans="1:16" x14ac:dyDescent="0.25">
      <c r="A247" s="1"/>
      <c r="B247" t="s">
        <v>260</v>
      </c>
      <c r="C247" t="s">
        <v>24</v>
      </c>
      <c r="D247" s="3">
        <v>9.875</v>
      </c>
      <c r="E247" s="5">
        <f t="shared" si="15"/>
        <v>1886</v>
      </c>
      <c r="F247">
        <v>1.6420000000000001E-2</v>
      </c>
      <c r="G247">
        <f t="shared" si="16"/>
        <v>-0.11202000000000023</v>
      </c>
      <c r="H247">
        <f t="shared" si="17"/>
        <v>-0.11202000000000023</v>
      </c>
      <c r="I247" s="5">
        <f t="shared" si="18"/>
        <v>1886</v>
      </c>
      <c r="J247">
        <f>+H247+CF*F247*(1+($I247-1850)*slope/1000)+F247*hQc*COS(2*PI()*$I247/qbo+$L247)+F247*hQs*SIN(2*PI()*$I247/qbo+$L247)+F247*hCs*SIN(2*PI()*$I247/cw)+F247*hCc*COS(2*PI()*$I247/cw) +mix*F247*(hQc*COS(2*PI()*$I247/qbo+$L247)+hQs*SIN(2*PI()*$I247/qbo+$L247))*(hCs*SIN(2*PI()*$I247/cw)+hCc*COS(2*PI()*$I247/cw))</f>
        <v>-0.12168762824823701</v>
      </c>
      <c r="K247">
        <f>fQc*COS(2*PI()*$I247/qbo+$L247)+fQs*SIN(2*PI()*$I247/qbo+$L247)+fCs*SIN(2*PI()*$I247/cw)+fCc*COS(2*PI()*$I247/cw)</f>
        <v>-2.5396171285438283</v>
      </c>
      <c r="L247">
        <f>+QMA*COS(2*PI()*$I247/QM+QMP)</f>
        <v>0.14532169141634252</v>
      </c>
      <c r="P247">
        <f t="shared" si="19"/>
        <v>1</v>
      </c>
    </row>
    <row r="248" spans="1:16" x14ac:dyDescent="0.25">
      <c r="A248" s="1"/>
      <c r="B248" t="s">
        <v>261</v>
      </c>
      <c r="C248" t="s">
        <v>24</v>
      </c>
      <c r="D248" s="3">
        <v>9.9166666666666661</v>
      </c>
      <c r="E248" s="5">
        <f t="shared" si="15"/>
        <v>1887</v>
      </c>
      <c r="F248">
        <v>-1.74847</v>
      </c>
      <c r="G248">
        <f t="shared" si="16"/>
        <v>4.7467000000000006</v>
      </c>
      <c r="H248">
        <f t="shared" si="17"/>
        <v>4.7467000000000006</v>
      </c>
      <c r="I248" s="5">
        <f t="shared" si="18"/>
        <v>1887</v>
      </c>
      <c r="J248">
        <f>+H248+CF*F248*(1+($I248-1850)*slope/1000)+F248*hQc*COS(2*PI()*$I248/qbo+$L248)+F248*hQs*SIN(2*PI()*$I248/qbo+$L248)+F248*hCs*SIN(2*PI()*$I248/cw)+F248*hCc*COS(2*PI()*$I248/cw) +mix*F248*(hQc*COS(2*PI()*$I248/qbo+$L248)+hQs*SIN(2*PI()*$I248/qbo+$L248))*(hCs*SIN(2*PI()*$I248/cw)+hCc*COS(2*PI()*$I248/cw))</f>
        <v>-2.115780537791824</v>
      </c>
      <c r="K248">
        <f>fQc*COS(2*PI()*$I248/qbo+$L248)+fQs*SIN(2*PI()*$I248/qbo+$L248)+fCs*SIN(2*PI()*$I248/cw)+fCc*COS(2*PI()*$I248/cw)</f>
        <v>0.8944707521080395</v>
      </c>
      <c r="L248">
        <f>+QMA*COS(2*PI()*$I248/QM+QMP)</f>
        <v>0.27103171308080232</v>
      </c>
      <c r="P248">
        <f t="shared" si="19"/>
        <v>0</v>
      </c>
    </row>
    <row r="249" spans="1:16" x14ac:dyDescent="0.25">
      <c r="A249" s="1"/>
      <c r="B249" t="s">
        <v>262</v>
      </c>
      <c r="C249" t="s">
        <v>24</v>
      </c>
      <c r="D249" s="3">
        <v>9.9583333333333339</v>
      </c>
      <c r="E249" s="5">
        <f t="shared" si="15"/>
        <v>1888</v>
      </c>
      <c r="F249">
        <v>1.2333400000000001</v>
      </c>
      <c r="G249">
        <f t="shared" si="16"/>
        <v>-2.8604800000000004</v>
      </c>
      <c r="H249">
        <f t="shared" si="17"/>
        <v>-2.8604800000000004</v>
      </c>
      <c r="I249" s="5">
        <f t="shared" si="18"/>
        <v>1888</v>
      </c>
      <c r="J249">
        <f>+H249+CF*F249*(1+($I249-1850)*slope/1000)+F249*hQc*COS(2*PI()*$I249/qbo+$L249)+F249*hQs*SIN(2*PI()*$I249/qbo+$L249)+F249*hCs*SIN(2*PI()*$I249/cw)+F249*hCc*COS(2*PI()*$I249/cw) +mix*F249*(hQc*COS(2*PI()*$I249/qbo+$L249)+hQs*SIN(2*PI()*$I249/qbo+$L249))*(hCs*SIN(2*PI()*$I249/cw)+hCc*COS(2*PI()*$I249/cw))</f>
        <v>-2.0027184091958423</v>
      </c>
      <c r="K249">
        <f>fQc*COS(2*PI()*$I249/qbo+$L249)+fQs*SIN(2*PI()*$I249/qbo+$L249)+fCs*SIN(2*PI()*$I249/cw)+fCc*COS(2*PI()*$I249/cw)</f>
        <v>-0.82524455367508753</v>
      </c>
      <c r="L249">
        <f>+QMA*COS(2*PI()*$I249/QM+QMP)</f>
        <v>0.39157128719309497</v>
      </c>
      <c r="P249">
        <f t="shared" si="19"/>
        <v>1</v>
      </c>
    </row>
    <row r="250" spans="1:16" x14ac:dyDescent="0.25">
      <c r="A250" s="1"/>
      <c r="B250" t="s">
        <v>263</v>
      </c>
      <c r="C250" t="s">
        <v>24</v>
      </c>
      <c r="D250" s="3">
        <v>10</v>
      </c>
      <c r="E250" s="5">
        <f t="shared" si="15"/>
        <v>1889</v>
      </c>
      <c r="F250">
        <v>1.35467</v>
      </c>
      <c r="G250">
        <f t="shared" si="16"/>
        <v>-2.9236499999999999</v>
      </c>
      <c r="H250">
        <f t="shared" si="17"/>
        <v>-2.9236499999999999</v>
      </c>
      <c r="I250" s="5">
        <f t="shared" si="18"/>
        <v>1889</v>
      </c>
      <c r="J250">
        <f>+H250+CF*F250*(1+($I250-1850)*slope/1000)+F250*hQc*COS(2*PI()*$I250/qbo+$L250)+F250*hQs*SIN(2*PI()*$I250/qbo+$L250)+F250*hCs*SIN(2*PI()*$I250/cw)+F250*hCc*COS(2*PI()*$I250/cw) +mix*F250*(hQc*COS(2*PI()*$I250/qbo+$L250)+hQs*SIN(2*PI()*$I250/qbo+$L250))*(hCs*SIN(2*PI()*$I250/cw)+hCc*COS(2*PI()*$I250/cw))</f>
        <v>-2.1246156546782036</v>
      </c>
      <c r="K250">
        <f>fQc*COS(2*PI()*$I250/qbo+$L250)+fQs*SIN(2*PI()*$I250/qbo+$L250)+fCs*SIN(2*PI()*$I250/cw)+fCc*COS(2*PI()*$I250/cw)</f>
        <v>-0.51050970021083142</v>
      </c>
      <c r="L250">
        <f>+QMA*COS(2*PI()*$I250/QM+QMP)</f>
        <v>0.50464089116664279</v>
      </c>
      <c r="P250">
        <f t="shared" si="19"/>
        <v>1</v>
      </c>
    </row>
    <row r="251" spans="1:16" x14ac:dyDescent="0.25">
      <c r="A251" s="1"/>
      <c r="B251" t="s">
        <v>264</v>
      </c>
      <c r="C251" t="s">
        <v>24</v>
      </c>
      <c r="D251" s="3">
        <v>10.041666666666666</v>
      </c>
      <c r="E251" s="5">
        <f t="shared" si="15"/>
        <v>1890</v>
      </c>
      <c r="F251">
        <v>-1.4476500000000001</v>
      </c>
      <c r="G251">
        <f t="shared" si="16"/>
        <v>4.2313499999999999</v>
      </c>
      <c r="H251">
        <f t="shared" si="17"/>
        <v>4.2313499999999999</v>
      </c>
      <c r="I251" s="5">
        <f t="shared" si="18"/>
        <v>1890</v>
      </c>
      <c r="J251">
        <f>+H251+CF*F251*(1+($I251-1850)*slope/1000)+F251*hQc*COS(2*PI()*$I251/qbo+$L251)+F251*hQs*SIN(2*PI()*$I251/qbo+$L251)+F251*hCs*SIN(2*PI()*$I251/cw)+F251*hCc*COS(2*PI()*$I251/cw) +mix*F251*(hQc*COS(2*PI()*$I251/qbo+$L251)+hQs*SIN(2*PI()*$I251/qbo+$L251))*(hCs*SIN(2*PI()*$I251/cw)+hCc*COS(2*PI()*$I251/cw))</f>
        <v>6.3332211365527264</v>
      </c>
      <c r="K251">
        <f>fQc*COS(2*PI()*$I251/qbo+$L251)+fQs*SIN(2*PI()*$I251/qbo+$L251)+fCs*SIN(2*PI()*$I251/cw)+fCc*COS(2*PI()*$I251/cw)</f>
        <v>1.7464055641111085</v>
      </c>
      <c r="L251">
        <f>+QMA*COS(2*PI()*$I251/QM+QMP)</f>
        <v>0.60808350636161546</v>
      </c>
      <c r="P251">
        <f t="shared" si="19"/>
        <v>1</v>
      </c>
    </row>
    <row r="252" spans="1:16" x14ac:dyDescent="0.25">
      <c r="A252" s="1"/>
      <c r="B252" t="s">
        <v>265</v>
      </c>
      <c r="C252" t="s">
        <v>24</v>
      </c>
      <c r="D252" s="3">
        <v>10.083333333333334</v>
      </c>
      <c r="E252" s="5">
        <f t="shared" si="15"/>
        <v>1891</v>
      </c>
      <c r="F252">
        <v>-1.8620000000000001E-2</v>
      </c>
      <c r="G252">
        <f t="shared" si="16"/>
        <v>-1.7558</v>
      </c>
      <c r="H252">
        <f t="shared" si="17"/>
        <v>-1.7558</v>
      </c>
      <c r="I252" s="5">
        <f t="shared" si="18"/>
        <v>1891</v>
      </c>
      <c r="J252">
        <f>+H252+CF*F252*(1+($I252-1850)*slope/1000)+F252*hQc*COS(2*PI()*$I252/qbo+$L252)+F252*hQs*SIN(2*PI()*$I252/qbo+$L252)+F252*hCs*SIN(2*PI()*$I252/cw)+F252*hCc*COS(2*PI()*$I252/cw) +mix*F252*(hQc*COS(2*PI()*$I252/qbo+$L252)+hQs*SIN(2*PI()*$I252/qbo+$L252))*(hCs*SIN(2*PI()*$I252/cw)+hCc*COS(2*PI()*$I252/cw))</f>
        <v>-1.8126580429611305</v>
      </c>
      <c r="K252">
        <f>fQc*COS(2*PI()*$I252/qbo+$L252)+fQs*SIN(2*PI()*$I252/qbo+$L252)+fCs*SIN(2*PI()*$I252/cw)+fCc*COS(2*PI()*$I252/cw)</f>
        <v>-1.7376462361858804</v>
      </c>
      <c r="L252">
        <f>+QMA*COS(2*PI()*$I252/QM+QMP)</f>
        <v>0.69992576733522927</v>
      </c>
      <c r="P252">
        <f t="shared" si="19"/>
        <v>1</v>
      </c>
    </row>
    <row r="253" spans="1:16" x14ac:dyDescent="0.25">
      <c r="A253" s="1"/>
      <c r="B253" t="s">
        <v>266</v>
      </c>
      <c r="C253" t="s">
        <v>24</v>
      </c>
      <c r="D253" s="3">
        <v>10.125</v>
      </c>
      <c r="E253" s="5">
        <f t="shared" si="15"/>
        <v>1892</v>
      </c>
      <c r="F253">
        <v>-0.34538999999999997</v>
      </c>
      <c r="G253">
        <f t="shared" si="16"/>
        <v>-1.5630200000000001</v>
      </c>
      <c r="H253">
        <f t="shared" si="17"/>
        <v>-1.5630200000000001</v>
      </c>
      <c r="I253" s="5">
        <f t="shared" si="18"/>
        <v>1892</v>
      </c>
      <c r="J253">
        <f>+H253+CF*F253*(1+($I253-1850)*slope/1000)+F253*hQc*COS(2*PI()*$I253/qbo+$L253)+F253*hQs*SIN(2*PI()*$I253/qbo+$L253)+F253*hCs*SIN(2*PI()*$I253/cw)+F253*hCc*COS(2*PI()*$I253/cw) +mix*F253*(hQc*COS(2*PI()*$I253/qbo+$L253)+hQs*SIN(2*PI()*$I253/qbo+$L253))*(hCs*SIN(2*PI()*$I253/cw)+hCc*COS(2*PI()*$I253/cw))</f>
        <v>1.0965676459125848</v>
      </c>
      <c r="K253">
        <f>fQc*COS(2*PI()*$I253/qbo+$L253)+fQs*SIN(2*PI()*$I253/qbo+$L253)+fCs*SIN(2*PI()*$I253/cw)+fCc*COS(2*PI()*$I253/cw)</f>
        <v>3.169881360338533</v>
      </c>
      <c r="L253">
        <f>+QMA*COS(2*PI()*$I253/QM+QMP)</f>
        <v>0.77841560755596562</v>
      </c>
      <c r="P253">
        <f t="shared" si="19"/>
        <v>1</v>
      </c>
    </row>
    <row r="254" spans="1:16" x14ac:dyDescent="0.25">
      <c r="A254" s="1"/>
      <c r="B254" t="s">
        <v>267</v>
      </c>
      <c r="C254" t="s">
        <v>24</v>
      </c>
      <c r="D254" s="3">
        <v>10.166666666666666</v>
      </c>
      <c r="E254" s="5">
        <f t="shared" si="15"/>
        <v>1893</v>
      </c>
      <c r="F254">
        <v>-2.2351800000000002</v>
      </c>
      <c r="G254">
        <f t="shared" si="16"/>
        <v>2.3824900000000002</v>
      </c>
      <c r="H254">
        <f t="shared" si="17"/>
        <v>2.3824900000000002</v>
      </c>
      <c r="I254" s="5">
        <f t="shared" si="18"/>
        <v>1893</v>
      </c>
      <c r="J254">
        <f>+H254+CF*F254*(1+($I254-1850)*slope/1000)+F254*hQc*COS(2*PI()*$I254/qbo+$L254)+F254*hQs*SIN(2*PI()*$I254/qbo+$L254)+F254*hCs*SIN(2*PI()*$I254/cw)+F254*hCc*COS(2*PI()*$I254/cw) +mix*F254*(hQc*COS(2*PI()*$I254/qbo+$L254)+hQs*SIN(2*PI()*$I254/qbo+$L254))*(hCs*SIN(2*PI()*$I254/cw)+hCc*COS(2*PI()*$I254/cw))</f>
        <v>-6.1738261555731775</v>
      </c>
      <c r="K254">
        <f>fQc*COS(2*PI()*$I254/qbo+$L254)+fQs*SIN(2*PI()*$I254/qbo+$L254)+fCs*SIN(2*PI()*$I254/cw)+fCc*COS(2*PI()*$I254/cw)</f>
        <v>-2.6962697002044034</v>
      </c>
      <c r="L254">
        <f>+QMA*COS(2*PI()*$I254/QM+QMP)</f>
        <v>0.84205568341919035</v>
      </c>
      <c r="P254">
        <f t="shared" si="19"/>
        <v>1</v>
      </c>
    </row>
    <row r="255" spans="1:16" x14ac:dyDescent="0.25">
      <c r="A255" s="1"/>
      <c r="B255" t="s">
        <v>268</v>
      </c>
      <c r="C255" t="s">
        <v>24</v>
      </c>
      <c r="D255" s="3">
        <v>10.208333333333334</v>
      </c>
      <c r="E255" s="5">
        <f t="shared" si="15"/>
        <v>1894</v>
      </c>
      <c r="F255">
        <v>-1.74248</v>
      </c>
      <c r="G255">
        <f t="shared" si="16"/>
        <v>0.96674999999999978</v>
      </c>
      <c r="H255">
        <f t="shared" si="17"/>
        <v>0.96674999999999978</v>
      </c>
      <c r="I255" s="5">
        <f t="shared" si="18"/>
        <v>1894</v>
      </c>
      <c r="J255">
        <f>+H255+CF*F255*(1+($I255-1850)*slope/1000)+F255*hQc*COS(2*PI()*$I255/qbo+$L255)+F255*hQs*SIN(2*PI()*$I255/qbo+$L255)+F255*hCs*SIN(2*PI()*$I255/cw)+F255*hCc*COS(2*PI()*$I255/cw) +mix*F255*(hQc*COS(2*PI()*$I255/qbo+$L255)+hQs*SIN(2*PI()*$I255/qbo+$L255))*(hCs*SIN(2*PI()*$I255/cw)+hCc*COS(2*PI()*$I255/cw))</f>
        <v>2.8368371912996695</v>
      </c>
      <c r="K255">
        <f>fQc*COS(2*PI()*$I255/qbo+$L255)+fQs*SIN(2*PI()*$I255/qbo+$L255)+fCs*SIN(2*PI()*$I255/cw)+fCc*COS(2*PI()*$I255/cw)</f>
        <v>2.3511237812706556</v>
      </c>
      <c r="L255">
        <f>+QMA*COS(2*PI()*$I255/QM+QMP)</f>
        <v>0.88963193893598491</v>
      </c>
      <c r="P255">
        <f t="shared" si="19"/>
        <v>1</v>
      </c>
    </row>
    <row r="256" spans="1:16" x14ac:dyDescent="0.25">
      <c r="A256" s="1"/>
      <c r="B256" t="s">
        <v>269</v>
      </c>
      <c r="C256" t="s">
        <v>24</v>
      </c>
      <c r="D256" s="3">
        <v>10.25</v>
      </c>
      <c r="E256" s="5">
        <f t="shared" si="15"/>
        <v>1895</v>
      </c>
      <c r="F256">
        <v>-0.28303</v>
      </c>
      <c r="G256">
        <f t="shared" si="16"/>
        <v>-1.5630499999999998</v>
      </c>
      <c r="H256">
        <f t="shared" si="17"/>
        <v>-1.5630499999999998</v>
      </c>
      <c r="I256" s="5">
        <f t="shared" si="18"/>
        <v>1895</v>
      </c>
      <c r="J256">
        <f>+H256+CF*F256*(1+($I256-1850)*slope/1000)+F256*hQc*COS(2*PI()*$I256/qbo+$L256)+F256*hQs*SIN(2*PI()*$I256/qbo+$L256)+F256*hCs*SIN(2*PI()*$I256/cw)+F256*hCc*COS(2*PI()*$I256/cw) +mix*F256*(hQc*COS(2*PI()*$I256/qbo+$L256)+hQs*SIN(2*PI()*$I256/qbo+$L256))*(hCs*SIN(2*PI()*$I256/cw)+hCc*COS(2*PI()*$I256/cw))</f>
        <v>-1.390718105958733</v>
      </c>
      <c r="K256">
        <f>fQc*COS(2*PI()*$I256/qbo+$L256)+fQs*SIN(2*PI()*$I256/qbo+$L256)+fCs*SIN(2*PI()*$I256/cw)+fCc*COS(2*PI()*$I256/cw)</f>
        <v>-2.1868140354568095</v>
      </c>
      <c r="L256">
        <f>+QMA*COS(2*PI()*$I256/QM+QMP)</f>
        <v>0.92023676616966232</v>
      </c>
      <c r="P256">
        <f t="shared" si="19"/>
        <v>1</v>
      </c>
    </row>
    <row r="257" spans="1:16" x14ac:dyDescent="0.25">
      <c r="A257" s="1"/>
      <c r="B257" t="s">
        <v>270</v>
      </c>
      <c r="C257" t="s">
        <v>24</v>
      </c>
      <c r="D257" s="3">
        <v>10.291666666666666</v>
      </c>
      <c r="E257" s="5">
        <f t="shared" si="15"/>
        <v>1896</v>
      </c>
      <c r="F257">
        <v>-0.38662999999999997</v>
      </c>
      <c r="G257">
        <f t="shared" si="16"/>
        <v>1.8875199999999999</v>
      </c>
      <c r="H257">
        <f t="shared" si="17"/>
        <v>1.8875199999999999</v>
      </c>
      <c r="I257" s="5">
        <f t="shared" si="18"/>
        <v>1896</v>
      </c>
      <c r="J257">
        <f>+H257+CF*F257*(1+($I257-1850)*slope/1000)+F257*hQc*COS(2*PI()*$I257/qbo+$L257)+F257*hQs*SIN(2*PI()*$I257/qbo+$L257)+F257*hCs*SIN(2*PI()*$I257/cw)+F257*hCc*COS(2*PI()*$I257/cw) +mix*F257*(hQc*COS(2*PI()*$I257/qbo+$L257)+hQs*SIN(2*PI()*$I257/qbo+$L257))*(hCs*SIN(2*PI()*$I257/cw)+hCc*COS(2*PI()*$I257/cw))</f>
        <v>0.84487922606855304</v>
      </c>
      <c r="K257">
        <f>fQc*COS(2*PI()*$I257/qbo+$L257)+fQs*SIN(2*PI()*$I257/qbo+$L257)+fCs*SIN(2*PI()*$I257/cw)+fCc*COS(2*PI()*$I257/cw)</f>
        <v>0.11808537879136249</v>
      </c>
      <c r="L257">
        <f>+QMA*COS(2*PI()*$I257/QM+QMP)</f>
        <v>0.93328631959064912</v>
      </c>
      <c r="P257">
        <f t="shared" si="19"/>
        <v>1</v>
      </c>
    </row>
    <row r="258" spans="1:16" x14ac:dyDescent="0.25">
      <c r="A258" s="1"/>
      <c r="B258" t="s">
        <v>271</v>
      </c>
      <c r="C258" t="s">
        <v>24</v>
      </c>
      <c r="D258" s="3">
        <v>10.333333333333334</v>
      </c>
      <c r="E258" s="5">
        <f t="shared" si="15"/>
        <v>1897</v>
      </c>
      <c r="F258">
        <v>1.3972899999999999</v>
      </c>
      <c r="G258">
        <f t="shared" si="16"/>
        <v>-3.03003</v>
      </c>
      <c r="H258">
        <f t="shared" si="17"/>
        <v>-3.03003</v>
      </c>
      <c r="I258" s="5">
        <f t="shared" si="18"/>
        <v>1897</v>
      </c>
      <c r="J258">
        <f>+H258+CF*F258*(1+($I258-1850)*slope/1000)+F258*hQc*COS(2*PI()*$I258/qbo+$L258)+F258*hQs*SIN(2*PI()*$I258/qbo+$L258)+F258*hCs*SIN(2*PI()*$I258/cw)+F258*hCc*COS(2*PI()*$I258/cw) +mix*F258*(hQc*COS(2*PI()*$I258/qbo+$L258)+hQs*SIN(2*PI()*$I258/qbo+$L258))*(hCs*SIN(2*PI()*$I258/cw)+hCc*COS(2*PI()*$I258/cw))</f>
        <v>5.6731164569406412E-2</v>
      </c>
      <c r="K258">
        <f>fQc*COS(2*PI()*$I258/qbo+$L258)+fQs*SIN(2*PI()*$I258/qbo+$L258)+fCs*SIN(2*PI()*$I258/cw)+fCc*COS(2*PI()*$I258/cw)</f>
        <v>0.40759045480235939</v>
      </c>
      <c r="L258">
        <f>+QMA*COS(2*PI()*$I258/QM+QMP)</f>
        <v>0.92853165404497984</v>
      </c>
      <c r="P258">
        <f t="shared" si="19"/>
        <v>1</v>
      </c>
    </row>
    <row r="259" spans="1:16" x14ac:dyDescent="0.25">
      <c r="A259" s="1"/>
      <c r="B259" t="s">
        <v>272</v>
      </c>
      <c r="C259" t="s">
        <v>24</v>
      </c>
      <c r="D259" s="3">
        <v>10.375</v>
      </c>
      <c r="E259" s="5">
        <f t="shared" si="15"/>
        <v>1898</v>
      </c>
      <c r="F259">
        <v>0.15118000000000001</v>
      </c>
      <c r="G259">
        <f t="shared" si="16"/>
        <v>-0.33862000000000037</v>
      </c>
      <c r="H259">
        <f t="shared" si="17"/>
        <v>-0.33862000000000037</v>
      </c>
      <c r="I259" s="5">
        <f t="shared" si="18"/>
        <v>1898</v>
      </c>
      <c r="J259">
        <f>+H259+CF*F259*(1+($I259-1850)*slope/1000)+F259*hQc*COS(2*PI()*$I259/qbo+$L259)+F259*hQs*SIN(2*PI()*$I259/qbo+$L259)+F259*hCs*SIN(2*PI()*$I259/cw)+F259*hCc*COS(2*PI()*$I259/cw) +mix*F259*(hQc*COS(2*PI()*$I259/qbo+$L259)+hQs*SIN(2*PI()*$I259/qbo+$L259))*(hCs*SIN(2*PI()*$I259/cw)+hCc*COS(2*PI()*$I259/cw))</f>
        <v>-0.34661430084669942</v>
      </c>
      <c r="K259">
        <f>fQc*COS(2*PI()*$I259/qbo+$L259)+fQs*SIN(2*PI()*$I259/qbo+$L259)+fCs*SIN(2*PI()*$I259/cw)+fCc*COS(2*PI()*$I259/cw)</f>
        <v>-1.8719393122623498</v>
      </c>
      <c r="L259">
        <f>+QMA*COS(2*PI()*$I259/QM+QMP)</f>
        <v>0.90606347385856534</v>
      </c>
      <c r="P259">
        <f t="shared" si="19"/>
        <v>1</v>
      </c>
    </row>
    <row r="260" spans="1:16" x14ac:dyDescent="0.25">
      <c r="A260" s="1"/>
      <c r="B260" t="s">
        <v>273</v>
      </c>
      <c r="C260" t="s">
        <v>24</v>
      </c>
      <c r="D260" s="3">
        <v>10.416666666666666</v>
      </c>
      <c r="E260" s="5">
        <f t="shared" si="15"/>
        <v>1899</v>
      </c>
      <c r="F260">
        <v>-1.4335500000000001</v>
      </c>
      <c r="G260">
        <f t="shared" si="16"/>
        <v>3.4573100000000005</v>
      </c>
      <c r="H260">
        <f t="shared" si="17"/>
        <v>3.4573100000000005</v>
      </c>
      <c r="I260" s="5">
        <f t="shared" si="18"/>
        <v>1899</v>
      </c>
      <c r="J260">
        <f>+H260+CF*F260*(1+($I260-1850)*slope/1000)+F260*hQc*COS(2*PI()*$I260/qbo+$L260)+F260*hQs*SIN(2*PI()*$I260/qbo+$L260)+F260*hCs*SIN(2*PI()*$I260/cw)+F260*hCc*COS(2*PI()*$I260/cw) +mix*F260*(hQc*COS(2*PI()*$I260/qbo+$L260)+hQs*SIN(2*PI()*$I260/qbo+$L260))*(hCs*SIN(2*PI()*$I260/cw)+hCc*COS(2*PI()*$I260/cw))</f>
        <v>8.2922836877470552</v>
      </c>
      <c r="K260">
        <f>fQc*COS(2*PI()*$I260/qbo+$L260)+fQs*SIN(2*PI()*$I260/qbo+$L260)+fCs*SIN(2*PI()*$I260/cw)+fCc*COS(2*PI()*$I260/cw)</f>
        <v>3.048074552798421</v>
      </c>
      <c r="L260">
        <f>+QMA*COS(2*PI()*$I260/QM+QMP)</f>
        <v>0.86631040247890168</v>
      </c>
      <c r="P260">
        <f t="shared" si="19"/>
        <v>1</v>
      </c>
    </row>
    <row r="261" spans="1:16" x14ac:dyDescent="0.25">
      <c r="A261" s="1"/>
      <c r="B261" s="4">
        <v>1</v>
      </c>
      <c r="C261" t="s">
        <v>24</v>
      </c>
      <c r="D261" s="3">
        <v>10.458333333333334</v>
      </c>
      <c r="E261" s="5">
        <f t="shared" si="15"/>
        <v>1900</v>
      </c>
      <c r="F261">
        <v>0.43902999999999998</v>
      </c>
      <c r="G261">
        <f t="shared" si="16"/>
        <v>-1.2742800000000001</v>
      </c>
      <c r="H261">
        <f t="shared" si="17"/>
        <v>-1.2742800000000001</v>
      </c>
      <c r="I261" s="5">
        <f t="shared" si="18"/>
        <v>1900</v>
      </c>
      <c r="J261">
        <f>+H261+CF*F261*(1+($I261-1850)*slope/1000)+F261*hQc*COS(2*PI()*$I261/qbo+$L261)+F261*hQs*SIN(2*PI()*$I261/qbo+$L261)+F261*hCs*SIN(2*PI()*$I261/cw)+F261*hCc*COS(2*PI()*$I261/cw) +mix*F261*(hQc*COS(2*PI()*$I261/qbo+$L261)+hQs*SIN(2*PI()*$I261/qbo+$L261))*(hCs*SIN(2*PI()*$I261/cw)+hCc*COS(2*PI()*$I261/cw))</f>
        <v>0.71593297943244583</v>
      </c>
      <c r="K261">
        <f>fQc*COS(2*PI()*$I261/qbo+$L261)+fQs*SIN(2*PI()*$I261/qbo+$L261)+fCs*SIN(2*PI()*$I261/cw)+fCc*COS(2*PI()*$I261/cw)</f>
        <v>-2.3387481455445269</v>
      </c>
      <c r="L261">
        <f>+QMA*COS(2*PI()*$I261/QM+QMP)</f>
        <v>0.81003080566423968</v>
      </c>
      <c r="P261">
        <f t="shared" si="19"/>
        <v>0</v>
      </c>
    </row>
    <row r="262" spans="1:16" x14ac:dyDescent="0.25">
      <c r="A262" s="1"/>
      <c r="B262" s="4">
        <v>367</v>
      </c>
      <c r="C262" t="s">
        <v>24</v>
      </c>
      <c r="D262" s="3">
        <v>10.5</v>
      </c>
      <c r="E262" s="5">
        <f t="shared" si="15"/>
        <v>1901</v>
      </c>
      <c r="F262">
        <v>1.0373300000000001</v>
      </c>
      <c r="G262">
        <f t="shared" si="16"/>
        <v>-2.6122100000000001</v>
      </c>
      <c r="H262">
        <f t="shared" si="17"/>
        <v>-2.6122100000000001</v>
      </c>
      <c r="I262" s="5">
        <f t="shared" si="18"/>
        <v>1901</v>
      </c>
      <c r="J262">
        <f>+H262+CF*F262*(1+($I262-1850)*slope/1000)+F262*hQc*COS(2*PI()*$I262/qbo+$L262)+F262*hQs*SIN(2*PI()*$I262/qbo+$L262)+F262*hCs*SIN(2*PI()*$I262/cw)+F262*hCc*COS(2*PI()*$I262/cw) +mix*F262*(hQc*COS(2*PI()*$I262/qbo+$L262)+hQs*SIN(2*PI()*$I262/qbo+$L262))*(hCs*SIN(2*PI()*$I262/cw)+hCc*COS(2*PI()*$I262/cw))</f>
        <v>-9.5878476910366928</v>
      </c>
      <c r="K262">
        <f>fQc*COS(2*PI()*$I262/qbo+$L262)+fQs*SIN(2*PI()*$I262/qbo+$L262)+fCs*SIN(2*PI()*$I262/cw)+fCc*COS(2*PI()*$I262/cw)</f>
        <v>2.6211101482927113</v>
      </c>
      <c r="L262">
        <f>+QMA*COS(2*PI()*$I262/QM+QMP)</f>
        <v>0.73829832420849573</v>
      </c>
      <c r="P262">
        <f t="shared" si="19"/>
        <v>0</v>
      </c>
    </row>
    <row r="263" spans="1:16" x14ac:dyDescent="0.25">
      <c r="A263" s="1"/>
      <c r="B263" s="4">
        <v>732</v>
      </c>
      <c r="C263" t="s">
        <v>24</v>
      </c>
      <c r="D263" s="3">
        <v>10.541666666666666</v>
      </c>
      <c r="E263" s="5">
        <f t="shared" si="15"/>
        <v>1902</v>
      </c>
      <c r="F263">
        <v>-0.97658</v>
      </c>
      <c r="G263">
        <f t="shared" si="16"/>
        <v>4.6636100000000003</v>
      </c>
      <c r="H263">
        <f t="shared" si="17"/>
        <v>4.6636100000000003</v>
      </c>
      <c r="I263" s="5">
        <f t="shared" si="18"/>
        <v>1902</v>
      </c>
      <c r="J263">
        <f>+H263+CF*F263*(1+($I263-1850)*slope/1000)+F263*hQc*COS(2*PI()*$I263/qbo+$L263)+F263*hQs*SIN(2*PI()*$I263/qbo+$L263)+F263*hCs*SIN(2*PI()*$I263/cw)+F263*hCc*COS(2*PI()*$I263/cw) +mix*F263*(hQc*COS(2*PI()*$I263/qbo+$L263)+hQs*SIN(2*PI()*$I263/qbo+$L263))*(hCs*SIN(2*PI()*$I263/cw)+hCc*COS(2*PI()*$I263/cw))</f>
        <v>4.0445421789700955</v>
      </c>
      <c r="K263">
        <f>fQc*COS(2*PI()*$I263/qbo+$L263)+fQs*SIN(2*PI()*$I263/qbo+$L263)+fCs*SIN(2*PI()*$I263/cw)+fCc*COS(2*PI()*$I263/cw)</f>
        <v>-0.84730124461588707</v>
      </c>
      <c r="L263">
        <f>+QMA*COS(2*PI()*$I263/QM+QMP)</f>
        <v>0.65248139219237777</v>
      </c>
      <c r="P263">
        <f t="shared" si="19"/>
        <v>0</v>
      </c>
    </row>
    <row r="264" spans="1:16" x14ac:dyDescent="0.25">
      <c r="A264" s="1"/>
      <c r="B264" s="4">
        <v>1097</v>
      </c>
      <c r="C264" t="s">
        <v>24</v>
      </c>
      <c r="D264" s="3">
        <v>10.583333333333334</v>
      </c>
      <c r="E264" s="5">
        <f t="shared" si="15"/>
        <v>1903</v>
      </c>
      <c r="F264">
        <v>1.6731199999999999</v>
      </c>
      <c r="G264">
        <f t="shared" si="16"/>
        <v>-6.1806000000000001</v>
      </c>
      <c r="H264">
        <f t="shared" si="17"/>
        <v>-6.1806000000000001</v>
      </c>
      <c r="I264" s="5">
        <f t="shared" si="18"/>
        <v>1903</v>
      </c>
      <c r="J264">
        <f>+H264+CF*F264*(1+($I264-1850)*slope/1000)+F264*hQc*COS(2*PI()*$I264/qbo+$L264)+F264*hQs*SIN(2*PI()*$I264/qbo+$L264)+F264*hCs*SIN(2*PI()*$I264/cw)+F264*hCc*COS(2*PI()*$I264/cw) +mix*F264*(hQc*COS(2*PI()*$I264/qbo+$L264)+hQs*SIN(2*PI()*$I264/qbo+$L264))*(hCs*SIN(2*PI()*$I264/cw)+hCc*COS(2*PI()*$I264/cw))</f>
        <v>-5.9120536635759704</v>
      </c>
      <c r="K264">
        <f>fQc*COS(2*PI()*$I264/qbo+$L264)+fQs*SIN(2*PI()*$I264/qbo+$L264)+fCs*SIN(2*PI()*$I264/cw)+fCc*COS(2*PI()*$I264/cw)</f>
        <v>-0.83346959391059172</v>
      </c>
      <c r="L264">
        <f>+QMA*COS(2*PI()*$I264/QM+QMP)</f>
        <v>0.55421713149007801</v>
      </c>
      <c r="P264">
        <f t="shared" si="19"/>
        <v>1</v>
      </c>
    </row>
    <row r="265" spans="1:16" x14ac:dyDescent="0.25">
      <c r="A265" s="1"/>
      <c r="B265" s="4">
        <v>1462</v>
      </c>
      <c r="C265" t="s">
        <v>24</v>
      </c>
      <c r="D265" s="3">
        <v>10.625</v>
      </c>
      <c r="E265" s="5">
        <f t="shared" si="15"/>
        <v>1904</v>
      </c>
      <c r="F265">
        <v>-1.85778</v>
      </c>
      <c r="G265">
        <f t="shared" si="16"/>
        <v>7.8058199999999998</v>
      </c>
      <c r="H265">
        <f t="shared" si="17"/>
        <v>7.8058199999999998</v>
      </c>
      <c r="I265" s="5">
        <f t="shared" si="18"/>
        <v>1904</v>
      </c>
      <c r="J265">
        <f>+H265+CF*F265*(1+($I265-1850)*slope/1000)+F265*hQc*COS(2*PI()*$I265/qbo+$L265)+F265*hQs*SIN(2*PI()*$I265/qbo+$L265)+F265*hCs*SIN(2*PI()*$I265/cw)+F265*hCc*COS(2*PI()*$I265/cw) +mix*F265*(hQc*COS(2*PI()*$I265/qbo+$L265)+hQs*SIN(2*PI()*$I265/qbo+$L265))*(hCs*SIN(2*PI()*$I265/cw)+hCc*COS(2*PI()*$I265/cw))</f>
        <v>2.1023228578999689</v>
      </c>
      <c r="K265">
        <f>fQc*COS(2*PI()*$I265/qbo+$L265)+fQs*SIN(2*PI()*$I265/qbo+$L265)+fCs*SIN(2*PI()*$I265/cw)+fCc*COS(2*PI()*$I265/cw)</f>
        <v>1.5500831944774396</v>
      </c>
      <c r="L265">
        <f>+QMA*COS(2*PI()*$I265/QM+QMP)</f>
        <v>0.44538012054276305</v>
      </c>
      <c r="P265">
        <f t="shared" si="19"/>
        <v>1</v>
      </c>
    </row>
    <row r="266" spans="1:16" x14ac:dyDescent="0.25">
      <c r="A266" s="1"/>
      <c r="B266" s="4">
        <v>1828</v>
      </c>
      <c r="C266" t="s">
        <v>24</v>
      </c>
      <c r="D266" s="3">
        <v>10.666666666666666</v>
      </c>
      <c r="E266" s="5">
        <f t="shared" si="15"/>
        <v>1905</v>
      </c>
      <c r="F266">
        <v>2.4171399999999998</v>
      </c>
      <c r="G266">
        <f t="shared" si="16"/>
        <v>-4.6000300000000003</v>
      </c>
      <c r="H266">
        <f t="shared" si="17"/>
        <v>-4.6000300000000003</v>
      </c>
      <c r="I266" s="5">
        <f t="shared" si="18"/>
        <v>1905</v>
      </c>
      <c r="J266">
        <f>+H266+CF*F266*(1+($I266-1850)*slope/1000)+F266*hQc*COS(2*PI()*$I266/qbo+$L266)+F266*hQs*SIN(2*PI()*$I266/qbo+$L266)+F266*hCs*SIN(2*PI()*$I266/cw)+F266*hCc*COS(2*PI()*$I266/cw) +mix*F266*(hQc*COS(2*PI()*$I266/qbo+$L266)+hQs*SIN(2*PI()*$I266/qbo+$L266))*(hCs*SIN(2*PI()*$I266/cw)+hCc*COS(2*PI()*$I266/cw))</f>
        <v>-11.939947569095006</v>
      </c>
      <c r="K266">
        <f>fQc*COS(2*PI()*$I266/qbo+$L266)+fQs*SIN(2*PI()*$I266/qbo+$L266)+fCs*SIN(2*PI()*$I266/cw)+fCc*COS(2*PI()*$I266/cw)</f>
        <v>-3.2732441711816822</v>
      </c>
      <c r="L266">
        <f>+QMA*COS(2*PI()*$I266/QM+QMP)</f>
        <v>0.32804663319470423</v>
      </c>
      <c r="P266">
        <f t="shared" si="19"/>
        <v>1</v>
      </c>
    </row>
    <row r="267" spans="1:16" x14ac:dyDescent="0.25">
      <c r="A267" s="1"/>
      <c r="B267" s="4">
        <v>2193</v>
      </c>
      <c r="C267" t="s">
        <v>24</v>
      </c>
      <c r="D267" s="3">
        <v>10.708333333333334</v>
      </c>
      <c r="E267" s="5">
        <f t="shared" si="15"/>
        <v>1906</v>
      </c>
      <c r="F267">
        <v>2.0920299999999998</v>
      </c>
      <c r="G267">
        <f t="shared" si="16"/>
        <v>-1.3063799999999999</v>
      </c>
      <c r="H267">
        <f t="shared" si="17"/>
        <v>-1.3063799999999999</v>
      </c>
      <c r="I267" s="5">
        <f t="shared" si="18"/>
        <v>1906</v>
      </c>
      <c r="J267">
        <f>+H267+CF*F267*(1+($I267-1850)*slope/1000)+F267*hQc*COS(2*PI()*$I267/qbo+$L267)+F267*hQs*SIN(2*PI()*$I267/qbo+$L267)+F267*hCs*SIN(2*PI()*$I267/cw)+F267*hCc*COS(2*PI()*$I267/cw) +mix*F267*(hQc*COS(2*PI()*$I267/qbo+$L267)+hQs*SIN(2*PI()*$I267/qbo+$L267))*(hCs*SIN(2*PI()*$I267/cw)+hCc*COS(2*PI()*$I267/cw))</f>
        <v>8.3413722789088975</v>
      </c>
      <c r="K267">
        <f>fQc*COS(2*PI()*$I267/qbo+$L267)+fQs*SIN(2*PI()*$I267/qbo+$L267)+fCs*SIN(2*PI()*$I267/cw)+fCc*COS(2*PI()*$I267/cw)</f>
        <v>2.4384949470075572</v>
      </c>
      <c r="L267">
        <f>+QMA*COS(2*PI()*$I267/QM+QMP)</f>
        <v>0.20445502980436311</v>
      </c>
      <c r="P267">
        <f t="shared" si="19"/>
        <v>1</v>
      </c>
    </row>
    <row r="268" spans="1:16" x14ac:dyDescent="0.25">
      <c r="A268" s="1"/>
      <c r="B268" s="4">
        <v>2558</v>
      </c>
      <c r="C268" t="s">
        <v>24</v>
      </c>
      <c r="D268" s="3">
        <v>10.75</v>
      </c>
      <c r="E268" s="5">
        <f t="shared" si="15"/>
        <v>1907</v>
      </c>
      <c r="F268">
        <v>0.46054</v>
      </c>
      <c r="G268">
        <f t="shared" si="16"/>
        <v>1.47526</v>
      </c>
      <c r="H268">
        <f t="shared" si="17"/>
        <v>1.47526</v>
      </c>
      <c r="I268" s="5">
        <f t="shared" si="18"/>
        <v>1907</v>
      </c>
      <c r="J268">
        <f>+H268+CF*F268*(1+($I268-1850)*slope/1000)+F268*hQc*COS(2*PI()*$I268/qbo+$L268)+F268*hQs*SIN(2*PI()*$I268/qbo+$L268)+F268*hCs*SIN(2*PI()*$I268/cw)+F268*hCc*COS(2*PI()*$I268/cw) +mix*F268*(hQc*COS(2*PI()*$I268/qbo+$L268)+hQs*SIN(2*PI()*$I268/qbo+$L268))*(hCs*SIN(2*PI()*$I268/cw)+hCc*COS(2*PI()*$I268/cw))</f>
        <v>1.5022628685970592</v>
      </c>
      <c r="K268">
        <f>fQc*COS(2*PI()*$I268/qbo+$L268)+fQs*SIN(2*PI()*$I268/qbo+$L268)+fCs*SIN(2*PI()*$I268/cw)+fCc*COS(2*PI()*$I268/cw)</f>
        <v>-1.6082562034501449</v>
      </c>
      <c r="L268">
        <f>+QMA*COS(2*PI()*$I268/QM+QMP)</f>
        <v>7.6963056245713604E-2</v>
      </c>
      <c r="P268">
        <f t="shared" si="19"/>
        <v>0</v>
      </c>
    </row>
    <row r="269" spans="1:16" x14ac:dyDescent="0.25">
      <c r="A269" s="1"/>
      <c r="B269" s="4">
        <v>2923</v>
      </c>
      <c r="C269" t="s">
        <v>24</v>
      </c>
      <c r="D269" s="3">
        <v>10.791666666666666</v>
      </c>
      <c r="E269" s="5">
        <f t="shared" ref="E269:E332" si="20">+E268+1</f>
        <v>1908</v>
      </c>
      <c r="F269">
        <v>0.30431000000000002</v>
      </c>
      <c r="G269">
        <f t="shared" ref="G269:G332" si="21">+(F270-F269)-(F269-F268)</f>
        <v>-1.2863600000000002</v>
      </c>
      <c r="H269">
        <f t="shared" ref="H269:H332" si="22">+G269</f>
        <v>-1.2863600000000002</v>
      </c>
      <c r="I269" s="5">
        <f t="shared" si="18"/>
        <v>1908</v>
      </c>
      <c r="J269">
        <f>+H269+CF*F269*(1+($I269-1850)*slope/1000)+F269*hQc*COS(2*PI()*$I269/qbo+$L269)+F269*hQs*SIN(2*PI()*$I269/qbo+$L269)+F269*hCs*SIN(2*PI()*$I269/cw)+F269*hCc*COS(2*PI()*$I269/cw) +mix*F269*(hQc*COS(2*PI()*$I269/qbo+$L269)+hQs*SIN(2*PI()*$I269/qbo+$L269))*(hCs*SIN(2*PI()*$I269/cw)+hCc*COS(2*PI()*$I269/cw))</f>
        <v>-1.6287771115891947</v>
      </c>
      <c r="K269">
        <f>fQc*COS(2*PI()*$I269/qbo+$L269)+fQs*SIN(2*PI()*$I269/qbo+$L269)+fCs*SIN(2*PI()*$I269/cw)+fCc*COS(2*PI()*$I269/cw)</f>
        <v>0.52189483308616147</v>
      </c>
      <c r="L269">
        <f>+QMA*COS(2*PI()*$I269/QM+QMP)</f>
        <v>-5.1997134597414139E-2</v>
      </c>
      <c r="P269">
        <f t="shared" si="19"/>
        <v>0</v>
      </c>
    </row>
    <row r="270" spans="1:16" x14ac:dyDescent="0.25">
      <c r="A270" s="1"/>
      <c r="B270" s="4">
        <v>3289</v>
      </c>
      <c r="C270" t="s">
        <v>24</v>
      </c>
      <c r="D270" s="3">
        <v>10.833333333333334</v>
      </c>
      <c r="E270" s="5">
        <f t="shared" si="20"/>
        <v>1909</v>
      </c>
      <c r="F270">
        <v>-1.13828</v>
      </c>
      <c r="G270">
        <f t="shared" si="21"/>
        <v>0.48252000000000006</v>
      </c>
      <c r="H270">
        <f t="shared" si="22"/>
        <v>0.48252000000000006</v>
      </c>
      <c r="I270" s="5">
        <f t="shared" ref="I270:I333" si="23">+E270</f>
        <v>1909</v>
      </c>
      <c r="J270">
        <f>+H270+CF*F270*(1+($I270-1850)*slope/1000)+F270*hQc*COS(2*PI()*$I270/qbo+$L270)+F270*hQs*SIN(2*PI()*$I270/qbo+$L270)+F270*hCs*SIN(2*PI()*$I270/cw)+F270*hCc*COS(2*PI()*$I270/cw) +mix*F270*(hQc*COS(2*PI()*$I270/qbo+$L270)+hQs*SIN(2*PI()*$I270/qbo+$L270))*(hCs*SIN(2*PI()*$I270/cw)+hCc*COS(2*PI()*$I270/cw))</f>
        <v>5.6725409950553427</v>
      </c>
      <c r="K270">
        <f>fQc*COS(2*PI()*$I270/qbo+$L270)+fQs*SIN(2*PI()*$I270/qbo+$L270)+fCs*SIN(2*PI()*$I270/cw)+fCc*COS(2*PI()*$I270/cw)</f>
        <v>1.9642219273042985</v>
      </c>
      <c r="L270">
        <f>+QMA*COS(2*PI()*$I270/QM+QMP)</f>
        <v>-0.17996538079228316</v>
      </c>
      <c r="P270">
        <f t="shared" ref="P270:P333" si="24">+IF(J270*K270&gt;0,1, 0)</f>
        <v>1</v>
      </c>
    </row>
    <row r="271" spans="1:16" x14ac:dyDescent="0.25">
      <c r="A271" s="1"/>
      <c r="B271" s="4">
        <v>3654</v>
      </c>
      <c r="C271" t="s">
        <v>24</v>
      </c>
      <c r="D271" s="3">
        <v>10.875</v>
      </c>
      <c r="E271" s="5">
        <f t="shared" si="20"/>
        <v>1910</v>
      </c>
      <c r="F271">
        <v>-2.0983499999999999</v>
      </c>
      <c r="G271">
        <f t="shared" si="21"/>
        <v>2.6539299999999999</v>
      </c>
      <c r="H271">
        <f t="shared" si="22"/>
        <v>2.6539299999999999</v>
      </c>
      <c r="I271" s="5">
        <f t="shared" si="23"/>
        <v>1910</v>
      </c>
      <c r="J271">
        <f>+H271+CF*F271*(1+($I271-1850)*slope/1000)+F271*hQc*COS(2*PI()*$I271/qbo+$L271)+F271*hQs*SIN(2*PI()*$I271/qbo+$L271)+F271*hCs*SIN(2*PI()*$I271/cw)+F271*hCc*COS(2*PI()*$I271/cw) +mix*F271*(hQc*COS(2*PI()*$I271/qbo+$L271)+hQs*SIN(2*PI()*$I271/qbo+$L271))*(hCs*SIN(2*PI()*$I271/cw)+hCc*COS(2*PI()*$I271/cw))</f>
        <v>-5.697382045715492</v>
      </c>
      <c r="K271">
        <f>fQc*COS(2*PI()*$I271/qbo+$L271)+fQs*SIN(2*PI()*$I271/qbo+$L271)+fCs*SIN(2*PI()*$I271/cw)+fCc*COS(2*PI()*$I271/cw)</f>
        <v>-2.2107906096180421</v>
      </c>
      <c r="L271">
        <f>+QMA*COS(2*PI()*$I271/QM+QMP)</f>
        <v>-0.30450044364482176</v>
      </c>
      <c r="P271">
        <f t="shared" si="24"/>
        <v>1</v>
      </c>
    </row>
    <row r="272" spans="1:16" x14ac:dyDescent="0.25">
      <c r="A272" s="1"/>
      <c r="B272" s="4">
        <v>4019</v>
      </c>
      <c r="C272" t="s">
        <v>24</v>
      </c>
      <c r="D272" s="3">
        <v>10.916666666666666</v>
      </c>
      <c r="E272" s="5">
        <f t="shared" si="20"/>
        <v>1911</v>
      </c>
      <c r="F272">
        <v>-0.40449000000000002</v>
      </c>
      <c r="G272">
        <f t="shared" si="21"/>
        <v>0.65920000000000023</v>
      </c>
      <c r="H272">
        <f t="shared" si="22"/>
        <v>0.65920000000000023</v>
      </c>
      <c r="I272" s="5">
        <f t="shared" si="23"/>
        <v>1911</v>
      </c>
      <c r="J272">
        <f>+H272+CF*F272*(1+($I272-1850)*slope/1000)+F272*hQc*COS(2*PI()*$I272/qbo+$L272)+F272*hQs*SIN(2*PI()*$I272/qbo+$L272)+F272*hCs*SIN(2*PI()*$I272/cw)+F272*hCc*COS(2*PI()*$I272/cw) +mix*F272*(hQc*COS(2*PI()*$I272/qbo+$L272)+hQs*SIN(2*PI()*$I272/qbo+$L272))*(hCs*SIN(2*PI()*$I272/cw)+hCc*COS(2*PI()*$I272/cw))</f>
        <v>2.5937512373692382</v>
      </c>
      <c r="K272">
        <f>fQc*COS(2*PI()*$I272/qbo+$L272)+fQs*SIN(2*PI()*$I272/qbo+$L272)+fCs*SIN(2*PI()*$I272/cw)+fCc*COS(2*PI()*$I272/cw)</f>
        <v>2.9140686937628146</v>
      </c>
      <c r="L272">
        <f>+QMA*COS(2*PI()*$I272/QM+QMP)</f>
        <v>-0.42322657899001814</v>
      </c>
      <c r="P272">
        <f t="shared" si="24"/>
        <v>1</v>
      </c>
    </row>
    <row r="273" spans="1:16" x14ac:dyDescent="0.25">
      <c r="A273" s="1"/>
      <c r="B273" s="4">
        <v>4384</v>
      </c>
      <c r="C273" t="s">
        <v>24</v>
      </c>
      <c r="D273" s="3">
        <v>10.958333333333334</v>
      </c>
      <c r="E273" s="5">
        <f t="shared" si="20"/>
        <v>1912</v>
      </c>
      <c r="F273">
        <v>1.9485699999999999</v>
      </c>
      <c r="G273">
        <f t="shared" si="21"/>
        <v>-3.4008099999999999</v>
      </c>
      <c r="H273">
        <f t="shared" si="22"/>
        <v>-3.4008099999999999</v>
      </c>
      <c r="I273" s="5">
        <f t="shared" si="23"/>
        <v>1912</v>
      </c>
      <c r="J273">
        <f>+H273+CF*F273*(1+($I273-1850)*slope/1000)+F273*hQc*COS(2*PI()*$I273/qbo+$L273)+F273*hQs*SIN(2*PI()*$I273/qbo+$L273)+F273*hCs*SIN(2*PI()*$I273/cw)+F273*hCc*COS(2*PI()*$I273/cw) +mix*F273*(hQc*COS(2*PI()*$I273/qbo+$L273)+hQs*SIN(2*PI()*$I273/qbo+$L273))*(hCs*SIN(2*PI()*$I273/cw)+hCc*COS(2*PI()*$I273/cw))</f>
        <v>-3.2014195047385963</v>
      </c>
      <c r="K273">
        <f>fQc*COS(2*PI()*$I273/qbo+$L273)+fQs*SIN(2*PI()*$I273/qbo+$L273)+fCs*SIN(2*PI()*$I273/cw)+fCc*COS(2*PI()*$I273/cw)</f>
        <v>-2.5004043978390897</v>
      </c>
      <c r="L273">
        <f>+QMA*COS(2*PI()*$I273/QM+QMP)</f>
        <v>-0.53387885904909738</v>
      </c>
      <c r="P273">
        <f t="shared" si="24"/>
        <v>1</v>
      </c>
    </row>
    <row r="274" spans="1:16" x14ac:dyDescent="0.25">
      <c r="A274" s="1"/>
      <c r="B274" s="4">
        <v>4750</v>
      </c>
      <c r="C274" t="s">
        <v>24</v>
      </c>
      <c r="D274" s="3">
        <v>11</v>
      </c>
      <c r="E274" s="5">
        <f t="shared" si="20"/>
        <v>1913</v>
      </c>
      <c r="F274">
        <v>0.90081999999999995</v>
      </c>
      <c r="G274">
        <f t="shared" si="21"/>
        <v>1.9676</v>
      </c>
      <c r="H274">
        <f t="shared" si="22"/>
        <v>1.9676</v>
      </c>
      <c r="I274" s="5">
        <f t="shared" si="23"/>
        <v>1913</v>
      </c>
      <c r="J274">
        <f>+H274+CF*F274*(1+($I274-1850)*slope/1000)+F274*hQc*COS(2*PI()*$I274/qbo+$L274)+F274*hQs*SIN(2*PI()*$I274/qbo+$L274)+F274*hCs*SIN(2*PI()*$I274/cw)+F274*hCc*COS(2*PI()*$I274/cw) +mix*F274*(hQc*COS(2*PI()*$I274/qbo+$L274)+hQs*SIN(2*PI()*$I274/qbo+$L274))*(hCs*SIN(2*PI()*$I274/cw)+hCc*COS(2*PI()*$I274/cw))</f>
        <v>4.0151209477065057</v>
      </c>
      <c r="K274">
        <f>fQc*COS(2*PI()*$I274/qbo+$L274)+fQs*SIN(2*PI()*$I274/qbo+$L274)+fCs*SIN(2*PI()*$I274/cw)+fCc*COS(2*PI()*$I274/cw)</f>
        <v>0.45320238562222448</v>
      </c>
      <c r="L274">
        <f>+QMA*COS(2*PI()*$I274/QM+QMP)</f>
        <v>-0.63434638025275136</v>
      </c>
      <c r="P274">
        <f t="shared" si="24"/>
        <v>1</v>
      </c>
    </row>
    <row r="275" spans="1:16" x14ac:dyDescent="0.25">
      <c r="A275" s="1"/>
      <c r="B275" s="4">
        <v>5115</v>
      </c>
      <c r="C275" t="s">
        <v>24</v>
      </c>
      <c r="D275" s="3">
        <v>11.041666666666666</v>
      </c>
      <c r="E275" s="5">
        <f t="shared" si="20"/>
        <v>1914</v>
      </c>
      <c r="F275">
        <v>1.82067</v>
      </c>
      <c r="G275">
        <f t="shared" si="21"/>
        <v>-0.67032000000000025</v>
      </c>
      <c r="H275">
        <f t="shared" si="22"/>
        <v>-0.67032000000000025</v>
      </c>
      <c r="I275" s="5">
        <f t="shared" si="23"/>
        <v>1914</v>
      </c>
      <c r="J275">
        <f>+H275+CF*F275*(1+($I275-1850)*slope/1000)+F275*hQc*COS(2*PI()*$I275/qbo+$L275)+F275*hQs*SIN(2*PI()*$I275/qbo+$L275)+F275*hCs*SIN(2*PI()*$I275/cw)+F275*hCc*COS(2*PI()*$I275/cw) +mix*F275*(hQc*COS(2*PI()*$I275/qbo+$L275)+hQs*SIN(2*PI()*$I275/qbo+$L275))*(hCs*SIN(2*PI()*$I275/cw)+hCc*COS(2*PI()*$I275/cw))</f>
        <v>3.3616768592472415</v>
      </c>
      <c r="K275">
        <f>fQc*COS(2*PI()*$I275/qbo+$L275)+fQs*SIN(2*PI()*$I275/qbo+$L275)+fCs*SIN(2*PI()*$I275/cw)+fCc*COS(2*PI()*$I275/cw)</f>
        <v>0.15549895353971127</v>
      </c>
      <c r="L275">
        <f>+QMA*COS(2*PI()*$I275/QM+QMP)</f>
        <v>-0.72271253275776215</v>
      </c>
      <c r="P275">
        <f t="shared" si="24"/>
        <v>1</v>
      </c>
    </row>
    <row r="276" spans="1:16" x14ac:dyDescent="0.25">
      <c r="A276" s="1"/>
      <c r="B276" s="4">
        <v>5480</v>
      </c>
      <c r="C276" t="s">
        <v>24</v>
      </c>
      <c r="D276" s="3">
        <v>11.083333333333334</v>
      </c>
      <c r="E276" s="5">
        <f t="shared" si="20"/>
        <v>1915</v>
      </c>
      <c r="F276">
        <v>2.0701999999999998</v>
      </c>
      <c r="G276">
        <f t="shared" si="21"/>
        <v>-2.86402</v>
      </c>
      <c r="H276">
        <f t="shared" si="22"/>
        <v>-2.86402</v>
      </c>
      <c r="I276" s="5">
        <f t="shared" si="23"/>
        <v>1915</v>
      </c>
      <c r="J276">
        <f>+H276+CF*F276*(1+($I276-1850)*slope/1000)+F276*hQc*COS(2*PI()*$I276/qbo+$L276)+F276*hQs*SIN(2*PI()*$I276/qbo+$L276)+F276*hCs*SIN(2*PI()*$I276/cw)+F276*hCc*COS(2*PI()*$I276/cw) +mix*F276*(hQc*COS(2*PI()*$I276/qbo+$L276)+hQs*SIN(2*PI()*$I276/qbo+$L276))*(hCs*SIN(2*PI()*$I276/cw)+hCc*COS(2*PI()*$I276/cw))</f>
        <v>-5.1971390337429373</v>
      </c>
      <c r="K276">
        <f>fQc*COS(2*PI()*$I276/qbo+$L276)+fQs*SIN(2*PI()*$I276/qbo+$L276)+fCs*SIN(2*PI()*$I276/cw)+fCc*COS(2*PI()*$I276/cw)</f>
        <v>-2.1483776006204551</v>
      </c>
      <c r="L276">
        <f>+QMA*COS(2*PI()*$I276/QM+QMP)</f>
        <v>-0.79729156344056995</v>
      </c>
      <c r="P276">
        <f t="shared" si="24"/>
        <v>1</v>
      </c>
    </row>
    <row r="277" spans="1:16" x14ac:dyDescent="0.25">
      <c r="A277" s="1"/>
      <c r="B277" s="4">
        <v>5845</v>
      </c>
      <c r="C277" t="s">
        <v>24</v>
      </c>
      <c r="D277" s="3">
        <v>11.125</v>
      </c>
      <c r="E277" s="5">
        <f t="shared" si="20"/>
        <v>1916</v>
      </c>
      <c r="F277">
        <v>-0.54429000000000005</v>
      </c>
      <c r="G277">
        <f t="shared" si="21"/>
        <v>1.9921000000000002</v>
      </c>
      <c r="H277">
        <f t="shared" si="22"/>
        <v>1.9921000000000002</v>
      </c>
      <c r="I277" s="5">
        <f t="shared" si="23"/>
        <v>1916</v>
      </c>
      <c r="J277">
        <f>+H277+CF*F277*(1+($I277-1850)*slope/1000)+F277*hQc*COS(2*PI()*$I277/qbo+$L277)+F277*hQs*SIN(2*PI()*$I277/qbo+$L277)+F277*hCs*SIN(2*PI()*$I277/cw)+F277*hCc*COS(2*PI()*$I277/cw) +mix*F277*(hQc*COS(2*PI()*$I277/qbo+$L277)+hQs*SIN(2*PI()*$I277/qbo+$L277))*(hCs*SIN(2*PI()*$I277/cw)+hCc*COS(2*PI()*$I277/cw))</f>
        <v>2.1320958639454575</v>
      </c>
      <c r="K277">
        <f>fQc*COS(2*PI()*$I277/qbo+$L277)+fQs*SIN(2*PI()*$I277/qbo+$L277)+fCs*SIN(2*PI()*$I277/cw)+fCc*COS(2*PI()*$I277/cw)</f>
        <v>2.871961497704846</v>
      </c>
      <c r="L277">
        <f>+QMA*COS(2*PI()*$I277/QM+QMP)</f>
        <v>-0.85666073485751149</v>
      </c>
      <c r="P277">
        <f t="shared" si="24"/>
        <v>1</v>
      </c>
    </row>
    <row r="278" spans="1:16" x14ac:dyDescent="0.25">
      <c r="A278" s="1"/>
      <c r="B278" s="4">
        <v>6211</v>
      </c>
      <c r="C278" t="s">
        <v>24</v>
      </c>
      <c r="D278" s="3">
        <v>11.166666666666666</v>
      </c>
      <c r="E278" s="5">
        <f t="shared" si="20"/>
        <v>1917</v>
      </c>
      <c r="F278">
        <v>-1.1666799999999999</v>
      </c>
      <c r="G278">
        <f t="shared" si="21"/>
        <v>9.9349999999999716E-2</v>
      </c>
      <c r="H278">
        <f t="shared" si="22"/>
        <v>9.9349999999999716E-2</v>
      </c>
      <c r="I278" s="5">
        <f t="shared" si="23"/>
        <v>1917</v>
      </c>
      <c r="J278">
        <f>+H278+CF*F278*(1+($I278-1850)*slope/1000)+F278*hQc*COS(2*PI()*$I278/qbo+$L278)+F278*hQs*SIN(2*PI()*$I278/qbo+$L278)+F278*hCs*SIN(2*PI()*$I278/cw)+F278*hCc*COS(2*PI()*$I278/cw) +mix*F278*(hQc*COS(2*PI()*$I278/qbo+$L278)+hQs*SIN(2*PI()*$I278/qbo+$L278))*(hCs*SIN(2*PI()*$I278/cw)+hCc*COS(2*PI()*$I278/cw))</f>
        <v>-3.3807851257772139</v>
      </c>
      <c r="K278">
        <f>fQc*COS(2*PI()*$I278/qbo+$L278)+fQs*SIN(2*PI()*$I278/qbo+$L278)+fCs*SIN(2*PI()*$I278/cw)+fCc*COS(2*PI()*$I278/cw)</f>
        <v>-2.4060540403801318</v>
      </c>
      <c r="L278">
        <f>+QMA*COS(2*PI()*$I278/QM+QMP)</f>
        <v>-0.899687466678607</v>
      </c>
      <c r="P278">
        <f t="shared" si="24"/>
        <v>1</v>
      </c>
    </row>
    <row r="279" spans="1:16" x14ac:dyDescent="0.25">
      <c r="A279" s="1"/>
      <c r="B279" s="4">
        <v>6576</v>
      </c>
      <c r="C279" t="s">
        <v>24</v>
      </c>
      <c r="D279" s="3">
        <v>11.208333333333334</v>
      </c>
      <c r="E279" s="5">
        <f t="shared" si="20"/>
        <v>1918</v>
      </c>
      <c r="F279">
        <v>-1.6897200000000001</v>
      </c>
      <c r="G279">
        <f t="shared" si="21"/>
        <v>4.5624900000000004</v>
      </c>
      <c r="H279">
        <f t="shared" si="22"/>
        <v>4.5624900000000004</v>
      </c>
      <c r="I279" s="5">
        <f t="shared" si="23"/>
        <v>1918</v>
      </c>
      <c r="J279">
        <f>+H279+CF*F279*(1+($I279-1850)*slope/1000)+F279*hQc*COS(2*PI()*$I279/qbo+$L279)+F279*hQs*SIN(2*PI()*$I279/qbo+$L279)+F279*hCs*SIN(2*PI()*$I279/cw)+F279*hCc*COS(2*PI()*$I279/cw) +mix*F279*(hQc*COS(2*PI()*$I279/qbo+$L279)+hQs*SIN(2*PI()*$I279/qbo+$L279))*(hCs*SIN(2*PI()*$I279/cw)+hCc*COS(2*PI()*$I279/cw))</f>
        <v>16.266209178287099</v>
      </c>
      <c r="K279">
        <f>fQc*COS(2*PI()*$I279/qbo+$L279)+fQs*SIN(2*PI()*$I279/qbo+$L279)+fCs*SIN(2*PI()*$I279/cw)+fCc*COS(2*PI()*$I279/cw)</f>
        <v>2.7523751772504217</v>
      </c>
      <c r="L279">
        <f>+QMA*COS(2*PI()*$I279/QM+QMP)</f>
        <v>-0.925550941820522</v>
      </c>
      <c r="P279">
        <f t="shared" si="24"/>
        <v>1</v>
      </c>
    </row>
    <row r="280" spans="1:16" x14ac:dyDescent="0.25">
      <c r="A280" s="1"/>
      <c r="B280" s="4">
        <v>6941</v>
      </c>
      <c r="C280" t="s">
        <v>24</v>
      </c>
      <c r="D280" s="3">
        <v>11.25</v>
      </c>
      <c r="E280" s="5">
        <f t="shared" si="20"/>
        <v>1919</v>
      </c>
      <c r="F280">
        <v>2.3497300000000001</v>
      </c>
      <c r="G280">
        <f t="shared" si="21"/>
        <v>-4.90611</v>
      </c>
      <c r="H280">
        <f t="shared" si="22"/>
        <v>-4.90611</v>
      </c>
      <c r="I280" s="5">
        <f t="shared" si="23"/>
        <v>1919</v>
      </c>
      <c r="J280">
        <f>+H280+CF*F280*(1+($I280-1850)*slope/1000)+F280*hQc*COS(2*PI()*$I280/qbo+$L280)+F280*hQs*SIN(2*PI()*$I280/qbo+$L280)+F280*hCs*SIN(2*PI()*$I280/cw)+F280*hCc*COS(2*PI()*$I280/cw) +mix*F280*(hQc*COS(2*PI()*$I280/qbo+$L280)+hQs*SIN(2*PI()*$I280/qbo+$L280))*(hCs*SIN(2*PI()*$I280/cw)+hCc*COS(2*PI()*$I280/cw))</f>
        <v>-2.1927505757116679</v>
      </c>
      <c r="K280">
        <f>fQc*COS(2*PI()*$I280/qbo+$L280)+fQs*SIN(2*PI()*$I280/qbo+$L280)+fCs*SIN(2*PI()*$I280/cw)+fCc*COS(2*PI()*$I280/cw)</f>
        <v>-0.89648238931884161</v>
      </c>
      <c r="L280">
        <f>+QMA*COS(2*PI()*$I280/QM+QMP)</f>
        <v>-0.93375776510002129</v>
      </c>
      <c r="P280">
        <f t="shared" si="24"/>
        <v>1</v>
      </c>
    </row>
    <row r="281" spans="1:16" x14ac:dyDescent="0.25">
      <c r="A281" s="1"/>
      <c r="B281" s="4">
        <v>7306</v>
      </c>
      <c r="C281" t="s">
        <v>24</v>
      </c>
      <c r="D281" s="3">
        <v>11.291666666666666</v>
      </c>
      <c r="E281" s="5">
        <f t="shared" si="20"/>
        <v>1920</v>
      </c>
      <c r="F281">
        <v>1.4830700000000001</v>
      </c>
      <c r="G281">
        <f t="shared" si="21"/>
        <v>-1.3225099999999999</v>
      </c>
      <c r="H281">
        <f t="shared" si="22"/>
        <v>-1.3225099999999999</v>
      </c>
      <c r="I281" s="5">
        <f t="shared" si="23"/>
        <v>1920</v>
      </c>
      <c r="J281">
        <f>+H281+CF*F281*(1+($I281-1850)*slope/1000)+F281*hQc*COS(2*PI()*$I281/qbo+$L281)+F281*hQs*SIN(2*PI()*$I281/qbo+$L281)+F281*hCs*SIN(2*PI()*$I281/cw)+F281*hCc*COS(2*PI()*$I281/cw) +mix*F281*(hQc*COS(2*PI()*$I281/qbo+$L281)+hQs*SIN(2*PI()*$I281/qbo+$L281))*(hCs*SIN(2*PI()*$I281/cw)+hCc*COS(2*PI()*$I281/cw))</f>
        <v>-2.8057893559275726</v>
      </c>
      <c r="K281">
        <f>fQc*COS(2*PI()*$I281/qbo+$L281)+fQs*SIN(2*PI()*$I281/qbo+$L281)+fCs*SIN(2*PI()*$I281/cw)+fCc*COS(2*PI()*$I281/cw)</f>
        <v>-2.9925524629553155E-3</v>
      </c>
      <c r="L281">
        <f>+QMA*COS(2*PI()*$I281/QM+QMP)</f>
        <v>-0.92415137568939887</v>
      </c>
      <c r="P281">
        <f t="shared" si="24"/>
        <v>1</v>
      </c>
    </row>
    <row r="282" spans="1:16" x14ac:dyDescent="0.25">
      <c r="A282" s="1"/>
      <c r="B282" s="4">
        <v>7672</v>
      </c>
      <c r="C282" t="s">
        <v>24</v>
      </c>
      <c r="D282" s="3">
        <v>11.333333333333334</v>
      </c>
      <c r="E282" s="5">
        <f t="shared" si="20"/>
        <v>1921</v>
      </c>
      <c r="F282">
        <v>-0.70609999999999995</v>
      </c>
      <c r="G282">
        <f t="shared" si="21"/>
        <v>1.6403299999999998</v>
      </c>
      <c r="H282">
        <f t="shared" si="22"/>
        <v>1.6403299999999998</v>
      </c>
      <c r="I282" s="5">
        <f t="shared" si="23"/>
        <v>1921</v>
      </c>
      <c r="J282">
        <f>+H282+CF*F282*(1+($I282-1850)*slope/1000)+F282*hQc*COS(2*PI()*$I282/qbo+$L282)+F282*hQs*SIN(2*PI()*$I282/qbo+$L282)+F282*hCs*SIN(2*PI()*$I282/cw)+F282*hCc*COS(2*PI()*$I282/cw) +mix*F282*(hQc*COS(2*PI()*$I282/qbo+$L282)+hQs*SIN(2*PI()*$I282/qbo+$L282))*(hCs*SIN(2*PI()*$I282/cw)+hCc*COS(2*PI()*$I282/cw))</f>
        <v>1.3459386093767796</v>
      </c>
      <c r="K282">
        <f>fQc*COS(2*PI()*$I282/qbo+$L282)+fQs*SIN(2*PI()*$I282/qbo+$L282)+fCs*SIN(2*PI()*$I282/cw)+fCc*COS(2*PI()*$I282/cw)</f>
        <v>0.88454321395478552</v>
      </c>
      <c r="L282">
        <f>+QMA*COS(2*PI()*$I282/QM+QMP)</f>
        <v>-0.89691503381324833</v>
      </c>
      <c r="P282">
        <f t="shared" si="24"/>
        <v>1</v>
      </c>
    </row>
    <row r="283" spans="1:16" x14ac:dyDescent="0.25">
      <c r="A283" s="1"/>
      <c r="B283" s="4">
        <v>8037</v>
      </c>
      <c r="C283" t="s">
        <v>24</v>
      </c>
      <c r="D283" s="3">
        <v>11.375</v>
      </c>
      <c r="E283" s="5">
        <f t="shared" si="20"/>
        <v>1922</v>
      </c>
      <c r="F283">
        <v>-1.2549399999999999</v>
      </c>
      <c r="G283">
        <f t="shared" si="21"/>
        <v>1.2729200000000001</v>
      </c>
      <c r="H283">
        <f t="shared" si="22"/>
        <v>1.2729200000000001</v>
      </c>
      <c r="I283" s="5">
        <f t="shared" si="23"/>
        <v>1922</v>
      </c>
      <c r="J283">
        <f>+H283+CF*F283*(1+($I283-1850)*slope/1000)+F283*hQc*COS(2*PI()*$I283/qbo+$L283)+F283*hQs*SIN(2*PI()*$I283/qbo+$L283)+F283*hCs*SIN(2*PI()*$I283/cw)+F283*hCc*COS(2*PI()*$I283/cw) +mix*F283*(hQc*COS(2*PI()*$I283/qbo+$L283)+hQs*SIN(2*PI()*$I283/qbo+$L283))*(hCs*SIN(2*PI()*$I283/cw)+hCc*COS(2*PI()*$I283/cw))</f>
        <v>3.3925487785918684</v>
      </c>
      <c r="K283">
        <f>fQc*COS(2*PI()*$I283/qbo+$L283)+fQs*SIN(2*PI()*$I283/qbo+$L283)+fCs*SIN(2*PI()*$I283/cw)+fCc*COS(2*PI()*$I283/cw)</f>
        <v>-2.6352733550768934</v>
      </c>
      <c r="L283">
        <f>+QMA*COS(2*PI()*$I283/QM+QMP)</f>
        <v>-0.85256832470968447</v>
      </c>
      <c r="P283">
        <f t="shared" si="24"/>
        <v>0</v>
      </c>
    </row>
    <row r="284" spans="1:16" x14ac:dyDescent="0.25">
      <c r="A284" s="1"/>
      <c r="B284" s="4">
        <v>8402</v>
      </c>
      <c r="C284" t="s">
        <v>24</v>
      </c>
      <c r="D284" s="3">
        <v>11.416666666666666</v>
      </c>
      <c r="E284" s="5">
        <f t="shared" si="20"/>
        <v>1923</v>
      </c>
      <c r="F284">
        <v>-0.53086</v>
      </c>
      <c r="G284">
        <f t="shared" si="21"/>
        <v>0.36950000000000005</v>
      </c>
      <c r="H284">
        <f t="shared" si="22"/>
        <v>0.36950000000000005</v>
      </c>
      <c r="I284" s="5">
        <f t="shared" si="23"/>
        <v>1923</v>
      </c>
      <c r="J284">
        <f>+H284+CF*F284*(1+($I284-1850)*slope/1000)+F284*hQc*COS(2*PI()*$I284/qbo+$L284)+F284*hQs*SIN(2*PI()*$I284/qbo+$L284)+F284*hCs*SIN(2*PI()*$I284/cw)+F284*hCc*COS(2*PI()*$I284/cw) +mix*F284*(hQc*COS(2*PI()*$I284/qbo+$L284)+hQs*SIN(2*PI()*$I284/qbo+$L284))*(hCs*SIN(2*PI()*$I284/cw)+hCc*COS(2*PI()*$I284/cw))</f>
        <v>-2.6050265606897582</v>
      </c>
      <c r="K284">
        <f>fQc*COS(2*PI()*$I284/qbo+$L284)+fQs*SIN(2*PI()*$I284/qbo+$L284)+fCs*SIN(2*PI()*$I284/cw)+fCc*COS(2*PI()*$I284/cw)</f>
        <v>2.2877125348118792</v>
      </c>
      <c r="L284">
        <f>+QMA*COS(2*PI()*$I284/QM+QMP)</f>
        <v>-0.7919572465497049</v>
      </c>
      <c r="P284">
        <f t="shared" si="24"/>
        <v>0</v>
      </c>
    </row>
    <row r="285" spans="1:16" x14ac:dyDescent="0.25">
      <c r="A285" s="1"/>
      <c r="B285" s="4">
        <v>8767</v>
      </c>
      <c r="C285" t="s">
        <v>24</v>
      </c>
      <c r="D285" s="3">
        <v>11.458333333333334</v>
      </c>
      <c r="E285" s="5">
        <f t="shared" si="20"/>
        <v>1924</v>
      </c>
      <c r="F285">
        <v>0.56272</v>
      </c>
      <c r="G285">
        <f t="shared" si="21"/>
        <v>-3.4095500000000003</v>
      </c>
      <c r="H285">
        <f t="shared" si="22"/>
        <v>-3.4095500000000003</v>
      </c>
      <c r="I285" s="5">
        <f t="shared" si="23"/>
        <v>1924</v>
      </c>
      <c r="J285">
        <f>+H285+CF*F285*(1+($I285-1850)*slope/1000)+F285*hQc*COS(2*PI()*$I285/qbo+$L285)+F285*hQs*SIN(2*PI()*$I285/qbo+$L285)+F285*hCs*SIN(2*PI()*$I285/cw)+F285*hCc*COS(2*PI()*$I285/cw) +mix*F285*(hQc*COS(2*PI()*$I285/qbo+$L285)+hQs*SIN(2*PI()*$I285/qbo+$L285))*(hCs*SIN(2*PI()*$I285/cw)+hCc*COS(2*PI()*$I285/cw))</f>
        <v>-4.5636425481694207</v>
      </c>
      <c r="K285">
        <f>fQc*COS(2*PI()*$I285/qbo+$L285)+fQs*SIN(2*PI()*$I285/qbo+$L285)+fCs*SIN(2*PI()*$I285/cw)+fCc*COS(2*PI()*$I285/cw)</f>
        <v>-3.0252484423778778</v>
      </c>
      <c r="L285">
        <f>+QMA*COS(2*PI()*$I285/QM+QMP)</f>
        <v>-0.71623807140614815</v>
      </c>
      <c r="P285">
        <f t="shared" si="24"/>
        <v>1</v>
      </c>
    </row>
    <row r="286" spans="1:16" x14ac:dyDescent="0.25">
      <c r="A286" s="1"/>
      <c r="B286" s="4">
        <v>9133</v>
      </c>
      <c r="C286" t="s">
        <v>24</v>
      </c>
      <c r="D286" s="3">
        <v>11.5</v>
      </c>
      <c r="E286" s="5">
        <f t="shared" si="20"/>
        <v>1925</v>
      </c>
      <c r="F286">
        <v>-1.75325</v>
      </c>
      <c r="G286">
        <f t="shared" si="21"/>
        <v>5.95662</v>
      </c>
      <c r="H286">
        <f t="shared" si="22"/>
        <v>5.95662</v>
      </c>
      <c r="I286" s="5">
        <f t="shared" si="23"/>
        <v>1925</v>
      </c>
      <c r="J286">
        <f>+H286+CF*F286*(1+($I286-1850)*slope/1000)+F286*hQc*COS(2*PI()*$I286/qbo+$L286)+F286*hQs*SIN(2*PI()*$I286/qbo+$L286)+F286*hCs*SIN(2*PI()*$I286/cw)+F286*hCc*COS(2*PI()*$I286/cw) +mix*F286*(hQc*COS(2*PI()*$I286/qbo+$L286)+hQs*SIN(2*PI()*$I286/qbo+$L286))*(hCs*SIN(2*PI()*$I286/cw)+hCc*COS(2*PI()*$I286/cw))</f>
        <v>7.8715563080776194</v>
      </c>
      <c r="K286">
        <f>fQc*COS(2*PI()*$I286/qbo+$L286)+fQs*SIN(2*PI()*$I286/qbo+$L286)+fCs*SIN(2*PI()*$I286/cw)+fCc*COS(2*PI()*$I286/cw)</f>
        <v>2.8221042619622128</v>
      </c>
      <c r="L286">
        <f>+QMA*COS(2*PI()*$I286/QM+QMP)</f>
        <v>-0.6268552871558345</v>
      </c>
      <c r="P286">
        <f t="shared" si="24"/>
        <v>1</v>
      </c>
    </row>
    <row r="287" spans="1:16" x14ac:dyDescent="0.25">
      <c r="A287" s="1"/>
      <c r="B287" s="4">
        <v>9498</v>
      </c>
      <c r="C287" t="s">
        <v>24</v>
      </c>
      <c r="D287" s="3">
        <v>11.541666666666666</v>
      </c>
      <c r="E287" s="5">
        <f t="shared" si="20"/>
        <v>1926</v>
      </c>
      <c r="F287">
        <v>1.8874</v>
      </c>
      <c r="G287">
        <f t="shared" si="21"/>
        <v>-5.6693199999999999</v>
      </c>
      <c r="H287">
        <f t="shared" si="22"/>
        <v>-5.6693199999999999</v>
      </c>
      <c r="I287" s="5">
        <f t="shared" si="23"/>
        <v>1926</v>
      </c>
      <c r="J287">
        <f>+H287+CF*F287*(1+($I287-1850)*slope/1000)+F287*hQc*COS(2*PI()*$I287/qbo+$L287)+F287*hQs*SIN(2*PI()*$I287/qbo+$L287)+F287*hCs*SIN(2*PI()*$I287/cw)+F287*hCc*COS(2*PI()*$I287/cw) +mix*F287*(hQc*COS(2*PI()*$I287/qbo+$L287)+hQs*SIN(2*PI()*$I287/qbo+$L287))*(hCs*SIN(2*PI()*$I287/cw)+hCc*COS(2*PI()*$I287/cw))</f>
        <v>-1.693097319472427</v>
      </c>
      <c r="K287">
        <f>fQc*COS(2*PI()*$I287/qbo+$L287)+fQs*SIN(2*PI()*$I287/qbo+$L287)+fCs*SIN(2*PI()*$I287/cw)+fCc*COS(2*PI()*$I287/cw)</f>
        <v>-1.6263507370638945</v>
      </c>
      <c r="L287">
        <f>+QMA*COS(2*PI()*$I287/QM+QMP)</f>
        <v>-0.52551404111447708</v>
      </c>
      <c r="P287">
        <f t="shared" si="24"/>
        <v>1</v>
      </c>
    </row>
    <row r="288" spans="1:16" x14ac:dyDescent="0.25">
      <c r="A288" s="1"/>
      <c r="B288" s="4">
        <v>9863</v>
      </c>
      <c r="C288" t="s">
        <v>24</v>
      </c>
      <c r="D288" s="3">
        <v>11.583333333333334</v>
      </c>
      <c r="E288" s="5">
        <f t="shared" si="20"/>
        <v>1927</v>
      </c>
      <c r="F288">
        <v>-0.14127000000000001</v>
      </c>
      <c r="G288">
        <f t="shared" si="21"/>
        <v>2.4368499999999997</v>
      </c>
      <c r="H288">
        <f t="shared" si="22"/>
        <v>2.4368499999999997</v>
      </c>
      <c r="I288" s="5">
        <f t="shared" si="23"/>
        <v>1927</v>
      </c>
      <c r="J288">
        <f>+H288+CF*F288*(1+($I288-1850)*slope/1000)+F288*hQc*COS(2*PI()*$I288/qbo+$L288)+F288*hQs*SIN(2*PI()*$I288/qbo+$L288)+F288*hCs*SIN(2*PI()*$I288/cw)+F288*hCc*COS(2*PI()*$I288/cw) +mix*F288*(hQc*COS(2*PI()*$I288/qbo+$L288)+hQs*SIN(2*PI()*$I288/qbo+$L288))*(hCs*SIN(2*PI()*$I288/cw)+hCc*COS(2*PI()*$I288/cw))</f>
        <v>3.1435133015928409</v>
      </c>
      <c r="K288">
        <f>fQc*COS(2*PI()*$I288/qbo+$L288)+fQs*SIN(2*PI()*$I288/qbo+$L288)+fCs*SIN(2*PI()*$I288/cw)+fCc*COS(2*PI()*$I288/cw)</f>
        <v>1.7617348300600775</v>
      </c>
      <c r="L288">
        <f>+QMA*COS(2*PI()*$I288/QM+QMP)</f>
        <v>-0.41414761109511156</v>
      </c>
      <c r="P288">
        <f t="shared" si="24"/>
        <v>1</v>
      </c>
    </row>
    <row r="289" spans="1:16" x14ac:dyDescent="0.25">
      <c r="A289" s="1"/>
      <c r="B289" s="4">
        <v>10228</v>
      </c>
      <c r="C289" t="s">
        <v>24</v>
      </c>
      <c r="D289" s="3">
        <v>11.625</v>
      </c>
      <c r="E289" s="5">
        <f t="shared" si="20"/>
        <v>1928</v>
      </c>
      <c r="F289">
        <v>0.26690999999999998</v>
      </c>
      <c r="G289">
        <f t="shared" si="21"/>
        <v>-1.9864899999999999</v>
      </c>
      <c r="H289">
        <f t="shared" si="22"/>
        <v>-1.9864899999999999</v>
      </c>
      <c r="I289" s="5">
        <f t="shared" si="23"/>
        <v>1928</v>
      </c>
      <c r="J289">
        <f>+H289+CF*F289*(1+($I289-1850)*slope/1000)+F289*hQc*COS(2*PI()*$I289/qbo+$L289)+F289*hQs*SIN(2*PI()*$I289/qbo+$L289)+F289*hCs*SIN(2*PI()*$I289/cw)+F289*hCc*COS(2*PI()*$I289/cw) +mix*F289*(hQc*COS(2*PI()*$I289/qbo+$L289)+hQs*SIN(2*PI()*$I289/qbo+$L289))*(hCs*SIN(2*PI()*$I289/cw)+hCc*COS(2*PI()*$I289/cw))</f>
        <v>-2.1857639944802303</v>
      </c>
      <c r="K289">
        <f>fQc*COS(2*PI()*$I289/qbo+$L289)+fQs*SIN(2*PI()*$I289/qbo+$L289)+fCs*SIN(2*PI()*$I289/cw)+fCc*COS(2*PI()*$I289/cw)</f>
        <v>-6.9505826684526054E-2</v>
      </c>
      <c r="L289">
        <f>+QMA*COS(2*PI()*$I289/QM+QMP)</f>
        <v>-0.29488052444157498</v>
      </c>
      <c r="P289">
        <f t="shared" si="24"/>
        <v>1</v>
      </c>
    </row>
    <row r="290" spans="1:16" x14ac:dyDescent="0.25">
      <c r="A290" s="1"/>
      <c r="B290" s="4">
        <v>10594</v>
      </c>
      <c r="C290" t="s">
        <v>24</v>
      </c>
      <c r="D290" s="3">
        <v>11.666666666666666</v>
      </c>
      <c r="E290" s="5">
        <f t="shared" si="20"/>
        <v>1929</v>
      </c>
      <c r="F290">
        <v>-1.3113999999999999</v>
      </c>
      <c r="G290">
        <f t="shared" si="21"/>
        <v>3.6171199999999999</v>
      </c>
      <c r="H290">
        <f t="shared" si="22"/>
        <v>3.6171199999999999</v>
      </c>
      <c r="I290" s="5">
        <f t="shared" si="23"/>
        <v>1929</v>
      </c>
      <c r="J290">
        <f>+H290+CF*F290*(1+($I290-1850)*slope/1000)+F290*hQc*COS(2*PI()*$I290/qbo+$L290)+F290*hQs*SIN(2*PI()*$I290/qbo+$L290)+F290*hCs*SIN(2*PI()*$I290/cw)+F290*hCc*COS(2*PI()*$I290/cw) +mix*F290*(hQc*COS(2*PI()*$I290/qbo+$L290)+hQs*SIN(2*PI()*$I290/qbo+$L290))*(hCs*SIN(2*PI()*$I290/cw)+hCc*COS(2*PI()*$I290/cw))</f>
        <v>4.1151829097284924</v>
      </c>
      <c r="K290">
        <f>fQc*COS(2*PI()*$I290/qbo+$L290)+fQs*SIN(2*PI()*$I290/qbo+$L290)+fCs*SIN(2*PI()*$I290/cw)+fCc*COS(2*PI()*$I290/cw)</f>
        <v>-0.62981574020162723</v>
      </c>
      <c r="L290">
        <f>+QMA*COS(2*PI()*$I290/QM+QMP)</f>
        <v>-0.16998802861198378</v>
      </c>
      <c r="P290">
        <f t="shared" si="24"/>
        <v>0</v>
      </c>
    </row>
    <row r="291" spans="1:16" x14ac:dyDescent="0.25">
      <c r="A291" s="1"/>
      <c r="B291" s="4">
        <v>10959</v>
      </c>
      <c r="C291" t="s">
        <v>24</v>
      </c>
      <c r="D291" s="3">
        <v>11.708333333333334</v>
      </c>
      <c r="E291" s="5">
        <f t="shared" si="20"/>
        <v>1930</v>
      </c>
      <c r="F291">
        <v>0.72741</v>
      </c>
      <c r="G291">
        <f t="shared" si="21"/>
        <v>-0.54781999999999975</v>
      </c>
      <c r="H291">
        <f t="shared" si="22"/>
        <v>-0.54781999999999975</v>
      </c>
      <c r="I291" s="5">
        <f t="shared" si="23"/>
        <v>1930</v>
      </c>
      <c r="J291">
        <f>+H291+CF*F291*(1+($I291-1850)*slope/1000)+F291*hQc*COS(2*PI()*$I291/qbo+$L291)+F291*hQs*SIN(2*PI()*$I291/qbo+$L291)+F291*hCs*SIN(2*PI()*$I291/cw)+F291*hCc*COS(2*PI()*$I291/cw) +mix*F291*(hQc*COS(2*PI()*$I291/qbo+$L291)+hQs*SIN(2*PI()*$I291/qbo+$L291))*(hCs*SIN(2*PI()*$I291/cw)+hCc*COS(2*PI()*$I291/cw))</f>
        <v>3.4006977075830891E-2</v>
      </c>
      <c r="K291">
        <f>fQc*COS(2*PI()*$I291/qbo+$L291)+fQs*SIN(2*PI()*$I291/qbo+$L291)+fCs*SIN(2*PI()*$I291/cw)+fCc*COS(2*PI()*$I291/cw)</f>
        <v>1.1000886692386613</v>
      </c>
      <c r="L291">
        <f>+QMA*COS(2*PI()*$I291/QM+QMP)</f>
        <v>-4.1852686487921634E-2</v>
      </c>
      <c r="P291">
        <f t="shared" si="24"/>
        <v>1</v>
      </c>
    </row>
    <row r="292" spans="1:16" x14ac:dyDescent="0.25">
      <c r="A292" s="1"/>
      <c r="B292" s="4">
        <v>11324</v>
      </c>
      <c r="C292" t="s">
        <v>24</v>
      </c>
      <c r="D292" s="3">
        <v>11.75</v>
      </c>
      <c r="E292" s="5">
        <f t="shared" si="20"/>
        <v>1931</v>
      </c>
      <c r="F292">
        <v>2.2183999999999999</v>
      </c>
      <c r="G292">
        <f t="shared" si="21"/>
        <v>-3.2621199999999999</v>
      </c>
      <c r="H292">
        <f t="shared" si="22"/>
        <v>-3.2621199999999999</v>
      </c>
      <c r="I292" s="5">
        <f t="shared" si="23"/>
        <v>1931</v>
      </c>
      <c r="J292">
        <f>+H292+CF*F292*(1+($I292-1850)*slope/1000)+F292*hQc*COS(2*PI()*$I292/qbo+$L292)+F292*hQs*SIN(2*PI()*$I292/qbo+$L292)+F292*hCs*SIN(2*PI()*$I292/cw)+F292*hCc*COS(2*PI()*$I292/cw) +mix*F292*(hQc*COS(2*PI()*$I292/qbo+$L292)+hQs*SIN(2*PI()*$I292/qbo+$L292))*(hCs*SIN(2*PI()*$I292/cw)+hCc*COS(2*PI()*$I292/cw))</f>
        <v>-7.6396090073963077</v>
      </c>
      <c r="K292">
        <f>fQc*COS(2*PI()*$I292/qbo+$L292)+fQs*SIN(2*PI()*$I292/qbo+$L292)+fCs*SIN(2*PI()*$I292/cw)+fCc*COS(2*PI()*$I292/cw)</f>
        <v>-2.6708584879685491</v>
      </c>
      <c r="L292">
        <f>+QMA*COS(2*PI()*$I292/QM+QMP)</f>
        <v>8.7081075562567722E-2</v>
      </c>
      <c r="P292">
        <f t="shared" si="24"/>
        <v>1</v>
      </c>
    </row>
    <row r="293" spans="1:16" x14ac:dyDescent="0.25">
      <c r="A293" s="1"/>
      <c r="B293" s="4">
        <v>11689</v>
      </c>
      <c r="C293" t="s">
        <v>24</v>
      </c>
      <c r="D293" s="3">
        <v>11.791666666666666</v>
      </c>
      <c r="E293" s="5">
        <f t="shared" si="20"/>
        <v>1932</v>
      </c>
      <c r="F293">
        <v>0.44727</v>
      </c>
      <c r="G293">
        <f t="shared" si="21"/>
        <v>1.1273599999999999</v>
      </c>
      <c r="H293">
        <f t="shared" si="22"/>
        <v>1.1273599999999999</v>
      </c>
      <c r="I293" s="5">
        <f t="shared" si="23"/>
        <v>1932</v>
      </c>
      <c r="J293">
        <f>+H293+CF*F293*(1+($I293-1850)*slope/1000)+F293*hQc*COS(2*PI()*$I293/qbo+$L293)+F293*hQs*SIN(2*PI()*$I293/qbo+$L293)+F293*hCs*SIN(2*PI()*$I293/cw)+F293*hCc*COS(2*PI()*$I293/cw) +mix*F293*(hQc*COS(2*PI()*$I293/qbo+$L293)+hQs*SIN(2*PI()*$I293/qbo+$L293))*(hCs*SIN(2*PI()*$I293/cw)+hCc*COS(2*PI()*$I293/cw))</f>
        <v>3.4855423876092053</v>
      </c>
      <c r="K293">
        <f>fQc*COS(2*PI()*$I293/qbo+$L293)+fQs*SIN(2*PI()*$I293/qbo+$L293)+fCs*SIN(2*PI()*$I293/cw)+fCc*COS(2*PI()*$I293/cw)</f>
        <v>2.266183751125685</v>
      </c>
      <c r="L293">
        <f>+QMA*COS(2*PI()*$I293/QM+QMP)</f>
        <v>0.21435359978633567</v>
      </c>
      <c r="P293">
        <f t="shared" si="24"/>
        <v>1</v>
      </c>
    </row>
    <row r="294" spans="1:16" x14ac:dyDescent="0.25">
      <c r="A294" s="1"/>
      <c r="B294" s="4">
        <v>12055</v>
      </c>
      <c r="C294" t="s">
        <v>24</v>
      </c>
      <c r="D294" s="3">
        <v>11.833333333333334</v>
      </c>
      <c r="E294" s="5">
        <f t="shared" si="20"/>
        <v>1933</v>
      </c>
      <c r="F294">
        <v>-0.19650000000000001</v>
      </c>
      <c r="G294">
        <f t="shared" si="21"/>
        <v>-0.84888999999999992</v>
      </c>
      <c r="H294">
        <f t="shared" si="22"/>
        <v>-0.84888999999999992</v>
      </c>
      <c r="I294" s="5">
        <f t="shared" si="23"/>
        <v>1933</v>
      </c>
      <c r="J294">
        <f>+H294+CF*F294*(1+($I294-1850)*slope/1000)+F294*hQc*COS(2*PI()*$I294/qbo+$L294)+F294*hQs*SIN(2*PI()*$I294/qbo+$L294)+F294*hCs*SIN(2*PI()*$I294/cw)+F294*hCc*COS(2*PI()*$I294/cw) +mix*F294*(hQc*COS(2*PI()*$I294/qbo+$L294)+hQs*SIN(2*PI()*$I294/qbo+$L294))*(hCs*SIN(2*PI()*$I294/cw)+hCc*COS(2*PI()*$I294/cw))</f>
        <v>-0.4947275645056104</v>
      </c>
      <c r="K294">
        <f>fQc*COS(2*PI()*$I294/qbo+$L294)+fQs*SIN(2*PI()*$I294/qbo+$L294)+fCs*SIN(2*PI()*$I294/cw)+fCc*COS(2*PI()*$I294/cw)</f>
        <v>-2.9727458552040673</v>
      </c>
      <c r="L294">
        <f>+QMA*COS(2*PI()*$I294/QM+QMP)</f>
        <v>0.33753691971477928</v>
      </c>
      <c r="P294">
        <f t="shared" si="24"/>
        <v>1</v>
      </c>
    </row>
    <row r="295" spans="1:16" x14ac:dyDescent="0.25">
      <c r="A295" s="1"/>
      <c r="B295" s="4">
        <v>12420</v>
      </c>
      <c r="C295" t="s">
        <v>24</v>
      </c>
      <c r="D295" s="3">
        <v>11.875</v>
      </c>
      <c r="E295" s="5">
        <f t="shared" si="20"/>
        <v>1934</v>
      </c>
      <c r="F295">
        <v>-1.68916</v>
      </c>
      <c r="G295">
        <f t="shared" si="21"/>
        <v>2.8805499999999999</v>
      </c>
      <c r="H295">
        <f t="shared" si="22"/>
        <v>2.8805499999999999</v>
      </c>
      <c r="I295" s="5">
        <f t="shared" si="23"/>
        <v>1934</v>
      </c>
      <c r="J295">
        <f>+H295+CF*F295*(1+($I295-1850)*slope/1000)+F295*hQc*COS(2*PI()*$I295/qbo+$L295)+F295*hQs*SIN(2*PI()*$I295/qbo+$L295)+F295*hCs*SIN(2*PI()*$I295/cw)+F295*hCc*COS(2*PI()*$I295/cw) +mix*F295*(hQc*COS(2*PI()*$I295/qbo+$L295)+hQs*SIN(2*PI()*$I295/qbo+$L295))*(hCs*SIN(2*PI()*$I295/cw)+hCc*COS(2*PI()*$I295/cw))</f>
        <v>6.2396645271683049</v>
      </c>
      <c r="K295">
        <f>fQc*COS(2*PI()*$I295/qbo+$L295)+fQs*SIN(2*PI()*$I295/qbo+$L295)+fCs*SIN(2*PI()*$I295/cw)+fCc*COS(2*PI()*$I295/cw)</f>
        <v>2.9939545630896234</v>
      </c>
      <c r="L295">
        <f>+QMA*COS(2*PI()*$I295/QM+QMP)</f>
        <v>0.45428107826071334</v>
      </c>
      <c r="P295">
        <f t="shared" si="24"/>
        <v>1</v>
      </c>
    </row>
    <row r="296" spans="1:16" x14ac:dyDescent="0.25">
      <c r="A296" s="1"/>
      <c r="B296" s="4">
        <v>12785</v>
      </c>
      <c r="C296" t="s">
        <v>24</v>
      </c>
      <c r="D296" s="3">
        <v>11.916666666666666</v>
      </c>
      <c r="E296" s="5">
        <f t="shared" si="20"/>
        <v>1935</v>
      </c>
      <c r="F296">
        <v>-0.30126999999999998</v>
      </c>
      <c r="G296">
        <f t="shared" si="21"/>
        <v>-1.0414099999999999</v>
      </c>
      <c r="H296">
        <f t="shared" si="22"/>
        <v>-1.0414099999999999</v>
      </c>
      <c r="I296" s="5">
        <f t="shared" si="23"/>
        <v>1935</v>
      </c>
      <c r="J296">
        <f>+H296+CF*F296*(1+($I296-1850)*slope/1000)+F296*hQc*COS(2*PI()*$I296/qbo+$L296)+F296*hQs*SIN(2*PI()*$I296/qbo+$L296)+F296*hCs*SIN(2*PI()*$I296/cw)+F296*hCc*COS(2*PI()*$I296/cw) +mix*F296*(hQc*COS(2*PI()*$I296/qbo+$L296)+hQs*SIN(2*PI()*$I296/qbo+$L296))*(hCs*SIN(2*PI()*$I296/cw)+hCc*COS(2*PI()*$I296/cw))</f>
        <v>-1.8317119883534683</v>
      </c>
      <c r="K296">
        <f>fQc*COS(2*PI()*$I296/qbo+$L296)+fQs*SIN(2*PI()*$I296/qbo+$L296)+fCs*SIN(2*PI()*$I296/cw)+fCc*COS(2*PI()*$I296/cw)</f>
        <v>-1.8499009585169579</v>
      </c>
      <c r="L296">
        <f>+QMA*COS(2*PI()*$I296/QM+QMP)</f>
        <v>0.56235895763809607</v>
      </c>
      <c r="P296">
        <f t="shared" si="24"/>
        <v>1</v>
      </c>
    </row>
    <row r="297" spans="1:16" x14ac:dyDescent="0.25">
      <c r="A297" s="1"/>
      <c r="B297" s="4">
        <v>13150</v>
      </c>
      <c r="C297" t="s">
        <v>24</v>
      </c>
      <c r="D297" s="3">
        <v>11.958333333333334</v>
      </c>
      <c r="E297" s="5">
        <f t="shared" si="20"/>
        <v>1936</v>
      </c>
      <c r="F297">
        <v>4.521E-2</v>
      </c>
      <c r="G297">
        <f t="shared" si="21"/>
        <v>4.8209999999999975E-2</v>
      </c>
      <c r="H297">
        <f t="shared" si="22"/>
        <v>4.8209999999999975E-2</v>
      </c>
      <c r="I297" s="5">
        <f t="shared" si="23"/>
        <v>1936</v>
      </c>
      <c r="J297">
        <f>+H297+CF*F297*(1+($I297-1850)*slope/1000)+F297*hQc*COS(2*PI()*$I297/qbo+$L297)+F297*hQs*SIN(2*PI()*$I297/qbo+$L297)+F297*hCs*SIN(2*PI()*$I297/cw)+F297*hCc*COS(2*PI()*$I297/cw) +mix*F297*(hQc*COS(2*PI()*$I297/qbo+$L297)+hQs*SIN(2*PI()*$I297/qbo+$L297))*(hCs*SIN(2*PI()*$I297/cw)+hCc*COS(2*PI()*$I297/cw))</f>
        <v>-0.21524144700925546</v>
      </c>
      <c r="K297">
        <f>fQc*COS(2*PI()*$I297/qbo+$L297)+fQs*SIN(2*PI()*$I297/qbo+$L297)+fCs*SIN(2*PI()*$I297/cw)+fCc*COS(2*PI()*$I297/cw)</f>
        <v>2.0416791723365901</v>
      </c>
      <c r="L297">
        <f>+QMA*COS(2*PI()*$I297/QM+QMP)</f>
        <v>0.65970876588716665</v>
      </c>
      <c r="P297">
        <f t="shared" si="24"/>
        <v>0</v>
      </c>
    </row>
    <row r="298" spans="1:16" x14ac:dyDescent="0.25">
      <c r="A298" s="1"/>
      <c r="B298" s="4">
        <v>13516</v>
      </c>
      <c r="C298" t="s">
        <v>24</v>
      </c>
      <c r="D298" s="3">
        <v>12</v>
      </c>
      <c r="E298" s="5">
        <f t="shared" si="20"/>
        <v>1937</v>
      </c>
      <c r="F298">
        <v>0.43990000000000001</v>
      </c>
      <c r="G298">
        <f t="shared" si="21"/>
        <v>-0.63463999999999998</v>
      </c>
      <c r="H298">
        <f t="shared" si="22"/>
        <v>-0.63463999999999998</v>
      </c>
      <c r="I298" s="5">
        <f t="shared" si="23"/>
        <v>1937</v>
      </c>
      <c r="J298">
        <f>+H298+CF*F298*(1+($I298-1850)*slope/1000)+F298*hQc*COS(2*PI()*$I298/qbo+$L298)+F298*hQs*SIN(2*PI()*$I298/qbo+$L298)+F298*hCs*SIN(2*PI()*$I298/cw)+F298*hCc*COS(2*PI()*$I298/cw) +mix*F298*(hQc*COS(2*PI()*$I298/qbo+$L298)+hQs*SIN(2*PI()*$I298/qbo+$L298))*(hCs*SIN(2*PI()*$I298/cw)+hCc*COS(2*PI()*$I298/cw))</f>
        <v>-0.79289947153097351</v>
      </c>
      <c r="K298">
        <f>fQc*COS(2*PI()*$I298/qbo+$L298)+fQs*SIN(2*PI()*$I298/qbo+$L298)+fCs*SIN(2*PI()*$I298/cw)+fCc*COS(2*PI()*$I298/cw)</f>
        <v>-0.3528575120590175</v>
      </c>
      <c r="L298">
        <f>+QMA*COS(2*PI()*$I298/QM+QMP)</f>
        <v>0.74447336949372278</v>
      </c>
      <c r="P298">
        <f t="shared" si="24"/>
        <v>1</v>
      </c>
    </row>
    <row r="299" spans="1:16" x14ac:dyDescent="0.25">
      <c r="A299" s="1"/>
      <c r="B299" s="4">
        <v>13881</v>
      </c>
      <c r="C299" t="s">
        <v>24</v>
      </c>
      <c r="D299" s="3">
        <v>12.041666666666666</v>
      </c>
      <c r="E299" s="5">
        <f t="shared" si="20"/>
        <v>1938</v>
      </c>
      <c r="F299">
        <v>0.19994999999999999</v>
      </c>
      <c r="G299">
        <f t="shared" si="21"/>
        <v>-0.62230999999999992</v>
      </c>
      <c r="H299">
        <f t="shared" si="22"/>
        <v>-0.62230999999999992</v>
      </c>
      <c r="I299" s="5">
        <f t="shared" si="23"/>
        <v>1938</v>
      </c>
      <c r="J299">
        <f>+H299+CF*F299*(1+($I299-1850)*slope/1000)+F299*hQc*COS(2*PI()*$I299/qbo+$L299)+F299*hQs*SIN(2*PI()*$I299/qbo+$L299)+F299*hCs*SIN(2*PI()*$I299/cw)+F299*hCc*COS(2*PI()*$I299/cw) +mix*F299*(hQc*COS(2*PI()*$I299/qbo+$L299)+hQs*SIN(2*PI()*$I299/qbo+$L299))*(hCs*SIN(2*PI()*$I299/cw)+hCc*COS(2*PI()*$I299/cw))</f>
        <v>-0.71930477142336269</v>
      </c>
      <c r="K299">
        <f>fQc*COS(2*PI()*$I299/qbo+$L299)+fQs*SIN(2*PI()*$I299/qbo+$L299)+fCs*SIN(2*PI()*$I299/cw)+fCc*COS(2*PI()*$I299/cw)</f>
        <v>-0.59867309040138228</v>
      </c>
      <c r="L299">
        <f>+QMA*COS(2*PI()*$I299/QM+QMP)</f>
        <v>0.81503572175785144</v>
      </c>
      <c r="P299">
        <f t="shared" si="24"/>
        <v>1</v>
      </c>
    </row>
    <row r="300" spans="1:16" x14ac:dyDescent="0.25">
      <c r="A300" s="1"/>
      <c r="B300" s="4">
        <v>14246</v>
      </c>
      <c r="C300" t="s">
        <v>24</v>
      </c>
      <c r="D300" s="3">
        <v>12.083333333333334</v>
      </c>
      <c r="E300" s="5">
        <f t="shared" si="20"/>
        <v>1939</v>
      </c>
      <c r="F300">
        <v>-0.66230999999999995</v>
      </c>
      <c r="G300">
        <f t="shared" si="21"/>
        <v>2.4085000000000001</v>
      </c>
      <c r="H300">
        <f t="shared" si="22"/>
        <v>2.4085000000000001</v>
      </c>
      <c r="I300" s="5">
        <f t="shared" si="23"/>
        <v>1939</v>
      </c>
      <c r="J300">
        <f>+H300+CF*F300*(1+($I300-1850)*slope/1000)+F300*hQc*COS(2*PI()*$I300/qbo+$L300)+F300*hQs*SIN(2*PI()*$I300/qbo+$L300)+F300*hCs*SIN(2*PI()*$I300/cw)+F300*hCc*COS(2*PI()*$I300/cw) +mix*F300*(hQc*COS(2*PI()*$I300/qbo+$L300)+hQs*SIN(2*PI()*$I300/qbo+$L300))*(hCs*SIN(2*PI()*$I300/cw)+hCc*COS(2*PI()*$I300/cw))</f>
        <v>1.6310156088382803</v>
      </c>
      <c r="K300">
        <f>fQc*COS(2*PI()*$I300/qbo+$L300)+fQs*SIN(2*PI()*$I300/qbo+$L300)+fCs*SIN(2*PI()*$I300/cw)+fCc*COS(2*PI()*$I300/cw)</f>
        <v>1.1707755373181223</v>
      </c>
      <c r="L300">
        <f>+QMA*COS(2*PI()*$I300/QM+QMP)</f>
        <v>0.87004971104780948</v>
      </c>
      <c r="P300">
        <f t="shared" si="24"/>
        <v>1</v>
      </c>
    </row>
    <row r="301" spans="1:16" x14ac:dyDescent="0.25">
      <c r="A301" s="1"/>
      <c r="B301" s="4">
        <v>14611</v>
      </c>
      <c r="C301" t="s">
        <v>24</v>
      </c>
      <c r="D301" s="3">
        <v>12.125</v>
      </c>
      <c r="E301" s="5">
        <f t="shared" si="20"/>
        <v>1940</v>
      </c>
      <c r="F301">
        <v>0.88392999999999999</v>
      </c>
      <c r="G301">
        <f t="shared" si="21"/>
        <v>0.60088000000000008</v>
      </c>
      <c r="H301">
        <f t="shared" si="22"/>
        <v>0.60088000000000008</v>
      </c>
      <c r="I301" s="5">
        <f t="shared" si="23"/>
        <v>1940</v>
      </c>
      <c r="J301">
        <f>+H301+CF*F301*(1+($I301-1850)*slope/1000)+F301*hQc*COS(2*PI()*$I301/qbo+$L301)+F301*hQs*SIN(2*PI()*$I301/qbo+$L301)+F301*hCs*SIN(2*PI()*$I301/cw)+F301*hCc*COS(2*PI()*$I301/cw) +mix*F301*(hQc*COS(2*PI()*$I301/qbo+$L301)+hQs*SIN(2*PI()*$I301/qbo+$L301))*(hCs*SIN(2*PI()*$I301/cw)+hCc*COS(2*PI()*$I301/cw))</f>
        <v>-1.6577608428734738</v>
      </c>
      <c r="K301">
        <f>fQc*COS(2*PI()*$I301/qbo+$L301)+fQs*SIN(2*PI()*$I301/qbo+$L301)+fCs*SIN(2*PI()*$I301/cw)+fCc*COS(2*PI()*$I301/cw)</f>
        <v>-2.9023009909082931</v>
      </c>
      <c r="L301">
        <f>+QMA*COS(2*PI()*$I301/QM+QMP)</f>
        <v>0.90846584045039058</v>
      </c>
      <c r="P301">
        <f t="shared" si="24"/>
        <v>1</v>
      </c>
    </row>
    <row r="302" spans="1:16" x14ac:dyDescent="0.25">
      <c r="A302" s="1"/>
      <c r="B302" s="4">
        <v>14977</v>
      </c>
      <c r="C302" t="s">
        <v>24</v>
      </c>
      <c r="D302" s="3">
        <v>12.166666666666666</v>
      </c>
      <c r="E302" s="5">
        <f t="shared" si="20"/>
        <v>1941</v>
      </c>
      <c r="F302">
        <v>3.03105</v>
      </c>
      <c r="G302">
        <f t="shared" si="21"/>
        <v>-2.4285700000000001</v>
      </c>
      <c r="H302">
        <f t="shared" si="22"/>
        <v>-2.4285700000000001</v>
      </c>
      <c r="I302" s="5">
        <f t="shared" si="23"/>
        <v>1941</v>
      </c>
      <c r="J302">
        <f>+H302+CF*F302*(1+($I302-1850)*slope/1000)+F302*hQc*COS(2*PI()*$I302/qbo+$L302)+F302*hQs*SIN(2*PI()*$I302/qbo+$L302)+F302*hCs*SIN(2*PI()*$I302/cw)+F302*hCc*COS(2*PI()*$I302/cw) +mix*F302*(hQc*COS(2*PI()*$I302/qbo+$L302)+hQs*SIN(2*PI()*$I302/qbo+$L302))*(hCs*SIN(2*PI()*$I302/cw)+hCc*COS(2*PI()*$I302/cw))</f>
        <v>13.532908185379032</v>
      </c>
      <c r="K302">
        <f>fQc*COS(2*PI()*$I302/qbo+$L302)+fQs*SIN(2*PI()*$I302/qbo+$L302)+fCs*SIN(2*PI()*$I302/cw)+fCc*COS(2*PI()*$I302/cw)</f>
        <v>2.4805341313990654</v>
      </c>
      <c r="L302">
        <f>+QMA*COS(2*PI()*$I302/QM+QMP)</f>
        <v>0.92955124892887175</v>
      </c>
      <c r="P302">
        <f t="shared" si="24"/>
        <v>1</v>
      </c>
    </row>
    <row r="303" spans="1:16" x14ac:dyDescent="0.25">
      <c r="A303" s="1"/>
      <c r="B303" s="4">
        <v>15342</v>
      </c>
      <c r="C303" t="s">
        <v>24</v>
      </c>
      <c r="D303" s="3">
        <v>12.208333333333334</v>
      </c>
      <c r="E303" s="5">
        <f t="shared" si="20"/>
        <v>1942</v>
      </c>
      <c r="F303">
        <v>2.7496</v>
      </c>
      <c r="G303">
        <f t="shared" si="21"/>
        <v>-2.8032699999999999</v>
      </c>
      <c r="H303">
        <f t="shared" si="22"/>
        <v>-2.8032699999999999</v>
      </c>
      <c r="I303" s="5">
        <f t="shared" si="23"/>
        <v>1942</v>
      </c>
      <c r="J303">
        <f>+H303+CF*F303*(1+($I303-1850)*slope/1000)+F303*hQc*COS(2*PI()*$I303/qbo+$L303)+F303*hQs*SIN(2*PI()*$I303/qbo+$L303)+F303*hCs*SIN(2*PI()*$I303/cw)+F303*hCc*COS(2*PI()*$I303/cw) +mix*F303*(hQc*COS(2*PI()*$I303/qbo+$L303)+hQs*SIN(2*PI()*$I303/qbo+$L303))*(hCs*SIN(2*PI()*$I303/cw)+hCc*COS(2*PI()*$I303/cw))</f>
        <v>-6.8670820747013801</v>
      </c>
      <c r="K303">
        <f>fQc*COS(2*PI()*$I303/qbo+$L303)+fQs*SIN(2*PI()*$I303/qbo+$L303)+fCs*SIN(2*PI()*$I303/cw)+fCc*COS(2*PI()*$I303/cw)</f>
        <v>-2.7892197100663805</v>
      </c>
      <c r="L303">
        <f>+QMA*COS(2*PI()*$I303/QM+QMP)</f>
        <v>0.93290369204692924</v>
      </c>
      <c r="P303">
        <f t="shared" si="24"/>
        <v>1</v>
      </c>
    </row>
    <row r="304" spans="1:16" x14ac:dyDescent="0.25">
      <c r="A304" s="1"/>
      <c r="B304" s="4">
        <v>15707</v>
      </c>
      <c r="C304" t="s">
        <v>24</v>
      </c>
      <c r="D304" s="3">
        <v>12.25</v>
      </c>
      <c r="E304" s="5">
        <f t="shared" si="20"/>
        <v>1943</v>
      </c>
      <c r="F304">
        <v>-0.33511999999999997</v>
      </c>
      <c r="G304">
        <f t="shared" si="21"/>
        <v>4.7054</v>
      </c>
      <c r="H304">
        <f t="shared" si="22"/>
        <v>4.7054</v>
      </c>
      <c r="I304" s="5">
        <f t="shared" si="23"/>
        <v>1943</v>
      </c>
      <c r="J304">
        <f>+H304+CF*F304*(1+($I304-1850)*slope/1000)+F304*hQc*COS(2*PI()*$I304/qbo+$L304)+F304*hQs*SIN(2*PI()*$I304/qbo+$L304)+F304*hCs*SIN(2*PI()*$I304/cw)+F304*hCc*COS(2*PI()*$I304/cw) +mix*F304*(hQc*COS(2*PI()*$I304/qbo+$L304)+hQs*SIN(2*PI()*$I304/qbo+$L304))*(hCs*SIN(2*PI()*$I304/cw)+hCc*COS(2*PI()*$I304/cw))</f>
        <v>5.4967892144444832</v>
      </c>
      <c r="K304">
        <f>fQc*COS(2*PI()*$I304/qbo+$L304)+fQs*SIN(2*PI()*$I304/qbo+$L304)+fCs*SIN(2*PI()*$I304/cw)+fCc*COS(2*PI()*$I304/cw)</f>
        <v>2.3317207446469839</v>
      </c>
      <c r="L304">
        <f>+QMA*COS(2*PI()*$I304/QM+QMP)</f>
        <v>0.91845921554948151</v>
      </c>
      <c r="P304">
        <f t="shared" si="24"/>
        <v>1</v>
      </c>
    </row>
    <row r="305" spans="1:16" x14ac:dyDescent="0.25">
      <c r="A305" s="1"/>
      <c r="B305" s="4">
        <v>16072</v>
      </c>
      <c r="C305" t="s">
        <v>24</v>
      </c>
      <c r="D305" s="3">
        <v>12.291666666666666</v>
      </c>
      <c r="E305" s="5">
        <f t="shared" si="20"/>
        <v>1944</v>
      </c>
      <c r="F305">
        <v>1.28556</v>
      </c>
      <c r="G305">
        <f t="shared" si="21"/>
        <v>-2.65632</v>
      </c>
      <c r="H305">
        <f t="shared" si="22"/>
        <v>-2.65632</v>
      </c>
      <c r="I305" s="5">
        <f t="shared" si="23"/>
        <v>1944</v>
      </c>
      <c r="J305">
        <f>+H305+CF*F305*(1+($I305-1850)*slope/1000)+F305*hQc*COS(2*PI()*$I305/qbo+$L305)+F305*hQs*SIN(2*PI()*$I305/qbo+$L305)+F305*hCs*SIN(2*PI()*$I305/cw)+F305*hCc*COS(2*PI()*$I305/cw) +mix*F305*(hQc*COS(2*PI()*$I305/qbo+$L305)+hQs*SIN(2*PI()*$I305/qbo+$L305))*(hCs*SIN(2*PI()*$I305/cw)+hCc*COS(2*PI()*$I305/cw))</f>
        <v>-2.5710524493792404</v>
      </c>
      <c r="K305">
        <f>fQc*COS(2*PI()*$I305/qbo+$L305)+fQs*SIN(2*PI()*$I305/qbo+$L305)+fCs*SIN(2*PI()*$I305/cw)+fCc*COS(2*PI()*$I305/cw)</f>
        <v>-0.3849143692102584</v>
      </c>
      <c r="L305">
        <f>+QMA*COS(2*PI()*$I305/QM+QMP)</f>
        <v>0.88649337541224693</v>
      </c>
      <c r="P305">
        <f t="shared" si="24"/>
        <v>1</v>
      </c>
    </row>
    <row r="306" spans="1:16" x14ac:dyDescent="0.25">
      <c r="A306" s="1"/>
      <c r="B306" s="4">
        <v>16438</v>
      </c>
      <c r="C306" t="s">
        <v>24</v>
      </c>
      <c r="D306" s="3">
        <v>12.333333333333334</v>
      </c>
      <c r="E306" s="5">
        <f t="shared" si="20"/>
        <v>1945</v>
      </c>
      <c r="F306">
        <v>0.24992</v>
      </c>
      <c r="G306">
        <f t="shared" si="21"/>
        <v>-0.86904999999999988</v>
      </c>
      <c r="H306">
        <f t="shared" si="22"/>
        <v>-0.86904999999999988</v>
      </c>
      <c r="I306" s="5">
        <f t="shared" si="23"/>
        <v>1945</v>
      </c>
      <c r="J306">
        <f>+H306+CF*F306*(1+($I306-1850)*slope/1000)+F306*hQc*COS(2*PI()*$I306/qbo+$L306)+F306*hQs*SIN(2*PI()*$I306/qbo+$L306)+F306*hCs*SIN(2*PI()*$I306/cw)+F306*hCc*COS(2*PI()*$I306/cw) +mix*F306*(hQc*COS(2*PI()*$I306/qbo+$L306)+hQs*SIN(2*PI()*$I306/qbo+$L306))*(hCs*SIN(2*PI()*$I306/cw)+hCc*COS(2*PI()*$I306/cw))</f>
        <v>-1.1275223168097233</v>
      </c>
      <c r="K306">
        <f>fQc*COS(2*PI()*$I306/qbo+$L306)+fQs*SIN(2*PI()*$I306/qbo+$L306)+fCs*SIN(2*PI()*$I306/cw)+fCc*COS(2*PI()*$I306/cw)</f>
        <v>-0.11653542971470515</v>
      </c>
      <c r="L306">
        <f>+QMA*COS(2*PI()*$I306/QM+QMP)</f>
        <v>0.83761598108526425</v>
      </c>
      <c r="P306">
        <f t="shared" si="24"/>
        <v>1</v>
      </c>
    </row>
    <row r="307" spans="1:16" x14ac:dyDescent="0.25">
      <c r="A307" s="1"/>
      <c r="B307" s="4">
        <v>16803</v>
      </c>
      <c r="C307" t="s">
        <v>24</v>
      </c>
      <c r="D307" s="3">
        <v>12.375</v>
      </c>
      <c r="E307" s="5">
        <f t="shared" si="20"/>
        <v>1946</v>
      </c>
      <c r="F307">
        <v>-1.6547700000000001</v>
      </c>
      <c r="G307">
        <f t="shared" si="21"/>
        <v>4.01302</v>
      </c>
      <c r="H307">
        <f t="shared" si="22"/>
        <v>4.01302</v>
      </c>
      <c r="I307" s="5">
        <f t="shared" si="23"/>
        <v>1946</v>
      </c>
      <c r="J307">
        <f>+H307+CF*F307*(1+($I307-1850)*slope/1000)+F307*hQc*COS(2*PI()*$I307/qbo+$L307)+F307*hQs*SIN(2*PI()*$I307/qbo+$L307)+F307*hCs*SIN(2*PI()*$I307/cw)+F307*hCc*COS(2*PI()*$I307/cw) +mix*F307*(hQc*COS(2*PI()*$I307/qbo+$L307)+hQs*SIN(2*PI()*$I307/qbo+$L307))*(hCs*SIN(2*PI()*$I307/cw)+hCc*COS(2*PI()*$I307/cw))</f>
        <v>12.120086405952655</v>
      </c>
      <c r="K307">
        <f>fQc*COS(2*PI()*$I307/qbo+$L307)+fQs*SIN(2*PI()*$I307/qbo+$L307)+fCs*SIN(2*PI()*$I307/cw)+fCc*COS(2*PI()*$I307/cw)</f>
        <v>2.0849208867967168</v>
      </c>
      <c r="L307">
        <f>+QMA*COS(2*PI()*$I307/QM+QMP)</f>
        <v>0.77275946221291258</v>
      </c>
      <c r="P307">
        <f t="shared" si="24"/>
        <v>1</v>
      </c>
    </row>
    <row r="308" spans="1:16" x14ac:dyDescent="0.25">
      <c r="A308" s="1"/>
      <c r="B308" s="4">
        <v>17168</v>
      </c>
      <c r="C308" t="s">
        <v>24</v>
      </c>
      <c r="D308" s="3">
        <v>12.416666666666666</v>
      </c>
      <c r="E308" s="5">
        <f t="shared" si="20"/>
        <v>1947</v>
      </c>
      <c r="F308">
        <v>0.45356000000000002</v>
      </c>
      <c r="G308">
        <f t="shared" si="21"/>
        <v>-2.3007200000000001</v>
      </c>
      <c r="H308">
        <f t="shared" si="22"/>
        <v>-2.3007200000000001</v>
      </c>
      <c r="I308" s="5">
        <f t="shared" si="23"/>
        <v>1947</v>
      </c>
      <c r="J308">
        <f>+H308+CF*F308*(1+($I308-1850)*slope/1000)+F308*hQc*COS(2*PI()*$I308/qbo+$L308)+F308*hQs*SIN(2*PI()*$I308/qbo+$L308)+F308*hCs*SIN(2*PI()*$I308/cw)+F308*hCc*COS(2*PI()*$I308/cw) +mix*F308*(hQc*COS(2*PI()*$I308/qbo+$L308)+hQs*SIN(2*PI()*$I308/qbo+$L308))*(hCs*SIN(2*PI()*$I308/cw)+hCc*COS(2*PI()*$I308/cw))</f>
        <v>-1.9654688180547444</v>
      </c>
      <c r="K308">
        <f>fQc*COS(2*PI()*$I308/qbo+$L308)+fQs*SIN(2*PI()*$I308/qbo+$L308)+fCs*SIN(2*PI()*$I308/cw)+fCc*COS(2*PI()*$I308/cw)</f>
        <v>-2.8775512077775574</v>
      </c>
      <c r="L308">
        <f>+QMA*COS(2*PI()*$I308/QM+QMP)</f>
        <v>0.6931610807577806</v>
      </c>
      <c r="P308">
        <f t="shared" si="24"/>
        <v>1</v>
      </c>
    </row>
    <row r="309" spans="1:16" x14ac:dyDescent="0.25">
      <c r="A309" s="1"/>
      <c r="B309" s="4">
        <v>17533</v>
      </c>
      <c r="C309" t="s">
        <v>24</v>
      </c>
      <c r="D309" s="3">
        <v>12.458333333333334</v>
      </c>
      <c r="E309" s="5">
        <f t="shared" si="20"/>
        <v>1948</v>
      </c>
      <c r="F309">
        <v>0.26117000000000001</v>
      </c>
      <c r="G309">
        <f t="shared" si="21"/>
        <v>0.22387999999999997</v>
      </c>
      <c r="H309">
        <f t="shared" si="22"/>
        <v>0.22387999999999997</v>
      </c>
      <c r="I309" s="5">
        <f t="shared" si="23"/>
        <v>1948</v>
      </c>
      <c r="J309">
        <f>+H309+CF*F309*(1+($I309-1850)*slope/1000)+F309*hQc*COS(2*PI()*$I309/qbo+$L309)+F309*hQs*SIN(2*PI()*$I309/qbo+$L309)+F309*hCs*SIN(2*PI()*$I309/cw)+F309*hCc*COS(2*PI()*$I309/cw) +mix*F309*(hQc*COS(2*PI()*$I309/qbo+$L309)+hQs*SIN(2*PI()*$I309/qbo+$L309))*(hCs*SIN(2*PI()*$I309/cw)+hCc*COS(2*PI()*$I309/cw))</f>
        <v>0.88573032642954319</v>
      </c>
      <c r="K309">
        <f>fQc*COS(2*PI()*$I309/qbo+$L309)+fQs*SIN(2*PI()*$I309/qbo+$L309)+fCs*SIN(2*PI()*$I309/cw)+fCc*COS(2*PI()*$I309/cw)</f>
        <v>2.3739510102927079</v>
      </c>
      <c r="L309">
        <f>+QMA*COS(2*PI()*$I309/QM+QMP)</f>
        <v>0.60033932786569399</v>
      </c>
      <c r="P309">
        <f t="shared" si="24"/>
        <v>1</v>
      </c>
    </row>
    <row r="310" spans="1:16" x14ac:dyDescent="0.25">
      <c r="A310" s="1"/>
      <c r="B310" s="4">
        <v>17899</v>
      </c>
      <c r="C310" t="s">
        <v>24</v>
      </c>
      <c r="D310" s="3">
        <v>12.5</v>
      </c>
      <c r="E310" s="5">
        <f t="shared" si="20"/>
        <v>1949</v>
      </c>
      <c r="F310">
        <v>0.29265999999999998</v>
      </c>
      <c r="G310">
        <f t="shared" si="21"/>
        <v>-1.9669099999999999</v>
      </c>
      <c r="H310">
        <f t="shared" si="22"/>
        <v>-1.9669099999999999</v>
      </c>
      <c r="I310" s="5">
        <f t="shared" si="23"/>
        <v>1949</v>
      </c>
      <c r="J310">
        <f>+H310+CF*F310*(1+($I310-1850)*slope/1000)+F310*hQc*COS(2*PI()*$I310/qbo+$L310)+F310*hQs*SIN(2*PI()*$I310/qbo+$L310)+F310*hCs*SIN(2*PI()*$I310/cw)+F310*hCc*COS(2*PI()*$I310/cw) +mix*F310*(hQc*COS(2*PI()*$I310/qbo+$L310)+hQs*SIN(2*PI()*$I310/qbo+$L310))*(hCs*SIN(2*PI()*$I310/cw)+hCc*COS(2*PI()*$I310/cw))</f>
        <v>-2.6588714291348863</v>
      </c>
      <c r="K310">
        <f>fQc*COS(2*PI()*$I310/qbo+$L310)+fQs*SIN(2*PI()*$I310/qbo+$L310)+fCs*SIN(2*PI()*$I310/cw)+fCc*COS(2*PI()*$I310/cw)</f>
        <v>-2.5156047570066624</v>
      </c>
      <c r="L310">
        <f>+QMA*COS(2*PI()*$I310/QM+QMP)</f>
        <v>0.49606495574706166</v>
      </c>
      <c r="P310">
        <f t="shared" si="24"/>
        <v>1</v>
      </c>
    </row>
    <row r="311" spans="1:16" x14ac:dyDescent="0.25">
      <c r="A311" s="1"/>
      <c r="B311" s="4">
        <v>18264</v>
      </c>
      <c r="C311" t="s">
        <v>24</v>
      </c>
      <c r="D311" s="3">
        <v>12.541666666666666</v>
      </c>
      <c r="E311" s="5">
        <f t="shared" si="20"/>
        <v>1950</v>
      </c>
      <c r="F311">
        <v>-1.64276</v>
      </c>
      <c r="G311">
        <f t="shared" si="21"/>
        <v>1.5607</v>
      </c>
      <c r="H311">
        <f t="shared" si="22"/>
        <v>1.5607</v>
      </c>
      <c r="I311" s="5">
        <f t="shared" si="23"/>
        <v>1950</v>
      </c>
      <c r="J311">
        <f>+H311+CF*F311*(1+($I311-1850)*slope/1000)+F311*hQc*COS(2*PI()*$I311/qbo+$L311)+F311*hQs*SIN(2*PI()*$I311/qbo+$L311)+F311*hCs*SIN(2*PI()*$I311/cw)+F311*hCc*COS(2*PI()*$I311/cw) +mix*F311*(hQc*COS(2*PI()*$I311/qbo+$L311)+hQs*SIN(2*PI()*$I311/qbo+$L311))*(hCs*SIN(2*PI()*$I311/cw)+hCc*COS(2*PI()*$I311/cw))</f>
        <v>-1.432671019938754</v>
      </c>
      <c r="K311">
        <f>fQc*COS(2*PI()*$I311/qbo+$L311)+fQs*SIN(2*PI()*$I311/qbo+$L311)+fCs*SIN(2*PI()*$I311/cw)+fCc*COS(2*PI()*$I311/cw)</f>
        <v>0.28342806585476948</v>
      </c>
      <c r="L311">
        <f>+QMA*COS(2*PI()*$I311/QM+QMP)</f>
        <v>0.38232719719662228</v>
      </c>
      <c r="P311">
        <f t="shared" si="24"/>
        <v>0</v>
      </c>
    </row>
    <row r="312" spans="1:16" x14ac:dyDescent="0.25">
      <c r="A312" s="1"/>
      <c r="B312" s="4">
        <v>18629</v>
      </c>
      <c r="C312" t="s">
        <v>24</v>
      </c>
      <c r="D312" s="3">
        <v>12.583333333333334</v>
      </c>
      <c r="E312" s="5">
        <f t="shared" si="20"/>
        <v>1951</v>
      </c>
      <c r="F312">
        <v>-2.0174799999999999</v>
      </c>
      <c r="G312">
        <f t="shared" si="21"/>
        <v>3.1111800000000001</v>
      </c>
      <c r="H312">
        <f t="shared" si="22"/>
        <v>3.1111800000000001</v>
      </c>
      <c r="I312" s="5">
        <f t="shared" si="23"/>
        <v>1951</v>
      </c>
      <c r="J312">
        <f>+H312+CF*F312*(1+($I312-1850)*slope/1000)+F312*hQc*COS(2*PI()*$I312/qbo+$L312)+F312*hQs*SIN(2*PI()*$I312/qbo+$L312)+F312*hCs*SIN(2*PI()*$I312/cw)+F312*hCc*COS(2*PI()*$I312/cw) +mix*F312*(hQc*COS(2*PI()*$I312/qbo+$L312)+hQs*SIN(2*PI()*$I312/qbo+$L312))*(hCs*SIN(2*PI()*$I312/cw)+hCc*COS(2*PI()*$I312/cw))</f>
        <v>2.2757392020919993</v>
      </c>
      <c r="K312">
        <f>fQc*COS(2*PI()*$I312/qbo+$L312)+fQs*SIN(2*PI()*$I312/qbo+$L312)+fCs*SIN(2*PI()*$I312/cw)+fCc*COS(2*PI()*$I312/cw)</f>
        <v>1.0230149761412954</v>
      </c>
      <c r="L312">
        <f>+QMA*COS(2*PI()*$I312/QM+QMP)</f>
        <v>0.26129581717883449</v>
      </c>
      <c r="P312">
        <f t="shared" si="24"/>
        <v>1</v>
      </c>
    </row>
    <row r="313" spans="1:16" x14ac:dyDescent="0.25">
      <c r="A313" s="1"/>
      <c r="B313" s="4">
        <v>18994</v>
      </c>
      <c r="C313" t="s">
        <v>24</v>
      </c>
      <c r="D313" s="3">
        <v>12.625</v>
      </c>
      <c r="E313" s="5">
        <f t="shared" si="20"/>
        <v>1952</v>
      </c>
      <c r="F313">
        <v>0.71897999999999995</v>
      </c>
      <c r="G313">
        <f t="shared" si="21"/>
        <v>-4.4628800000000002</v>
      </c>
      <c r="H313">
        <f t="shared" si="22"/>
        <v>-4.4628800000000002</v>
      </c>
      <c r="I313" s="5">
        <f t="shared" si="23"/>
        <v>1952</v>
      </c>
      <c r="J313">
        <f>+H313+CF*F313*(1+($I313-1850)*slope/1000)+F313*hQc*COS(2*PI()*$I313/qbo+$L313)+F313*hQs*SIN(2*PI()*$I313/qbo+$L313)+F313*hCs*SIN(2*PI()*$I313/cw)+F313*hCc*COS(2*PI()*$I313/cw) +mix*F313*(hQc*COS(2*PI()*$I313/qbo+$L313)+hQs*SIN(2*PI()*$I313/qbo+$L313))*(hCs*SIN(2*PI()*$I313/cw)+hCc*COS(2*PI()*$I313/cw))</f>
        <v>-3.7294927575033574</v>
      </c>
      <c r="K313">
        <f>fQc*COS(2*PI()*$I313/qbo+$L313)+fQs*SIN(2*PI()*$I313/qbo+$L313)+fCs*SIN(2*PI()*$I313/cw)+fCc*COS(2*PI()*$I313/cw)</f>
        <v>-2.001448979919227</v>
      </c>
      <c r="L313">
        <f>+QMA*COS(2*PI()*$I313/QM+QMP)</f>
        <v>0.1352797204170382</v>
      </c>
      <c r="P313">
        <f t="shared" si="24"/>
        <v>1</v>
      </c>
    </row>
    <row r="314" spans="1:16" x14ac:dyDescent="0.25">
      <c r="A314" s="1"/>
      <c r="B314" s="4">
        <v>19360</v>
      </c>
      <c r="C314" t="s">
        <v>24</v>
      </c>
      <c r="D314" s="3">
        <v>12.666666666666666</v>
      </c>
      <c r="E314" s="5">
        <f t="shared" si="20"/>
        <v>1953</v>
      </c>
      <c r="F314">
        <v>-1.0074399999999999</v>
      </c>
      <c r="G314">
        <f t="shared" si="21"/>
        <v>1.6179499999999998</v>
      </c>
      <c r="H314">
        <f t="shared" si="22"/>
        <v>1.6179499999999998</v>
      </c>
      <c r="I314" s="5">
        <f t="shared" si="23"/>
        <v>1953</v>
      </c>
      <c r="J314">
        <f>+H314+CF*F314*(1+($I314-1850)*slope/1000)+F314*hQc*COS(2*PI()*$I314/qbo+$L314)+F314*hQs*SIN(2*PI()*$I314/qbo+$L314)+F314*hCs*SIN(2*PI()*$I314/cw)+F314*hCc*COS(2*PI()*$I314/cw) +mix*F314*(hQc*COS(2*PI()*$I314/qbo+$L314)+hQs*SIN(2*PI()*$I314/qbo+$L314))*(hCs*SIN(2*PI()*$I314/cw)+hCc*COS(2*PI()*$I314/cw))</f>
        <v>9.4101291136969749</v>
      </c>
      <c r="K314">
        <f>fQc*COS(2*PI()*$I314/qbo+$L314)+fQs*SIN(2*PI()*$I314/qbo+$L314)+fCs*SIN(2*PI()*$I314/cw)+fCc*COS(2*PI()*$I314/cw)</f>
        <v>3.3623726719959475</v>
      </c>
      <c r="L314">
        <f>+QMA*COS(2*PI()*$I314/QM+QMP)</f>
        <v>6.6829046267429222E-3</v>
      </c>
      <c r="P314">
        <f t="shared" si="24"/>
        <v>1</v>
      </c>
    </row>
    <row r="315" spans="1:16" x14ac:dyDescent="0.25">
      <c r="A315" s="1"/>
      <c r="B315" s="4">
        <v>19725</v>
      </c>
      <c r="C315" t="s">
        <v>24</v>
      </c>
      <c r="D315" s="3">
        <v>12.708333333333334</v>
      </c>
      <c r="E315" s="5">
        <f t="shared" si="20"/>
        <v>1954</v>
      </c>
      <c r="F315">
        <v>-1.11591</v>
      </c>
      <c r="G315">
        <f t="shared" si="21"/>
        <v>-2.1549999999999958E-2</v>
      </c>
      <c r="H315">
        <f t="shared" si="22"/>
        <v>-2.1549999999999958E-2</v>
      </c>
      <c r="I315" s="5">
        <f t="shared" si="23"/>
        <v>1954</v>
      </c>
      <c r="J315">
        <f>+H315+CF*F315*(1+($I315-1850)*slope/1000)+F315*hQc*COS(2*PI()*$I315/qbo+$L315)+F315*hQs*SIN(2*PI()*$I315/qbo+$L315)+F315*hCs*SIN(2*PI()*$I315/cw)+F315*hCc*COS(2*PI()*$I315/cw) +mix*F315*(hQc*COS(2*PI()*$I315/qbo+$L315)+hQs*SIN(2*PI()*$I315/qbo+$L315))*(hCs*SIN(2*PI()*$I315/cw)+hCc*COS(2*PI()*$I315/cw))</f>
        <v>-3.997060352217825</v>
      </c>
      <c r="K315">
        <f>fQc*COS(2*PI()*$I315/qbo+$L315)+fQs*SIN(2*PI()*$I315/qbo+$L315)+fCs*SIN(2*PI()*$I315/cw)+fCc*COS(2*PI()*$I315/cw)</f>
        <v>-2.0402652016052873</v>
      </c>
      <c r="L315">
        <f>+QMA*COS(2*PI()*$I315/QM+QMP)</f>
        <v>-0.12204140033248273</v>
      </c>
      <c r="P315">
        <f t="shared" si="24"/>
        <v>1</v>
      </c>
    </row>
    <row r="316" spans="1:16" x14ac:dyDescent="0.25">
      <c r="A316" s="1"/>
      <c r="B316" s="4">
        <v>20090</v>
      </c>
      <c r="C316" t="s">
        <v>24</v>
      </c>
      <c r="D316" s="3">
        <v>12.75</v>
      </c>
      <c r="E316" s="5">
        <f t="shared" si="20"/>
        <v>1955</v>
      </c>
      <c r="F316">
        <v>-1.24593</v>
      </c>
      <c r="G316">
        <f t="shared" si="21"/>
        <v>-0.64243000000000006</v>
      </c>
      <c r="H316">
        <f t="shared" si="22"/>
        <v>-0.64243000000000006</v>
      </c>
      <c r="I316" s="5">
        <f t="shared" si="23"/>
        <v>1955</v>
      </c>
      <c r="J316">
        <f>+H316+CF*F316*(1+($I316-1850)*slope/1000)+F316*hQc*COS(2*PI()*$I316/qbo+$L316)+F316*hQs*SIN(2*PI()*$I316/qbo+$L316)+F316*hCs*SIN(2*PI()*$I316/cw)+F316*hCc*COS(2*PI()*$I316/cw) +mix*F316*(hQc*COS(2*PI()*$I316/qbo+$L316)+hQs*SIN(2*PI()*$I316/qbo+$L316))*(hCs*SIN(2*PI()*$I316/cw)+hCc*COS(2*PI()*$I316/cw))</f>
        <v>4.1356251945614657</v>
      </c>
      <c r="K316">
        <f>fQc*COS(2*PI()*$I316/qbo+$L316)+fQs*SIN(2*PI()*$I316/qbo+$L316)+fCs*SIN(2*PI()*$I316/cw)+fCc*COS(2*PI()*$I316/cw)</f>
        <v>1.3891538663580081</v>
      </c>
      <c r="L316">
        <f>+QMA*COS(2*PI()*$I316/QM+QMP)</f>
        <v>-0.24843753250179718</v>
      </c>
      <c r="P316">
        <f t="shared" si="24"/>
        <v>1</v>
      </c>
    </row>
    <row r="317" spans="1:16" x14ac:dyDescent="0.25">
      <c r="A317" s="1"/>
      <c r="B317" s="4">
        <v>20455</v>
      </c>
      <c r="C317" t="s">
        <v>24</v>
      </c>
      <c r="D317" s="3">
        <v>12.791666666666666</v>
      </c>
      <c r="E317" s="5">
        <f t="shared" si="20"/>
        <v>1956</v>
      </c>
      <c r="F317">
        <v>-2.0183800000000001</v>
      </c>
      <c r="G317">
        <f t="shared" si="21"/>
        <v>2.0367800000000003</v>
      </c>
      <c r="H317">
        <f t="shared" si="22"/>
        <v>2.0367800000000003</v>
      </c>
      <c r="I317" s="5">
        <f t="shared" si="23"/>
        <v>1956</v>
      </c>
      <c r="J317">
        <f>+H317+CF*F317*(1+($I317-1850)*slope/1000)+F317*hQc*COS(2*PI()*$I317/qbo+$L317)+F317*hQs*SIN(2*PI()*$I317/qbo+$L317)+F317*hCs*SIN(2*PI()*$I317/cw)+F317*hCc*COS(2*PI()*$I317/cw) +mix*F317*(hQc*COS(2*PI()*$I317/qbo+$L317)+hQs*SIN(2*PI()*$I317/qbo+$L317))*(hCs*SIN(2*PI()*$I317/cw)+hCc*COS(2*PI()*$I317/cw))</f>
        <v>3.5509827884371155</v>
      </c>
      <c r="K317">
        <f>fQc*COS(2*PI()*$I317/qbo+$L317)+fQs*SIN(2*PI()*$I317/qbo+$L317)+fCs*SIN(2*PI()*$I317/cw)+fCc*COS(2*PI()*$I317/cw)</f>
        <v>0.17057893384975123</v>
      </c>
      <c r="L317">
        <f>+QMA*COS(2*PI()*$I317/QM+QMP)</f>
        <v>-0.37009424426458748</v>
      </c>
      <c r="P317">
        <f t="shared" si="24"/>
        <v>1</v>
      </c>
    </row>
    <row r="318" spans="1:16" x14ac:dyDescent="0.25">
      <c r="A318" s="1"/>
      <c r="B318" s="4">
        <v>20821</v>
      </c>
      <c r="C318" t="s">
        <v>24</v>
      </c>
      <c r="D318" s="3">
        <v>12.833333333333334</v>
      </c>
      <c r="E318" s="5">
        <f t="shared" si="20"/>
        <v>1957</v>
      </c>
      <c r="F318">
        <v>-0.75405</v>
      </c>
      <c r="G318">
        <f t="shared" si="21"/>
        <v>1.1063399999999999</v>
      </c>
      <c r="H318">
        <f t="shared" si="22"/>
        <v>1.1063399999999999</v>
      </c>
      <c r="I318" s="5">
        <f t="shared" si="23"/>
        <v>1957</v>
      </c>
      <c r="J318">
        <f>+H318+CF*F318*(1+($I318-1850)*slope/1000)+F318*hQc*COS(2*PI()*$I318/qbo+$L318)+F318*hQs*SIN(2*PI()*$I318/qbo+$L318)+F318*hCs*SIN(2*PI()*$I318/cw)+F318*hCc*COS(2*PI()*$I318/cw) +mix*F318*(hQc*COS(2*PI()*$I318/qbo+$L318)+hQs*SIN(2*PI()*$I318/qbo+$L318))*(hCs*SIN(2*PI()*$I318/cw)+hCc*COS(2*PI()*$I318/cw))</f>
        <v>2.1171411927862387</v>
      </c>
      <c r="K318">
        <f>fQc*COS(2*PI()*$I318/qbo+$L318)+fQs*SIN(2*PI()*$I318/qbo+$L318)+fCs*SIN(2*PI()*$I318/cw)+fCc*COS(2*PI()*$I318/cw)</f>
        <v>-2.2971048648076353</v>
      </c>
      <c r="L318">
        <f>+QMA*COS(2*PI()*$I318/QM+QMP)</f>
        <v>-0.48469070150004695</v>
      </c>
      <c r="P318">
        <f t="shared" si="24"/>
        <v>0</v>
      </c>
    </row>
    <row r="319" spans="1:16" x14ac:dyDescent="0.25">
      <c r="A319" s="1"/>
      <c r="B319" s="4">
        <v>21186</v>
      </c>
      <c r="C319" t="s">
        <v>24</v>
      </c>
      <c r="D319" s="3">
        <v>12.875</v>
      </c>
      <c r="E319" s="5">
        <f t="shared" si="20"/>
        <v>1958</v>
      </c>
      <c r="F319">
        <v>1.6166199999999999</v>
      </c>
      <c r="G319">
        <f t="shared" si="21"/>
        <v>-4.0720499999999999</v>
      </c>
      <c r="H319">
        <f t="shared" si="22"/>
        <v>-4.0720499999999999</v>
      </c>
      <c r="I319" s="5">
        <f t="shared" si="23"/>
        <v>1958</v>
      </c>
      <c r="J319">
        <f>+H319+CF*F319*(1+($I319-1850)*slope/1000)+F319*hQc*COS(2*PI()*$I319/qbo+$L319)+F319*hQs*SIN(2*PI()*$I319/qbo+$L319)+F319*hCs*SIN(2*PI()*$I319/cw)+F319*hCc*COS(2*PI()*$I319/cw) +mix*F319*(hQc*COS(2*PI()*$I319/qbo+$L319)+hQs*SIN(2*PI()*$I319/qbo+$L319))*(hCs*SIN(2*PI()*$I319/cw)+hCc*COS(2*PI()*$I319/cw))</f>
        <v>4.3638910204122983</v>
      </c>
      <c r="K319">
        <f>fQc*COS(2*PI()*$I319/qbo+$L319)+fQs*SIN(2*PI()*$I319/qbo+$L319)+fCs*SIN(2*PI()*$I319/cw)+fCc*COS(2*PI()*$I319/cw)</f>
        <v>2.253439950725554</v>
      </c>
      <c r="L319">
        <f>+QMA*COS(2*PI()*$I319/QM+QMP)</f>
        <v>-0.59004075792638067</v>
      </c>
      <c r="P319">
        <f t="shared" si="24"/>
        <v>1</v>
      </c>
    </row>
    <row r="320" spans="1:16" x14ac:dyDescent="0.25">
      <c r="A320" s="1"/>
      <c r="B320" s="4">
        <v>21551</v>
      </c>
      <c r="C320" t="s">
        <v>24</v>
      </c>
      <c r="D320" s="3">
        <v>12.916666666666666</v>
      </c>
      <c r="E320" s="5">
        <f t="shared" si="20"/>
        <v>1959</v>
      </c>
      <c r="F320">
        <v>-8.4760000000000002E-2</v>
      </c>
      <c r="G320">
        <f t="shared" si="21"/>
        <v>1.8968999999999998</v>
      </c>
      <c r="H320">
        <f t="shared" si="22"/>
        <v>1.8968999999999998</v>
      </c>
      <c r="I320" s="5">
        <f t="shared" si="23"/>
        <v>1959</v>
      </c>
      <c r="J320">
        <f>+H320+CF*F320*(1+($I320-1850)*slope/1000)+F320*hQc*COS(2*PI()*$I320/qbo+$L320)+F320*hQs*SIN(2*PI()*$I320/qbo+$L320)+F320*hCs*SIN(2*PI()*$I320/cw)+F320*hCc*COS(2*PI()*$I320/cw) +mix*F320*(hQc*COS(2*PI()*$I320/qbo+$L320)+hQs*SIN(2*PI()*$I320/qbo+$L320))*(hCs*SIN(2*PI()*$I320/cw)+hCc*COS(2*PI()*$I320/cw))</f>
        <v>2.1615888968881287</v>
      </c>
      <c r="K320">
        <f>fQc*COS(2*PI()*$I320/qbo+$L320)+fQs*SIN(2*PI()*$I320/qbo+$L320)+fCs*SIN(2*PI()*$I320/cw)+fCc*COS(2*PI()*$I320/cw)</f>
        <v>-3.0720080315304412</v>
      </c>
      <c r="L320">
        <f>+QMA*COS(2*PI()*$I320/QM+QMP)</f>
        <v>-0.68413466001626766</v>
      </c>
      <c r="P320">
        <f t="shared" si="24"/>
        <v>0</v>
      </c>
    </row>
    <row r="321" spans="1:16" x14ac:dyDescent="0.25">
      <c r="A321" s="1"/>
      <c r="B321" s="4">
        <v>21916</v>
      </c>
      <c r="C321" t="s">
        <v>24</v>
      </c>
      <c r="D321" s="3">
        <v>12.958333333333334</v>
      </c>
      <c r="E321" s="5">
        <f t="shared" si="20"/>
        <v>1960</v>
      </c>
      <c r="F321">
        <v>0.11076</v>
      </c>
      <c r="G321">
        <f t="shared" si="21"/>
        <v>-1.1359599999999999</v>
      </c>
      <c r="H321">
        <f t="shared" si="22"/>
        <v>-1.1359599999999999</v>
      </c>
      <c r="I321" s="5">
        <f t="shared" si="23"/>
        <v>1960</v>
      </c>
      <c r="J321">
        <f>+H321+CF*F321*(1+($I321-1850)*slope/1000)+F321*hQc*COS(2*PI()*$I321/qbo+$L321)+F321*hQs*SIN(2*PI()*$I321/qbo+$L321)+F321*hCs*SIN(2*PI()*$I321/cw)+F321*hCc*COS(2*PI()*$I321/cw) +mix*F321*(hQc*COS(2*PI()*$I321/qbo+$L321)+hQs*SIN(2*PI()*$I321/qbo+$L321))*(hCs*SIN(2*PI()*$I321/cw)+hCc*COS(2*PI()*$I321/cw))</f>
        <v>-1.1076404338609023</v>
      </c>
      <c r="K321">
        <f>fQc*COS(2*PI()*$I321/qbo+$L321)+fQs*SIN(2*PI()*$I321/qbo+$L321)+fCs*SIN(2*PI()*$I321/cw)+fCc*COS(2*PI()*$I321/cw)</f>
        <v>2.1086705356956319</v>
      </c>
      <c r="L321">
        <f>+QMA*COS(2*PI()*$I321/QM+QMP)</f>
        <v>-0.7651773868838363</v>
      </c>
      <c r="P321">
        <f t="shared" si="24"/>
        <v>0</v>
      </c>
    </row>
    <row r="322" spans="1:16" x14ac:dyDescent="0.25">
      <c r="A322" s="1"/>
      <c r="B322" s="4">
        <v>22282</v>
      </c>
      <c r="C322" t="s">
        <v>24</v>
      </c>
      <c r="D322" s="3">
        <v>13</v>
      </c>
      <c r="E322" s="5">
        <f t="shared" si="20"/>
        <v>1961</v>
      </c>
      <c r="F322">
        <v>-0.82967999999999997</v>
      </c>
      <c r="G322">
        <f t="shared" si="21"/>
        <v>1.8454699999999999</v>
      </c>
      <c r="H322">
        <f t="shared" si="22"/>
        <v>1.8454699999999999</v>
      </c>
      <c r="I322" s="5">
        <f t="shared" si="23"/>
        <v>1961</v>
      </c>
      <c r="J322">
        <f>+H322+CF*F322*(1+($I322-1850)*slope/1000)+F322*hQc*COS(2*PI()*$I322/qbo+$L322)+F322*hQs*SIN(2*PI()*$I322/qbo+$L322)+F322*hCs*SIN(2*PI()*$I322/cw)+F322*hCc*COS(2*PI()*$I322/cw) +mix*F322*(hQc*COS(2*PI()*$I322/qbo+$L322)+hQs*SIN(2*PI()*$I322/qbo+$L322))*(hCs*SIN(2*PI()*$I322/cw)+hCc*COS(2*PI()*$I322/cw))</f>
        <v>2.1446347171246658</v>
      </c>
      <c r="K322">
        <f>fQc*COS(2*PI()*$I322/qbo+$L322)+fQs*SIN(2*PI()*$I322/qbo+$L322)+fCs*SIN(2*PI()*$I322/cw)+fCc*COS(2*PI()*$I322/cw)</f>
        <v>-0.41493216504365682</v>
      </c>
      <c r="L322">
        <f>+QMA*COS(2*PI()*$I322/QM+QMP)</f>
        <v>-0.83162289373604426</v>
      </c>
      <c r="P322">
        <f t="shared" si="24"/>
        <v>0</v>
      </c>
    </row>
    <row r="323" spans="1:16" x14ac:dyDescent="0.25">
      <c r="A323" s="1"/>
      <c r="B323" s="4">
        <v>22647</v>
      </c>
      <c r="C323" t="s">
        <v>24</v>
      </c>
      <c r="D323" s="3">
        <v>13.041666666666666</v>
      </c>
      <c r="E323" s="5">
        <f t="shared" si="20"/>
        <v>1962</v>
      </c>
      <c r="F323">
        <v>7.535E-2</v>
      </c>
      <c r="G323">
        <f t="shared" si="21"/>
        <v>-1.6600299999999999</v>
      </c>
      <c r="H323">
        <f t="shared" si="22"/>
        <v>-1.6600299999999999</v>
      </c>
      <c r="I323" s="5">
        <f t="shared" si="23"/>
        <v>1962</v>
      </c>
      <c r="J323">
        <f>+H323+CF*F323*(1+($I323-1850)*slope/1000)+F323*hQc*COS(2*PI()*$I323/qbo+$L323)+F323*hQs*SIN(2*PI()*$I323/qbo+$L323)+F323*hCs*SIN(2*PI()*$I323/cw)+F323*hCc*COS(2*PI()*$I323/cw) +mix*F323*(hQc*COS(2*PI()*$I323/qbo+$L323)+hQs*SIN(2*PI()*$I323/qbo+$L323))*(hCs*SIN(2*PI()*$I323/cw)+hCc*COS(2*PI()*$I323/cw))</f>
        <v>-1.7329857082848041</v>
      </c>
      <c r="K323">
        <f>fQc*COS(2*PI()*$I323/qbo+$L323)+fQs*SIN(2*PI()*$I323/qbo+$L323)+fCs*SIN(2*PI()*$I323/cw)+fCc*COS(2*PI()*$I323/cw)</f>
        <v>-0.16001348367608512</v>
      </c>
      <c r="L323">
        <f>+QMA*COS(2*PI()*$I323/QM+QMP)</f>
        <v>-0.8822036056298308</v>
      </c>
      <c r="P323">
        <f t="shared" si="24"/>
        <v>1</v>
      </c>
    </row>
    <row r="324" spans="1:16" x14ac:dyDescent="0.25">
      <c r="A324" s="1"/>
      <c r="B324" s="4">
        <v>23012</v>
      </c>
      <c r="C324" t="s">
        <v>24</v>
      </c>
      <c r="D324" s="3">
        <v>13.083333333333334</v>
      </c>
      <c r="E324" s="5">
        <f t="shared" si="20"/>
        <v>1963</v>
      </c>
      <c r="F324">
        <v>-0.67964999999999998</v>
      </c>
      <c r="G324">
        <f t="shared" si="21"/>
        <v>2.6599699999999999</v>
      </c>
      <c r="H324">
        <f t="shared" si="22"/>
        <v>2.6599699999999999</v>
      </c>
      <c r="I324" s="5">
        <f t="shared" si="23"/>
        <v>1963</v>
      </c>
      <c r="J324">
        <f>+H324+CF*F324*(1+($I324-1850)*slope/1000)+F324*hQc*COS(2*PI()*$I324/qbo+$L324)+F324*hQs*SIN(2*PI()*$I324/qbo+$L324)+F324*hCs*SIN(2*PI()*$I324/cw)+F324*hCc*COS(2*PI()*$I324/cw) +mix*F324*(hQc*COS(2*PI()*$I324/qbo+$L324)+hQs*SIN(2*PI()*$I324/qbo+$L324))*(hCs*SIN(2*PI()*$I324/cw)+hCc*COS(2*PI()*$I324/cw))</f>
        <v>6.967102942434801</v>
      </c>
      <c r="K324">
        <f>fQc*COS(2*PI()*$I324/qbo+$L324)+fQs*SIN(2*PI()*$I324/qbo+$L324)+fCs*SIN(2*PI()*$I324/cw)+fCc*COS(2*PI()*$I324/cw)</f>
        <v>2.2839372265944133</v>
      </c>
      <c r="L324">
        <f>+QMA*COS(2*PI()*$I324/QM+QMP)</f>
        <v>-0.91595459888521102</v>
      </c>
      <c r="P324">
        <f t="shared" si="24"/>
        <v>1</v>
      </c>
    </row>
    <row r="325" spans="1:16" x14ac:dyDescent="0.25">
      <c r="A325" s="1"/>
      <c r="B325" s="4">
        <v>23377</v>
      </c>
      <c r="C325" t="s">
        <v>24</v>
      </c>
      <c r="D325" s="3">
        <v>13.125</v>
      </c>
      <c r="E325" s="5">
        <f t="shared" si="20"/>
        <v>1964</v>
      </c>
      <c r="F325">
        <v>1.22532</v>
      </c>
      <c r="G325">
        <f t="shared" si="21"/>
        <v>-2.9074200000000001</v>
      </c>
      <c r="H325">
        <f t="shared" si="22"/>
        <v>-2.9074200000000001</v>
      </c>
      <c r="I325" s="5">
        <f t="shared" si="23"/>
        <v>1964</v>
      </c>
      <c r="J325">
        <f>+H325+CF*F325*(1+($I325-1850)*slope/1000)+F325*hQc*COS(2*PI()*$I325/qbo+$L325)+F325*hQs*SIN(2*PI()*$I325/qbo+$L325)+F325*hCs*SIN(2*PI()*$I325/cw)+F325*hCc*COS(2*PI()*$I325/cw) +mix*F325*(hQc*COS(2*PI()*$I325/qbo+$L325)+hQs*SIN(2*PI()*$I325/qbo+$L325))*(hCs*SIN(2*PI()*$I325/cw)+hCc*COS(2*PI()*$I325/cw))</f>
        <v>-0.24495264446697718</v>
      </c>
      <c r="K325">
        <f>fQc*COS(2*PI()*$I325/qbo+$L325)+fQs*SIN(2*PI()*$I325/qbo+$L325)+fCs*SIN(2*PI()*$I325/cw)+fCc*COS(2*PI()*$I325/cw)</f>
        <v>-2.5740371964255573</v>
      </c>
      <c r="L325">
        <f>+QMA*COS(2*PI()*$I325/QM+QMP)</f>
        <v>-0.93223200884707336</v>
      </c>
      <c r="P325">
        <f t="shared" si="24"/>
        <v>1</v>
      </c>
    </row>
    <row r="326" spans="1:16" x14ac:dyDescent="0.25">
      <c r="A326" s="1"/>
      <c r="B326" s="4">
        <v>23743</v>
      </c>
      <c r="C326" t="s">
        <v>24</v>
      </c>
      <c r="D326" s="3">
        <v>13.166666666666666</v>
      </c>
      <c r="E326" s="5">
        <f t="shared" si="20"/>
        <v>1965</v>
      </c>
      <c r="F326">
        <v>0.22287000000000001</v>
      </c>
      <c r="G326">
        <f t="shared" si="21"/>
        <v>2.5870000000000002</v>
      </c>
      <c r="H326">
        <f t="shared" si="22"/>
        <v>2.5870000000000002</v>
      </c>
      <c r="I326" s="5">
        <f t="shared" si="23"/>
        <v>1965</v>
      </c>
      <c r="J326">
        <f>+H326+CF*F326*(1+($I326-1850)*slope/1000)+F326*hQc*COS(2*PI()*$I326/qbo+$L326)+F326*hQs*SIN(2*PI()*$I326/qbo+$L326)+F326*hCs*SIN(2*PI()*$I326/cw)+F326*hCc*COS(2*PI()*$I326/cw) +mix*F326*(hQc*COS(2*PI()*$I326/qbo+$L326)+hQs*SIN(2*PI()*$I326/qbo+$L326))*(hCs*SIN(2*PI()*$I326/cw)+hCc*COS(2*PI()*$I326/cw))</f>
        <v>2.3769498331978438</v>
      </c>
      <c r="K326">
        <f>fQc*COS(2*PI()*$I326/qbo+$L326)+fQs*SIN(2*PI()*$I326/qbo+$L326)+fCs*SIN(2*PI()*$I326/cw)+fCc*COS(2*PI()*$I326/cw)</f>
        <v>2.6170262127200408</v>
      </c>
      <c r="L326">
        <f>+QMA*COS(2*PI()*$I326/QM+QMP)</f>
        <v>-0.93072531283327009</v>
      </c>
      <c r="P326">
        <f t="shared" si="24"/>
        <v>1</v>
      </c>
    </row>
    <row r="327" spans="1:16" x14ac:dyDescent="0.25">
      <c r="A327" s="1"/>
      <c r="B327" s="4">
        <v>24108</v>
      </c>
      <c r="C327" t="s">
        <v>24</v>
      </c>
      <c r="D327" s="3">
        <v>13.208333333333334</v>
      </c>
      <c r="E327" s="5">
        <f t="shared" si="20"/>
        <v>1966</v>
      </c>
      <c r="F327">
        <v>1.80742</v>
      </c>
      <c r="G327">
        <f t="shared" si="21"/>
        <v>-3.9504299999999999</v>
      </c>
      <c r="H327">
        <f t="shared" si="22"/>
        <v>-3.9504299999999999</v>
      </c>
      <c r="I327" s="5">
        <f t="shared" si="23"/>
        <v>1966</v>
      </c>
      <c r="J327">
        <f>+H327+CF*F327*(1+($I327-1850)*slope/1000)+F327*hQc*COS(2*PI()*$I327/qbo+$L327)+F327*hQs*SIN(2*PI()*$I327/qbo+$L327)+F327*hCs*SIN(2*PI()*$I327/cw)+F327*hCc*COS(2*PI()*$I327/cw) +mix*F327*(hQc*COS(2*PI()*$I327/qbo+$L327)+hQs*SIN(2*PI()*$I327/qbo+$L327))*(hCs*SIN(2*PI()*$I327/cw)+hCc*COS(2*PI()*$I327/cw))</f>
        <v>-8.405154267512895</v>
      </c>
      <c r="K327">
        <f>fQc*COS(2*PI()*$I327/qbo+$L327)+fQs*SIN(2*PI()*$I327/qbo+$L327)+fCs*SIN(2*PI()*$I327/cw)+fCc*COS(2*PI()*$I327/cw)</f>
        <v>-2.975810175779861</v>
      </c>
      <c r="L327">
        <f>+QMA*COS(2*PI()*$I327/QM+QMP)</f>
        <v>-0.91146325394780148</v>
      </c>
      <c r="P327">
        <f t="shared" si="24"/>
        <v>1</v>
      </c>
    </row>
    <row r="328" spans="1:16" x14ac:dyDescent="0.25">
      <c r="A328" s="1"/>
      <c r="B328" s="4">
        <v>24473</v>
      </c>
      <c r="C328" t="s">
        <v>24</v>
      </c>
      <c r="D328" s="3">
        <v>13.25</v>
      </c>
      <c r="E328" s="5">
        <f t="shared" si="20"/>
        <v>1967</v>
      </c>
      <c r="F328">
        <v>-0.55845999999999996</v>
      </c>
      <c r="G328">
        <f t="shared" si="21"/>
        <v>3.9300299999999995</v>
      </c>
      <c r="H328">
        <f t="shared" si="22"/>
        <v>3.9300299999999995</v>
      </c>
      <c r="I328" s="5">
        <f t="shared" si="23"/>
        <v>1967</v>
      </c>
      <c r="J328">
        <f>+H328+CF*F328*(1+($I328-1850)*slope/1000)+F328*hQc*COS(2*PI()*$I328/qbo+$L328)+F328*hQs*SIN(2*PI()*$I328/qbo+$L328)+F328*hCs*SIN(2*PI()*$I328/cw)+F328*hCc*COS(2*PI()*$I328/cw) +mix*F328*(hQc*COS(2*PI()*$I328/qbo+$L328)+hQs*SIN(2*PI()*$I328/qbo+$L328))*(hCs*SIN(2*PI()*$I328/cw)+hCc*COS(2*PI()*$I328/cw))</f>
        <v>1.8569523838693833</v>
      </c>
      <c r="K328">
        <f>fQc*COS(2*PI()*$I328/qbo+$L328)+fQs*SIN(2*PI()*$I328/qbo+$L328)+fCs*SIN(2*PI()*$I328/cw)+fCc*COS(2*PI()*$I328/cw)</f>
        <v>1.255602858224601</v>
      </c>
      <c r="L328">
        <f>+QMA*COS(2*PI()*$I328/QM+QMP)</f>
        <v>-0.87481329275123076</v>
      </c>
      <c r="P328">
        <f t="shared" si="24"/>
        <v>1</v>
      </c>
    </row>
    <row r="329" spans="1:16" x14ac:dyDescent="0.25">
      <c r="A329" s="1"/>
      <c r="B329" s="4">
        <v>24838</v>
      </c>
      <c r="C329" t="s">
        <v>24</v>
      </c>
      <c r="D329" s="3">
        <v>13.291666666666666</v>
      </c>
      <c r="E329" s="5">
        <f t="shared" si="20"/>
        <v>1968</v>
      </c>
      <c r="F329">
        <v>1.00569</v>
      </c>
      <c r="G329">
        <f t="shared" si="21"/>
        <v>-1.7698700000000001</v>
      </c>
      <c r="H329">
        <f t="shared" si="22"/>
        <v>-1.7698700000000001</v>
      </c>
      <c r="I329" s="5">
        <f t="shared" si="23"/>
        <v>1968</v>
      </c>
      <c r="J329">
        <f>+H329+CF*F329*(1+($I329-1850)*slope/1000)+F329*hQc*COS(2*PI()*$I329/qbo+$L329)+F329*hQs*SIN(2*PI()*$I329/qbo+$L329)+F329*hCs*SIN(2*PI()*$I329/cw)+F329*hCc*COS(2*PI()*$I329/cw) +mix*F329*(hQc*COS(2*PI()*$I329/qbo+$L329)+hQs*SIN(2*PI()*$I329/qbo+$L329))*(hCs*SIN(2*PI()*$I329/cw)+hCc*COS(2*PI()*$I329/cw))</f>
        <v>-2.2989583675446132</v>
      </c>
      <c r="K329">
        <f>fQc*COS(2*PI()*$I329/qbo+$L329)+fQs*SIN(2*PI()*$I329/qbo+$L329)+fCs*SIN(2*PI()*$I329/cw)+fCc*COS(2*PI()*$I329/cw)</f>
        <v>-0.91810511816535068</v>
      </c>
      <c r="L329">
        <f>+QMA*COS(2*PI()*$I329/QM+QMP)</f>
        <v>-0.82147459724863636</v>
      </c>
      <c r="P329">
        <f t="shared" si="24"/>
        <v>1</v>
      </c>
    </row>
    <row r="330" spans="1:16" x14ac:dyDescent="0.25">
      <c r="A330" s="1"/>
      <c r="B330" s="4">
        <v>25204</v>
      </c>
      <c r="C330" t="s">
        <v>24</v>
      </c>
      <c r="D330" s="3">
        <v>13.333333333333334</v>
      </c>
      <c r="E330" s="5">
        <f t="shared" si="20"/>
        <v>1969</v>
      </c>
      <c r="F330">
        <v>0.79996999999999996</v>
      </c>
      <c r="G330">
        <f t="shared" si="21"/>
        <v>-0.42859999999999998</v>
      </c>
      <c r="H330">
        <f t="shared" si="22"/>
        <v>-0.42859999999999998</v>
      </c>
      <c r="I330" s="5">
        <f t="shared" si="23"/>
        <v>1969</v>
      </c>
      <c r="J330">
        <f>+H330+CF*F330*(1+($I330-1850)*slope/1000)+F330*hQc*COS(2*PI()*$I330/qbo+$L330)+F330*hQs*SIN(2*PI()*$I330/qbo+$L330)+F330*hCs*SIN(2*PI()*$I330/cw)+F330*hCc*COS(2*PI()*$I330/cw) +mix*F330*(hQc*COS(2*PI()*$I330/qbo+$L330)+hQs*SIN(2*PI()*$I330/qbo+$L330))*(hCs*SIN(2*PI()*$I330/cw)+hCc*COS(2*PI()*$I330/cw))</f>
        <v>-0.85543828286031609</v>
      </c>
      <c r="K330">
        <f>fQc*COS(2*PI()*$I330/qbo+$L330)+fQs*SIN(2*PI()*$I330/qbo+$L330)+fCs*SIN(2*PI()*$I330/cw)+fCc*COS(2*PI()*$I330/cw)</f>
        <v>-0.31001063121412692</v>
      </c>
      <c r="L330">
        <f>+QMA*COS(2*PI()*$I330/QM+QMP)</f>
        <v>-0.75246470492471129</v>
      </c>
      <c r="P330">
        <f t="shared" si="24"/>
        <v>1</v>
      </c>
    </row>
    <row r="331" spans="1:16" x14ac:dyDescent="0.25">
      <c r="A331" s="1"/>
      <c r="B331" s="4">
        <v>25569</v>
      </c>
      <c r="C331" t="s">
        <v>24</v>
      </c>
      <c r="D331" s="3">
        <v>13.375</v>
      </c>
      <c r="E331" s="5">
        <f t="shared" si="20"/>
        <v>1970</v>
      </c>
      <c r="F331">
        <v>0.16564999999999999</v>
      </c>
      <c r="G331">
        <f t="shared" si="21"/>
        <v>-2.63009</v>
      </c>
      <c r="H331">
        <f t="shared" si="22"/>
        <v>-2.63009</v>
      </c>
      <c r="I331" s="5">
        <f t="shared" si="23"/>
        <v>1970</v>
      </c>
      <c r="J331">
        <f>+H331+CF*F331*(1+($I331-1850)*slope/1000)+F331*hQc*COS(2*PI()*$I331/qbo+$L331)+F331*hQs*SIN(2*PI()*$I331/qbo+$L331)+F331*hCs*SIN(2*PI()*$I331/cw)+F331*hCc*COS(2*PI()*$I331/cw) +mix*F331*(hQc*COS(2*PI()*$I331/qbo+$L331)+hQs*SIN(2*PI()*$I331/qbo+$L331))*(hCs*SIN(2*PI()*$I331/cw)+hCc*COS(2*PI()*$I331/cw))</f>
        <v>-3.1874814096338211</v>
      </c>
      <c r="K331">
        <f>fQc*COS(2*PI()*$I331/qbo+$L331)+fQs*SIN(2*PI()*$I331/qbo+$L331)+fCs*SIN(2*PI()*$I331/cw)+fCc*COS(2*PI()*$I331/cw)</f>
        <v>1.820748267734752</v>
      </c>
      <c r="L331">
        <f>+QMA*COS(2*PI()*$I331/QM+QMP)</f>
        <v>-0.66910011127286362</v>
      </c>
      <c r="P331">
        <f t="shared" si="24"/>
        <v>0</v>
      </c>
    </row>
    <row r="332" spans="1:16" x14ac:dyDescent="0.25">
      <c r="A332" s="1"/>
      <c r="B332" s="4">
        <v>25934</v>
      </c>
      <c r="C332" t="s">
        <v>24</v>
      </c>
      <c r="D332" s="3">
        <v>13.416666666666666</v>
      </c>
      <c r="E332" s="5">
        <f t="shared" si="20"/>
        <v>1971</v>
      </c>
      <c r="F332">
        <v>-3.09876</v>
      </c>
      <c r="G332">
        <f t="shared" si="21"/>
        <v>5.3416499999999996</v>
      </c>
      <c r="H332">
        <f t="shared" si="22"/>
        <v>5.3416499999999996</v>
      </c>
      <c r="I332" s="5">
        <f t="shared" si="23"/>
        <v>1971</v>
      </c>
      <c r="J332">
        <f>+H332+CF*F332*(1+($I332-1850)*slope/1000)+F332*hQc*COS(2*PI()*$I332/qbo+$L332)+F332*hQs*SIN(2*PI()*$I332/qbo+$L332)+F332*hCs*SIN(2*PI()*$I332/cw)+F332*hCc*COS(2*PI()*$I332/cw) +mix*F332*(hQc*COS(2*PI()*$I332/qbo+$L332)+hQs*SIN(2*PI()*$I332/qbo+$L332))*(hCs*SIN(2*PI()*$I332/cw)+hCc*COS(2*PI()*$I332/cw))</f>
        <v>-2.0698061100050271</v>
      </c>
      <c r="K332">
        <f>fQc*COS(2*PI()*$I332/qbo+$L332)+fQs*SIN(2*PI()*$I332/qbo+$L332)+fCs*SIN(2*PI()*$I332/cw)+fCc*COS(2*PI()*$I332/cw)</f>
        <v>-1.7114882469788963</v>
      </c>
      <c r="L332">
        <f>+QMA*COS(2*PI()*$I332/QM+QMP)</f>
        <v>-0.57297115512940566</v>
      </c>
      <c r="P332">
        <f t="shared" si="24"/>
        <v>1</v>
      </c>
    </row>
    <row r="333" spans="1:16" x14ac:dyDescent="0.25">
      <c r="A333" s="1"/>
      <c r="B333" s="4">
        <v>26299</v>
      </c>
      <c r="C333" t="s">
        <v>24</v>
      </c>
      <c r="D333" s="3">
        <v>13.458333333333334</v>
      </c>
      <c r="E333" s="5">
        <f t="shared" ref="E333:E338" si="25">+E332+1</f>
        <v>1972</v>
      </c>
      <c r="F333">
        <v>-1.02152</v>
      </c>
      <c r="G333">
        <f t="shared" ref="G333:G337" si="26">+(F334-F333)-(F333-F332)</f>
        <v>0.82197999999999993</v>
      </c>
      <c r="H333">
        <f t="shared" ref="H333:H337" si="27">+G333</f>
        <v>0.82197999999999993</v>
      </c>
      <c r="I333" s="5">
        <f t="shared" si="23"/>
        <v>1972</v>
      </c>
      <c r="J333">
        <f>+H333+CF*F333*(1+($I333-1850)*slope/1000)+F333*hQc*COS(2*PI()*$I333/qbo+$L333)+F333*hQs*SIN(2*PI()*$I333/qbo+$L333)+F333*hCs*SIN(2*PI()*$I333/cw)+F333*hCc*COS(2*PI()*$I333/cw) +mix*F333*(hQc*COS(2*PI()*$I333/qbo+$L333)+hQs*SIN(2*PI()*$I333/qbo+$L333))*(hCs*SIN(2*PI()*$I333/cw)+hCc*COS(2*PI()*$I333/cw))</f>
        <v>9.1217268522576802</v>
      </c>
      <c r="K333">
        <f>fQc*COS(2*PI()*$I333/qbo+$L333)+fQs*SIN(2*PI()*$I333/qbo+$L333)+fCs*SIN(2*PI()*$I333/cw)+fCc*COS(2*PI()*$I333/cw)</f>
        <v>3.0571025209177902</v>
      </c>
      <c r="L333">
        <f>+QMA*COS(2*PI()*$I333/QM+QMP)</f>
        <v>-0.46591167992297006</v>
      </c>
      <c r="P333">
        <f t="shared" si="24"/>
        <v>1</v>
      </c>
    </row>
    <row r="334" spans="1:16" x14ac:dyDescent="0.25">
      <c r="A334" s="1"/>
      <c r="B334" s="4">
        <v>26665</v>
      </c>
      <c r="C334" t="s">
        <v>24</v>
      </c>
      <c r="D334" s="3">
        <v>13.5</v>
      </c>
      <c r="E334" s="5">
        <f t="shared" si="25"/>
        <v>1973</v>
      </c>
      <c r="F334">
        <v>1.8776999999999999</v>
      </c>
      <c r="G334">
        <f t="shared" si="26"/>
        <v>-7.8435699999999997</v>
      </c>
      <c r="H334">
        <f t="shared" si="27"/>
        <v>-7.8435699999999997</v>
      </c>
      <c r="I334" s="5">
        <f t="shared" ref="I334:I336" si="28">+E334</f>
        <v>1973</v>
      </c>
      <c r="J334">
        <f>+H334+CF*F334*(1+($I334-1850)*slope/1000)+F334*hQc*COS(2*PI()*$I334/qbo+$L334)+F334*hQs*SIN(2*PI()*$I334/qbo+$L334)+F334*hCs*SIN(2*PI()*$I334/cw)+F334*hCc*COS(2*PI()*$I334/cw) +mix*F334*(hQc*COS(2*PI()*$I334/qbo+$L334)+hQs*SIN(2*PI()*$I334/qbo+$L334))*(hCs*SIN(2*PI()*$I334/cw)+hCc*COS(2*PI()*$I334/cw))</f>
        <v>-4.0089993474737984</v>
      </c>
      <c r="K334">
        <f>fQc*COS(2*PI()*$I334/qbo+$L334)+fQs*SIN(2*PI()*$I334/qbo+$L334)+fCs*SIN(2*PI()*$I334/cw)+fCc*COS(2*PI()*$I334/cw)</f>
        <v>-2.8312042362125958</v>
      </c>
      <c r="L334">
        <f>+QMA*COS(2*PI()*$I334/QM+QMP)</f>
        <v>-0.34996404960877547</v>
      </c>
      <c r="P334">
        <f t="shared" ref="P334:P336" si="29">+IF(J334*K334&gt;0,1, 0)</f>
        <v>1</v>
      </c>
    </row>
    <row r="335" spans="1:16" x14ac:dyDescent="0.25">
      <c r="A335" s="1"/>
      <c r="B335" s="4">
        <v>27030</v>
      </c>
      <c r="C335" t="s">
        <v>24</v>
      </c>
      <c r="D335" s="3">
        <v>13.541666666666666</v>
      </c>
      <c r="E335" s="5">
        <f t="shared" si="25"/>
        <v>1974</v>
      </c>
      <c r="F335">
        <v>-3.0666500000000001</v>
      </c>
      <c r="G335">
        <f t="shared" si="26"/>
        <v>7.5886700000000005</v>
      </c>
      <c r="H335">
        <f t="shared" si="27"/>
        <v>7.5886700000000005</v>
      </c>
      <c r="I335" s="5">
        <f t="shared" si="28"/>
        <v>1974</v>
      </c>
      <c r="J335">
        <f>+H335+CF*F335*(1+($I335-1850)*slope/1000)+F335*hQc*COS(2*PI()*$I335/qbo+$L335)+F335*hQs*SIN(2*PI()*$I335/qbo+$L335)+F335*hCs*SIN(2*PI()*$I335/cw)+F335*hCc*COS(2*PI()*$I335/cw) +mix*F335*(hQc*COS(2*PI()*$I335/qbo+$L335)+hQs*SIN(2*PI()*$I335/qbo+$L335))*(hCs*SIN(2*PI()*$I335/cw)+hCc*COS(2*PI()*$I335/cw))</f>
        <v>8.483511459640253</v>
      </c>
      <c r="K335">
        <f>fQc*COS(2*PI()*$I335/qbo+$L335)+fQs*SIN(2*PI()*$I335/qbo+$L335)+fCs*SIN(2*PI()*$I335/cw)+fCc*COS(2*PI()*$I335/cw)</f>
        <v>2.4286265809253145</v>
      </c>
      <c r="L335">
        <f>+QMA*COS(2*PI()*$I335/QM+QMP)</f>
        <v>-0.22734018667560799</v>
      </c>
      <c r="P335">
        <f t="shared" si="29"/>
        <v>1</v>
      </c>
    </row>
    <row r="336" spans="1:16" x14ac:dyDescent="0.25">
      <c r="A336" s="1"/>
      <c r="B336" s="4">
        <v>27395</v>
      </c>
      <c r="C336" t="s">
        <v>24</v>
      </c>
      <c r="D336" s="3">
        <v>13.583333333333334</v>
      </c>
      <c r="E336" s="5">
        <f t="shared" si="25"/>
        <v>1975</v>
      </c>
      <c r="F336">
        <v>-0.42232999999999998</v>
      </c>
      <c r="G336">
        <f t="shared" si="26"/>
        <v>-2.9693899999999998</v>
      </c>
      <c r="H336">
        <f t="shared" si="27"/>
        <v>-2.9693899999999998</v>
      </c>
      <c r="I336" s="5">
        <f t="shared" si="28"/>
        <v>1975</v>
      </c>
      <c r="J336">
        <f>+H336+CF*F336*(1+($I336-1850)*slope/1000)+F336*hQc*COS(2*PI()*$I336/qbo+$L336)+F336*hQs*SIN(2*PI()*$I336/qbo+$L336)+F336*hCs*SIN(2*PI()*$I336/cw)+F336*hCc*COS(2*PI()*$I336/cw) +mix*F336*(hQc*COS(2*PI()*$I336/qbo+$L336)+hQs*SIN(2*PI()*$I336/qbo+$L336))*(hCs*SIN(2*PI()*$I336/cw)+hCc*COS(2*PI()*$I336/cw))</f>
        <v>-1.8957980294859136</v>
      </c>
      <c r="K336">
        <f>fQc*COS(2*PI()*$I336/qbo+$L336)+fQs*SIN(2*PI()*$I336/qbo+$L336)+fCs*SIN(2*PI()*$I336/cw)+fCc*COS(2*PI()*$I336/cw)</f>
        <v>-2.7634571475418666</v>
      </c>
      <c r="L336">
        <f>+QMA*COS(2*PI()*$I336/QM+QMP)</f>
        <v>-0.10037937549994577</v>
      </c>
      <c r="P336">
        <f t="shared" si="29"/>
        <v>1</v>
      </c>
    </row>
    <row r="337" spans="1:8" x14ac:dyDescent="0.25">
      <c r="A337" s="1"/>
      <c r="B337" s="4">
        <v>27760</v>
      </c>
      <c r="C337" t="s">
        <v>24</v>
      </c>
      <c r="D337" s="3">
        <v>13.625</v>
      </c>
      <c r="E337" s="5">
        <f t="shared" si="25"/>
        <v>1976</v>
      </c>
      <c r="F337">
        <v>-0.74739999999999995</v>
      </c>
      <c r="G337">
        <f t="shared" si="26"/>
        <v>1.7224299999999999</v>
      </c>
      <c r="H337">
        <f t="shared" si="27"/>
        <v>1.7224299999999999</v>
      </c>
    </row>
    <row r="338" spans="1:8" x14ac:dyDescent="0.25">
      <c r="A338" s="1"/>
      <c r="B338" s="4">
        <v>28126</v>
      </c>
      <c r="C338" t="s">
        <v>24</v>
      </c>
      <c r="D338" s="3">
        <v>13.666666666666666</v>
      </c>
      <c r="E338" s="5">
        <f t="shared" si="25"/>
        <v>1977</v>
      </c>
      <c r="F338">
        <v>0.64995999999999998</v>
      </c>
    </row>
  </sheetData>
  <scenarios current="0">
    <scenario name="one" count="11" user="pp" comment="Created by pp on 5/2/2015">
      <inputCells r="J2" val="2.44727948999265"/>
      <inputCells r="K2" val="6.07934967694303"/>
      <inputCells r="J3" val="0.347720040202742"/>
      <inputCells r="K3" val="3.61739153290966"/>
      <inputCells r="J4" val="0.776554919003634"/>
      <inputCells r="K4" val="0.589496773979215"/>
      <inputCells r="J5" val="1.02769968466291"/>
      <inputCells r="K5" val="-0.946007353755426"/>
      <inputCells r="K6" val="-1.43772752989027"/>
      <inputCells r="J6" val="-2.46737299932513"/>
      <inputCells r="J7" val="1.65313392088483"/>
    </scenario>
  </scenarios>
  <pageMargins left="0.25" right="0.25" top="0.75" bottom="0.75" header="0.3" footer="0.3"/>
  <pageSetup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zoomScale="60" zoomScaleNormal="60" workbookViewId="0">
      <selection activeCell="K12" sqref="K12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E2" t="s">
        <v>12</v>
      </c>
      <c r="F2" t="s">
        <v>9</v>
      </c>
      <c r="G2" t="s">
        <v>10</v>
      </c>
      <c r="H2" t="s">
        <v>11</v>
      </c>
      <c r="I2" t="s">
        <v>284</v>
      </c>
      <c r="J2">
        <v>2.3494410426811037</v>
      </c>
      <c r="K2">
        <v>8.8400119790797085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285</v>
      </c>
      <c r="J3">
        <v>0.99994804293268713</v>
      </c>
      <c r="K3">
        <v>0.99997278585760407</v>
      </c>
    </row>
    <row r="4" spans="1:16" x14ac:dyDescent="0.25">
      <c r="A4" s="1"/>
      <c r="B4" t="s">
        <v>15</v>
      </c>
      <c r="C4" t="s">
        <v>1</v>
      </c>
      <c r="I4" t="s">
        <v>286</v>
      </c>
      <c r="J4">
        <v>-1.9998897372113753</v>
      </c>
      <c r="K4">
        <v>-1.9999897185011573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287</v>
      </c>
      <c r="J5">
        <v>-0.59076393562762564</v>
      </c>
      <c r="K5">
        <v>-0.49376129756689224</v>
      </c>
    </row>
    <row r="6" spans="1:16" x14ac:dyDescent="0.25">
      <c r="A6" s="1"/>
      <c r="B6" t="s">
        <v>20</v>
      </c>
      <c r="C6" t="s">
        <v>21</v>
      </c>
      <c r="I6" t="s">
        <v>288</v>
      </c>
      <c r="J6">
        <v>-0.48364556420192861</v>
      </c>
      <c r="K6">
        <v>-0.36577360345472321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289</v>
      </c>
      <c r="J7">
        <v>0.50000230618945363</v>
      </c>
      <c r="K7">
        <v>48.053710110573306</v>
      </c>
    </row>
    <row r="8" spans="1:16" x14ac:dyDescent="0.25">
      <c r="A8" s="1"/>
      <c r="B8" t="s">
        <v>21</v>
      </c>
      <c r="I8" t="s">
        <v>290</v>
      </c>
      <c r="J8">
        <v>1.2775018419586468</v>
      </c>
      <c r="K8">
        <v>0.36992370419682563</v>
      </c>
    </row>
    <row r="9" spans="1:16" x14ac:dyDescent="0.25">
      <c r="A9" s="1">
        <v>1</v>
      </c>
      <c r="H9">
        <f>+AVERAGE(F11:F338)</f>
        <v>-1.25238572899789E-17</v>
      </c>
      <c r="I9" t="s">
        <v>291</v>
      </c>
      <c r="J9">
        <v>-3.9999715329568457</v>
      </c>
      <c r="K9">
        <v>-15.000095126954413</v>
      </c>
      <c r="L9" t="s">
        <v>292</v>
      </c>
    </row>
    <row r="10" spans="1:16" x14ac:dyDescent="0.25">
      <c r="A10" s="1"/>
      <c r="K10" s="6">
        <f>+CORREL(J13:J230,K13:K230)</f>
        <v>0.23837649610544606</v>
      </c>
      <c r="L10">
        <f>+K10*P10</f>
        <v>0.13401812223439824</v>
      </c>
      <c r="P10">
        <f>+SUM(P13:P230)/(230-13)</f>
        <v>0.56221198156682028</v>
      </c>
    </row>
    <row r="11" spans="1:16" x14ac:dyDescent="0.25">
      <c r="A11" s="1"/>
      <c r="B11" t="s">
        <v>23</v>
      </c>
      <c r="C11" t="s">
        <v>24</v>
      </c>
      <c r="D11" s="2">
        <v>4.1666666666666664E-2</v>
      </c>
      <c r="E11" s="5">
        <v>1650</v>
      </c>
      <c r="F11">
        <v>0.34445999999999999</v>
      </c>
      <c r="K11" s="6">
        <f>+CORREL(J231:J335,K231:K335)</f>
        <v>0.43895889432362301</v>
      </c>
      <c r="L11">
        <f>+K11*P11</f>
        <v>0.27012855035299876</v>
      </c>
      <c r="P11">
        <f>+SUM(P231:P335)/(335-231)</f>
        <v>0.61538461538461542</v>
      </c>
    </row>
    <row r="12" spans="1:16" x14ac:dyDescent="0.25">
      <c r="A12" s="1"/>
      <c r="B12" t="s">
        <v>25</v>
      </c>
      <c r="C12" t="s">
        <v>24</v>
      </c>
      <c r="D12" s="2">
        <v>8.3333333333333329E-2</v>
      </c>
      <c r="E12" s="5">
        <f>+E11+1</f>
        <v>1651</v>
      </c>
      <c r="F12">
        <v>1.25427</v>
      </c>
      <c r="G12">
        <f>+(F13-F12)-(F12-F11)</f>
        <v>-1.4716800000000001</v>
      </c>
      <c r="H12">
        <f>+G12</f>
        <v>-1.4716800000000001</v>
      </c>
      <c r="K12" s="6">
        <f>+CORREL(J13:J336,K13:K336)</f>
        <v>0.30917915303248095</v>
      </c>
      <c r="L12">
        <f>+K12*P12</f>
        <v>0.17804124601870419</v>
      </c>
      <c r="P12">
        <f>+SUM(P13:P336)/(335-12)</f>
        <v>0.57585139318885448</v>
      </c>
    </row>
    <row r="13" spans="1:16" x14ac:dyDescent="0.25">
      <c r="A13" s="1"/>
      <c r="B13" t="s">
        <v>26</v>
      </c>
      <c r="C13" t="s">
        <v>24</v>
      </c>
      <c r="D13" s="2">
        <v>0.125</v>
      </c>
      <c r="E13" s="5">
        <f t="shared" ref="E13:E76" si="0">+E12+1</f>
        <v>1652</v>
      </c>
      <c r="F13">
        <v>0.69240000000000002</v>
      </c>
      <c r="G13">
        <f t="shared" ref="G13:G76" si="1">+(F14-F13)-(F13-F12)</f>
        <v>-0.72932999999999992</v>
      </c>
      <c r="H13">
        <f t="shared" ref="H13:H76" si="2">+G13</f>
        <v>-0.72932999999999992</v>
      </c>
      <c r="I13" s="5">
        <f>+E13-1652</f>
        <v>0</v>
      </c>
      <c r="J13">
        <f>+H13+CF*F13*(1+($I13-1850)*slope/1000)+F13*hQc*COS(2*PI()*$I13/qbo+$L13)+F13*hQs*SIN(2*PI()*$I13/qbo+$L13)+F13*hCs*SIN(2*PI()*$I13/cw)+F13*hCc*COS(2*PI()*$I13/cw) +mix*F13*(hQc*COS(2*PI()*$I13/qbo+$L13)+hQs*SIN(2*PI()*$I13/qbo+$L13))*(hCs*SIN(2*PI()*$I13/cw)+hCc*COS(2*PI()*$I13/cw))</f>
        <v>15.936272538077862</v>
      </c>
      <c r="K13">
        <f>fQc*COS(2*PI()*$I13/qbo+$L13)+fQs*SIN(2*PI()*$I13/qbo+$L13)+fCs*SIN(2*PI()*$I13/cw)+fCc*COS(2*PI()*$I13/cw)</f>
        <v>-1.0974721738788442</v>
      </c>
      <c r="L13">
        <f>+QMA*COS(2*PI()*$I13/QM+QMP)</f>
        <v>1.1910851437969521</v>
      </c>
      <c r="N13">
        <f>+$K$8*COS(2*PI()*$I13/$K$6+$K$5*COS($J$5*$I13+$K$8)+$K$7)</f>
        <v>-0.32990274307090756</v>
      </c>
      <c r="P13">
        <f>+IF(J13*K13&gt;0,1, 0)</f>
        <v>0</v>
      </c>
    </row>
    <row r="14" spans="1:16" x14ac:dyDescent="0.25">
      <c r="A14" s="1"/>
      <c r="B14" t="s">
        <v>27</v>
      </c>
      <c r="C14" t="s">
        <v>24</v>
      </c>
      <c r="D14" s="2">
        <v>0.16666666666666666</v>
      </c>
      <c r="E14" s="5">
        <f t="shared" si="0"/>
        <v>1653</v>
      </c>
      <c r="F14">
        <v>-0.5988</v>
      </c>
      <c r="G14">
        <f t="shared" si="1"/>
        <v>1.2937099999999999</v>
      </c>
      <c r="H14">
        <f t="shared" si="2"/>
        <v>1.2937099999999999</v>
      </c>
      <c r="I14" s="5">
        <f t="shared" ref="I14:I77" si="3">+E14-1652</f>
        <v>1</v>
      </c>
      <c r="J14">
        <f>+H14+CF*F14*(1+($I14-1850)*slope/1000)+F14*hQc*COS(2*PI()*$I14/qbo+$L14)+F14*hQs*SIN(2*PI()*$I14/qbo+$L14)+F14*hCs*SIN(2*PI()*$I14/cw)+F14*hCc*COS(2*PI()*$I14/cw) +mix*F14*(hQc*COS(2*PI()*$I14/qbo+$L14)+hQs*SIN(2*PI()*$I14/qbo+$L14))*(hCs*SIN(2*PI()*$I14/cw)+hCc*COS(2*PI()*$I14/cw))</f>
        <v>4.689066207394502</v>
      </c>
      <c r="K14">
        <f>fQc*COS(2*PI()*$I14/qbo+$L14)+fQs*SIN(2*PI()*$I14/qbo+$L14)+fCs*SIN(2*PI()*$I14/cw)+fCc*COS(2*PI()*$I14/cw)</f>
        <v>0.15843924280171773</v>
      </c>
      <c r="L14">
        <f>+QMA*COS(2*PI()*$I14/QM+QMP)</f>
        <v>1.1206983869175686</v>
      </c>
      <c r="P14">
        <f t="shared" ref="P14:P77" si="4">+IF(J14*K14&gt;0,1, 0)</f>
        <v>1</v>
      </c>
    </row>
    <row r="15" spans="1:16" x14ac:dyDescent="0.25">
      <c r="A15" s="1"/>
      <c r="B15" t="s">
        <v>28</v>
      </c>
      <c r="C15" t="s">
        <v>24</v>
      </c>
      <c r="D15" s="2">
        <v>0.20833333333333334</v>
      </c>
      <c r="E15" s="5">
        <f t="shared" si="0"/>
        <v>1654</v>
      </c>
      <c r="F15">
        <v>-0.59628999999999999</v>
      </c>
      <c r="G15">
        <f t="shared" si="1"/>
        <v>0.75729999999999997</v>
      </c>
      <c r="H15">
        <f t="shared" si="2"/>
        <v>0.75729999999999997</v>
      </c>
      <c r="I15" s="5">
        <f t="shared" si="3"/>
        <v>2</v>
      </c>
      <c r="J15">
        <f>+H15+CF*F15*(1+($I15-1850)*slope/1000)+F15*hQc*COS(2*PI()*$I15/qbo+$L15)+F15*hQs*SIN(2*PI()*$I15/qbo+$L15)+F15*hCs*SIN(2*PI()*$I15/cw)+F15*hCc*COS(2*PI()*$I15/cw) +mix*F15*(hQc*COS(2*PI()*$I15/qbo+$L15)+hQs*SIN(2*PI()*$I15/qbo+$L15))*(hCs*SIN(2*PI()*$I15/cw)+hCc*COS(2*PI()*$I15/cw))</f>
        <v>-13.024496870099547</v>
      </c>
      <c r="K15">
        <f>fQc*COS(2*PI()*$I15/qbo+$L15)+fQs*SIN(2*PI()*$I15/qbo+$L15)+fCs*SIN(2*PI()*$I15/cw)+fCc*COS(2*PI()*$I15/cw)</f>
        <v>-1.081131389854868</v>
      </c>
      <c r="L15">
        <f>+QMA*COS(2*PI()*$I15/QM+QMP)</f>
        <v>1.031178950118335</v>
      </c>
      <c r="P15">
        <f t="shared" si="4"/>
        <v>1</v>
      </c>
    </row>
    <row r="16" spans="1:16" x14ac:dyDescent="0.25">
      <c r="A16" s="1"/>
      <c r="B16" t="s">
        <v>29</v>
      </c>
      <c r="C16" t="s">
        <v>24</v>
      </c>
      <c r="D16" s="2">
        <v>0.25</v>
      </c>
      <c r="E16" s="5">
        <f t="shared" si="0"/>
        <v>1655</v>
      </c>
      <c r="F16">
        <v>0.16352</v>
      </c>
      <c r="G16">
        <f t="shared" si="1"/>
        <v>0.10324</v>
      </c>
      <c r="H16">
        <f t="shared" si="2"/>
        <v>0.10324</v>
      </c>
      <c r="I16" s="5">
        <f t="shared" si="3"/>
        <v>3</v>
      </c>
      <c r="J16">
        <f>+H16+CF*F16*(1+($I16-1850)*slope/1000)+F16*hQc*COS(2*PI()*$I16/qbo+$L16)+F16*hQs*SIN(2*PI()*$I16/qbo+$L16)+F16*hCs*SIN(2*PI()*$I16/cw)+F16*hCc*COS(2*PI()*$I16/cw) +mix*F16*(hQc*COS(2*PI()*$I16/qbo+$L16)+hQs*SIN(2*PI()*$I16/qbo+$L16))*(hCs*SIN(2*PI()*$I16/cw)+hCc*COS(2*PI()*$I16/cw))</f>
        <v>2.1015853946493772</v>
      </c>
      <c r="K16">
        <f>fQc*COS(2*PI()*$I16/qbo+$L16)+fQs*SIN(2*PI()*$I16/qbo+$L16)+fCs*SIN(2*PI()*$I16/cw)+fCc*COS(2*PI()*$I16/cw)</f>
        <v>-4.7754606669978605E-2</v>
      </c>
      <c r="L16">
        <f>+QMA*COS(2*PI()*$I16/QM+QMP)</f>
        <v>0.9240551185747089</v>
      </c>
      <c r="P16">
        <f t="shared" si="4"/>
        <v>0</v>
      </c>
    </row>
    <row r="17" spans="1:16" x14ac:dyDescent="0.25">
      <c r="A17" s="1"/>
      <c r="B17" t="s">
        <v>30</v>
      </c>
      <c r="C17" t="s">
        <v>24</v>
      </c>
      <c r="D17" s="2">
        <v>0.29166666666666669</v>
      </c>
      <c r="E17" s="5">
        <f t="shared" si="0"/>
        <v>1656</v>
      </c>
      <c r="F17">
        <v>1.02657</v>
      </c>
      <c r="G17">
        <f t="shared" si="1"/>
        <v>-1.7184300000000001</v>
      </c>
      <c r="H17">
        <f t="shared" si="2"/>
        <v>-1.7184300000000001</v>
      </c>
      <c r="I17" s="5">
        <f t="shared" si="3"/>
        <v>4</v>
      </c>
      <c r="J17">
        <f>+H17+CF*F17*(1+($I17-1850)*slope/1000)+F17*hQc*COS(2*PI()*$I17/qbo+$L17)+F17*hQs*SIN(2*PI()*$I17/qbo+$L17)+F17*hCs*SIN(2*PI()*$I17/cw)+F17*hCc*COS(2*PI()*$I17/cw) +mix*F17*(hQc*COS(2*PI()*$I17/qbo+$L17)+hQs*SIN(2*PI()*$I17/qbo+$L17))*(hCs*SIN(2*PI()*$I17/cw)+hCc*COS(2*PI()*$I17/cw))</f>
        <v>16.103662660626298</v>
      </c>
      <c r="K17">
        <f>fQc*COS(2*PI()*$I17/qbo+$L17)+fQs*SIN(2*PI()*$I17/qbo+$L17)+fCs*SIN(2*PI()*$I17/cw)+fCc*COS(2*PI()*$I17/cw)</f>
        <v>0.48698635347375152</v>
      </c>
      <c r="L17">
        <f>+QMA*COS(2*PI()*$I17/QM+QMP)</f>
        <v>0.80115572152802494</v>
      </c>
      <c r="P17">
        <f t="shared" si="4"/>
        <v>1</v>
      </c>
    </row>
    <row r="18" spans="1:16" x14ac:dyDescent="0.25">
      <c r="A18" s="1"/>
      <c r="B18" t="s">
        <v>31</v>
      </c>
      <c r="C18" t="s">
        <v>24</v>
      </c>
      <c r="D18" s="2">
        <v>0.33333333333333331</v>
      </c>
      <c r="E18" s="5">
        <f t="shared" si="0"/>
        <v>1657</v>
      </c>
      <c r="F18">
        <v>0.17119000000000001</v>
      </c>
      <c r="G18">
        <f t="shared" si="1"/>
        <v>1.14673</v>
      </c>
      <c r="H18">
        <f t="shared" si="2"/>
        <v>1.14673</v>
      </c>
      <c r="I18" s="5">
        <f t="shared" si="3"/>
        <v>5</v>
      </c>
      <c r="J18">
        <f>+H18+CF*F18*(1+($I18-1850)*slope/1000)+F18*hQc*COS(2*PI()*$I18/qbo+$L18)+F18*hQs*SIN(2*PI()*$I18/qbo+$L18)+F18*hCs*SIN(2*PI()*$I18/cw)+F18*hCc*COS(2*PI()*$I18/cw) +mix*F18*(hQc*COS(2*PI()*$I18/qbo+$L18)+hQs*SIN(2*PI()*$I18/qbo+$L18))*(hCs*SIN(2*PI()*$I18/cw)+hCc*COS(2*PI()*$I18/cw))</f>
        <v>2.2637277960192002</v>
      </c>
      <c r="K18">
        <f>fQc*COS(2*PI()*$I18/qbo+$L18)+fQs*SIN(2*PI()*$I18/qbo+$L18)+fCs*SIN(2*PI()*$I18/cw)+fCc*COS(2*PI()*$I18/cw)</f>
        <v>-0.10859744310163671</v>
      </c>
      <c r="L18">
        <f>+QMA*COS(2*PI()*$I18/QM+QMP)</f>
        <v>0.66457891032166527</v>
      </c>
      <c r="P18">
        <f t="shared" si="4"/>
        <v>0</v>
      </c>
    </row>
    <row r="19" spans="1:16" x14ac:dyDescent="0.25">
      <c r="A19" s="1"/>
      <c r="B19" t="s">
        <v>32</v>
      </c>
      <c r="C19" t="s">
        <v>24</v>
      </c>
      <c r="D19" s="2">
        <v>0.375</v>
      </c>
      <c r="E19" s="5">
        <f t="shared" si="0"/>
        <v>1658</v>
      </c>
      <c r="F19">
        <v>0.46254000000000001</v>
      </c>
      <c r="G19">
        <f t="shared" si="1"/>
        <v>-0.77851999999999999</v>
      </c>
      <c r="H19">
        <f t="shared" si="2"/>
        <v>-0.77851999999999999</v>
      </c>
      <c r="I19" s="5">
        <f t="shared" si="3"/>
        <v>6</v>
      </c>
      <c r="J19">
        <f>+H19+CF*F19*(1+($I19-1850)*slope/1000)+F19*hQc*COS(2*PI()*$I19/qbo+$L19)+F19*hQs*SIN(2*PI()*$I19/qbo+$L19)+F19*hCs*SIN(2*PI()*$I19/cw)+F19*hCc*COS(2*PI()*$I19/cw) +mix*F19*(hQc*COS(2*PI()*$I19/qbo+$L19)+hQs*SIN(2*PI()*$I19/qbo+$L19))*(hCs*SIN(2*PI()*$I19/cw)+hCc*COS(2*PI()*$I19/cw))</f>
        <v>13.397088030696288</v>
      </c>
      <c r="K19">
        <f>fQc*COS(2*PI()*$I19/qbo+$L19)+fQs*SIN(2*PI()*$I19/qbo+$L19)+fCs*SIN(2*PI()*$I19/cw)+fCc*COS(2*PI()*$I19/cw)</f>
        <v>1.3641154516243623</v>
      </c>
      <c r="L19">
        <f>+QMA*COS(2*PI()*$I19/QM+QMP)</f>
        <v>0.51665633854216864</v>
      </c>
      <c r="P19">
        <f t="shared" si="4"/>
        <v>1</v>
      </c>
    </row>
    <row r="20" spans="1:16" x14ac:dyDescent="0.25">
      <c r="A20" s="1"/>
      <c r="B20" t="s">
        <v>33</v>
      </c>
      <c r="C20" t="s">
        <v>24</v>
      </c>
      <c r="D20" s="2">
        <v>0.41666666666666669</v>
      </c>
      <c r="E20" s="5">
        <f t="shared" si="0"/>
        <v>1659</v>
      </c>
      <c r="F20">
        <v>-2.4629999999999999E-2</v>
      </c>
      <c r="G20">
        <f t="shared" si="1"/>
        <v>0.71074999999999999</v>
      </c>
      <c r="H20">
        <f t="shared" si="2"/>
        <v>0.71074999999999999</v>
      </c>
      <c r="I20" s="5">
        <f t="shared" si="3"/>
        <v>7</v>
      </c>
      <c r="J20">
        <f>+H20+CF*F20*(1+($I20-1850)*slope/1000)+F20*hQc*COS(2*PI()*$I20/qbo+$L20)+F20*hQs*SIN(2*PI()*$I20/qbo+$L20)+F20*hCs*SIN(2*PI()*$I20/cw)+F20*hCc*COS(2*PI()*$I20/cw) +mix*F20*(hQc*COS(2*PI()*$I20/qbo+$L20)+hQs*SIN(2*PI()*$I20/qbo+$L20))*(hCs*SIN(2*PI()*$I20/cw)+hCc*COS(2*PI()*$I20/cw))</f>
        <v>0.46074967848143389</v>
      </c>
      <c r="K20">
        <f>fQc*COS(2*PI()*$I20/qbo+$L20)+fQs*SIN(2*PI()*$I20/qbo+$L20)+fCs*SIN(2*PI()*$I20/cw)+fCc*COS(2*PI()*$I20/cw)</f>
        <v>-0.24382200889914285</v>
      </c>
      <c r="L20">
        <f>+QMA*COS(2*PI()*$I20/QM+QMP)</f>
        <v>0.35991335578565897</v>
      </c>
      <c r="P20">
        <f t="shared" si="4"/>
        <v>0</v>
      </c>
    </row>
    <row r="21" spans="1:16" x14ac:dyDescent="0.25">
      <c r="A21" s="1"/>
      <c r="B21" t="s">
        <v>34</v>
      </c>
      <c r="C21" t="s">
        <v>24</v>
      </c>
      <c r="D21" s="2">
        <v>0.45833333333333331</v>
      </c>
      <c r="E21" s="5">
        <f t="shared" si="0"/>
        <v>1660</v>
      </c>
      <c r="F21">
        <v>0.19894999999999999</v>
      </c>
      <c r="G21">
        <f t="shared" si="1"/>
        <v>0.13978000000000002</v>
      </c>
      <c r="H21">
        <f t="shared" si="2"/>
        <v>0.13978000000000002</v>
      </c>
      <c r="I21" s="5">
        <f t="shared" si="3"/>
        <v>8</v>
      </c>
      <c r="J21">
        <f>+H21+CF*F21*(1+($I21-1850)*slope/1000)+F21*hQc*COS(2*PI()*$I21/qbo+$L21)+F21*hQs*SIN(2*PI()*$I21/qbo+$L21)+F21*hCs*SIN(2*PI()*$I21/cw)+F21*hCc*COS(2*PI()*$I21/cw) +mix*F21*(hQc*COS(2*PI()*$I21/qbo+$L21)+hQs*SIN(2*PI()*$I21/qbo+$L21))*(hCs*SIN(2*PI()*$I21/cw)+hCc*COS(2*PI()*$I21/cw))</f>
        <v>2.5521333635950127</v>
      </c>
      <c r="K21">
        <f>fQc*COS(2*PI()*$I21/qbo+$L21)+fQs*SIN(2*PI()*$I21/qbo+$L21)+fCs*SIN(2*PI()*$I21/cw)+fCc*COS(2*PI()*$I21/cw)</f>
        <v>0.19453817627030073</v>
      </c>
      <c r="L21">
        <f>+QMA*COS(2*PI()*$I21/QM+QMP)</f>
        <v>0.19702589462576131</v>
      </c>
      <c r="P21">
        <f t="shared" si="4"/>
        <v>1</v>
      </c>
    </row>
    <row r="22" spans="1:16" x14ac:dyDescent="0.25">
      <c r="A22" s="1"/>
      <c r="B22" t="s">
        <v>35</v>
      </c>
      <c r="C22" t="s">
        <v>24</v>
      </c>
      <c r="D22" s="2">
        <v>0.5</v>
      </c>
      <c r="E22" s="5">
        <f t="shared" si="0"/>
        <v>1661</v>
      </c>
      <c r="F22">
        <v>0.56230999999999998</v>
      </c>
      <c r="G22">
        <f t="shared" si="1"/>
        <v>-0.79430999999999996</v>
      </c>
      <c r="H22">
        <f t="shared" si="2"/>
        <v>-0.79430999999999996</v>
      </c>
      <c r="I22" s="5">
        <f t="shared" si="3"/>
        <v>9</v>
      </c>
      <c r="J22">
        <f>+H22+CF*F22*(1+($I22-1850)*slope/1000)+F22*hQc*COS(2*PI()*$I22/qbo+$L22)+F22*hQs*SIN(2*PI()*$I22/qbo+$L22)+F22*hCs*SIN(2*PI()*$I22/cw)+F22*hCc*COS(2*PI()*$I22/cw) +mix*F22*(hQc*COS(2*PI()*$I22/qbo+$L22)+hQs*SIN(2*PI()*$I22/qbo+$L22))*(hCs*SIN(2*PI()*$I22/cw)+hCc*COS(2*PI()*$I22/cw))</f>
        <v>4.0855451686707118</v>
      </c>
      <c r="K22">
        <f>fQc*COS(2*PI()*$I22/qbo+$L22)+fQs*SIN(2*PI()*$I22/qbo+$L22)+fCs*SIN(2*PI()*$I22/cw)+fCc*COS(2*PI()*$I22/cw)</f>
        <v>-0.16386078207820362</v>
      </c>
      <c r="L22">
        <f>+QMA*COS(2*PI()*$I22/QM+QMP)</f>
        <v>3.0774786813204193E-2</v>
      </c>
      <c r="P22">
        <f t="shared" si="4"/>
        <v>0</v>
      </c>
    </row>
    <row r="23" spans="1:16" x14ac:dyDescent="0.25">
      <c r="A23" s="1"/>
      <c r="B23" t="s">
        <v>36</v>
      </c>
      <c r="C23" t="s">
        <v>24</v>
      </c>
      <c r="D23" s="2">
        <v>0.54166666666666663</v>
      </c>
      <c r="E23" s="5">
        <f t="shared" si="0"/>
        <v>1662</v>
      </c>
      <c r="F23">
        <v>0.13136</v>
      </c>
      <c r="G23">
        <f t="shared" si="1"/>
        <v>-7.5390000000000068E-2</v>
      </c>
      <c r="H23">
        <f t="shared" si="2"/>
        <v>-7.5390000000000068E-2</v>
      </c>
      <c r="I23" s="5">
        <f t="shared" si="3"/>
        <v>10</v>
      </c>
      <c r="J23">
        <f>+H23+CF*F23*(1+($I23-1850)*slope/1000)+F23*hQc*COS(2*PI()*$I23/qbo+$L23)+F23*hQs*SIN(2*PI()*$I23/qbo+$L23)+F23*hCs*SIN(2*PI()*$I23/cw)+F23*hCc*COS(2*PI()*$I23/cw) +mix*F23*(hQc*COS(2*PI()*$I23/qbo+$L23)+hQs*SIN(2*PI()*$I23/qbo+$L23))*(hCs*SIN(2*PI()*$I23/cw)+hCc*COS(2*PI()*$I23/cw))</f>
        <v>3.1958873995006121</v>
      </c>
      <c r="K23">
        <f>fQc*COS(2*PI()*$I23/qbo+$L23)+fQs*SIN(2*PI()*$I23/qbo+$L23)+fCs*SIN(2*PI()*$I23/cw)+fCc*COS(2*PI()*$I23/cw)</f>
        <v>-1.2388955581242438</v>
      </c>
      <c r="L23">
        <f>+QMA*COS(2*PI()*$I23/QM+QMP)</f>
        <v>-0.13600171137429473</v>
      </c>
      <c r="P23">
        <f t="shared" si="4"/>
        <v>0</v>
      </c>
    </row>
    <row r="24" spans="1:16" x14ac:dyDescent="0.25">
      <c r="A24" s="1"/>
      <c r="B24" t="s">
        <v>37</v>
      </c>
      <c r="C24" t="s">
        <v>24</v>
      </c>
      <c r="D24" s="2">
        <v>0.58333333333333337</v>
      </c>
      <c r="E24" s="5">
        <f t="shared" si="0"/>
        <v>1663</v>
      </c>
      <c r="F24">
        <v>-0.37497999999999998</v>
      </c>
      <c r="G24">
        <f t="shared" si="1"/>
        <v>-9.8799999999999999E-2</v>
      </c>
      <c r="H24">
        <f t="shared" si="2"/>
        <v>-9.8799999999999999E-2</v>
      </c>
      <c r="I24" s="5">
        <f t="shared" si="3"/>
        <v>11</v>
      </c>
      <c r="J24">
        <f>+H24+CF*F24*(1+($I24-1850)*slope/1000)+F24*hQc*COS(2*PI()*$I24/qbo+$L24)+F24*hQs*SIN(2*PI()*$I24/qbo+$L24)+F24*hCs*SIN(2*PI()*$I24/cw)+F24*hCc*COS(2*PI()*$I24/cw) +mix*F24*(hQc*COS(2*PI()*$I24/qbo+$L24)+hQs*SIN(2*PI()*$I24/qbo+$L24))*(hCs*SIN(2*PI()*$I24/cw)+hCc*COS(2*PI()*$I24/cw))</f>
        <v>0.23007242442425557</v>
      </c>
      <c r="K24">
        <f>fQc*COS(2*PI()*$I24/qbo+$L24)+fQs*SIN(2*PI()*$I24/qbo+$L24)+fCs*SIN(2*PI()*$I24/cw)+fCc*COS(2*PI()*$I24/cw)</f>
        <v>0.27320854686971113</v>
      </c>
      <c r="L24">
        <f>+QMA*COS(2*PI()*$I24/QM+QMP)</f>
        <v>-0.30045637413965681</v>
      </c>
      <c r="P24">
        <f t="shared" si="4"/>
        <v>1</v>
      </c>
    </row>
    <row r="25" spans="1:16" x14ac:dyDescent="0.25">
      <c r="A25" s="1"/>
      <c r="B25" t="s">
        <v>38</v>
      </c>
      <c r="C25" t="s">
        <v>24</v>
      </c>
      <c r="D25" s="2">
        <v>0.625</v>
      </c>
      <c r="E25" s="5">
        <f t="shared" si="0"/>
        <v>1664</v>
      </c>
      <c r="F25">
        <v>-0.98011999999999999</v>
      </c>
      <c r="G25">
        <f t="shared" si="1"/>
        <v>1.1643399999999999</v>
      </c>
      <c r="H25">
        <f t="shared" si="2"/>
        <v>1.1643399999999999</v>
      </c>
      <c r="I25" s="5">
        <f t="shared" si="3"/>
        <v>12</v>
      </c>
      <c r="J25">
        <f>+H25+CF*F25*(1+($I25-1850)*slope/1000)+F25*hQc*COS(2*PI()*$I25/qbo+$L25)+F25*hQs*SIN(2*PI()*$I25/qbo+$L25)+F25*hCs*SIN(2*PI()*$I25/cw)+F25*hCc*COS(2*PI()*$I25/cw) +mix*F25*(hQc*COS(2*PI()*$I25/qbo+$L25)+hQs*SIN(2*PI()*$I25/qbo+$L25))*(hCs*SIN(2*PI()*$I25/cw)+hCc*COS(2*PI()*$I25/cw))</f>
        <v>-15.151773092820179</v>
      </c>
      <c r="K25">
        <f>fQc*COS(2*PI()*$I25/qbo+$L25)+fQs*SIN(2*PI()*$I25/qbo+$L25)+fCs*SIN(2*PI()*$I25/cw)+fCc*COS(2*PI()*$I25/cw)</f>
        <v>-0.75791902570610625</v>
      </c>
      <c r="L25">
        <f>+QMA*COS(2*PI()*$I25/QM+QMP)</f>
        <v>-0.45978161430265096</v>
      </c>
      <c r="P25">
        <f t="shared" si="4"/>
        <v>1</v>
      </c>
    </row>
    <row r="26" spans="1:16" x14ac:dyDescent="0.25">
      <c r="A26" s="1"/>
      <c r="B26" t="s">
        <v>39</v>
      </c>
      <c r="C26" t="s">
        <v>24</v>
      </c>
      <c r="D26" s="2">
        <v>0.66666666666666663</v>
      </c>
      <c r="E26" s="5">
        <f t="shared" si="0"/>
        <v>1665</v>
      </c>
      <c r="F26">
        <v>-0.42092000000000002</v>
      </c>
      <c r="G26">
        <f t="shared" si="1"/>
        <v>-0.38831999999999989</v>
      </c>
      <c r="H26">
        <f t="shared" si="2"/>
        <v>-0.38831999999999989</v>
      </c>
      <c r="I26" s="5">
        <f t="shared" si="3"/>
        <v>13</v>
      </c>
      <c r="J26">
        <f>+H26+CF*F26*(1+($I26-1850)*slope/1000)+F26*hQc*COS(2*PI()*$I26/qbo+$L26)+F26*hQs*SIN(2*PI()*$I26/qbo+$L26)+F26*hCs*SIN(2*PI()*$I26/cw)+F26*hCc*COS(2*PI()*$I26/cw) +mix*F26*(hQc*COS(2*PI()*$I26/qbo+$L26)+hQs*SIN(2*PI()*$I26/qbo+$L26))*(hCs*SIN(2*PI()*$I26/cw)+hCc*COS(2*PI()*$I26/cw))</f>
        <v>-8.270533719136111</v>
      </c>
      <c r="K26">
        <f>fQc*COS(2*PI()*$I26/qbo+$L26)+fQs*SIN(2*PI()*$I26/qbo+$L26)+fCs*SIN(2*PI()*$I26/cw)+fCc*COS(2*PI()*$I26/cw)</f>
        <v>0.49358622217625164</v>
      </c>
      <c r="L26">
        <f>+QMA*COS(2*PI()*$I26/QM+QMP)</f>
        <v>-0.61125741472148709</v>
      </c>
      <c r="P26">
        <f t="shared" si="4"/>
        <v>0</v>
      </c>
    </row>
    <row r="27" spans="1:16" x14ac:dyDescent="0.25">
      <c r="A27" s="1"/>
      <c r="B27" t="s">
        <v>40</v>
      </c>
      <c r="C27" t="s">
        <v>24</v>
      </c>
      <c r="D27" s="2">
        <v>0.70833333333333337</v>
      </c>
      <c r="E27" s="5">
        <f t="shared" si="0"/>
        <v>1666</v>
      </c>
      <c r="F27">
        <v>-0.25003999999999998</v>
      </c>
      <c r="G27">
        <f t="shared" si="1"/>
        <v>-0.16959000000000005</v>
      </c>
      <c r="H27">
        <f t="shared" si="2"/>
        <v>-0.16959000000000005</v>
      </c>
      <c r="I27" s="5">
        <f t="shared" si="3"/>
        <v>14</v>
      </c>
      <c r="J27">
        <f>+H27+CF*F27*(1+($I27-1850)*slope/1000)+F27*hQc*COS(2*PI()*$I27/qbo+$L27)+F27*hQs*SIN(2*PI()*$I27/qbo+$L27)+F27*hCs*SIN(2*PI()*$I27/cw)+F27*hCc*COS(2*PI()*$I27/cw) +mix*F27*(hQc*COS(2*PI()*$I27/qbo+$L27)+hQs*SIN(2*PI()*$I27/qbo+$L27))*(hCs*SIN(2*PI()*$I27/cw)+hCc*COS(2*PI()*$I27/cw))</f>
        <v>-5.2061840423482559</v>
      </c>
      <c r="K27">
        <f>fQc*COS(2*PI()*$I27/qbo+$L27)+fQs*SIN(2*PI()*$I27/qbo+$L27)+fCs*SIN(2*PI()*$I27/cw)+fCc*COS(2*PI()*$I27/cw)</f>
        <v>0.79736973043892378</v>
      </c>
      <c r="L27">
        <f>+QMA*COS(2*PI()*$I27/QM+QMP)</f>
        <v>-0.75229776470957144</v>
      </c>
      <c r="P27">
        <f t="shared" si="4"/>
        <v>0</v>
      </c>
    </row>
    <row r="28" spans="1:16" x14ac:dyDescent="0.25">
      <c r="A28" s="1"/>
      <c r="B28" t="s">
        <v>41</v>
      </c>
      <c r="C28" t="s">
        <v>24</v>
      </c>
      <c r="D28" s="2">
        <v>0.75</v>
      </c>
      <c r="E28" s="5">
        <f t="shared" si="0"/>
        <v>1667</v>
      </c>
      <c r="F28">
        <v>-0.24875</v>
      </c>
      <c r="G28">
        <f t="shared" si="1"/>
        <v>-0.28654000000000002</v>
      </c>
      <c r="H28">
        <f t="shared" si="2"/>
        <v>-0.28654000000000002</v>
      </c>
      <c r="I28" s="5">
        <f t="shared" si="3"/>
        <v>15</v>
      </c>
      <c r="J28">
        <f>+H28+CF*F28*(1+($I28-1850)*slope/1000)+F28*hQc*COS(2*PI()*$I28/qbo+$L28)+F28*hQs*SIN(2*PI()*$I28/qbo+$L28)+F28*hCs*SIN(2*PI()*$I28/cw)+F28*hCc*COS(2*PI()*$I28/cw) +mix*F28*(hQc*COS(2*PI()*$I28/qbo+$L28)+hQs*SIN(2*PI()*$I28/qbo+$L28))*(hCs*SIN(2*PI()*$I28/cw)+hCc*COS(2*PI()*$I28/cw))</f>
        <v>-2.1045303429318727</v>
      </c>
      <c r="K28">
        <f>fQc*COS(2*PI()*$I28/qbo+$L28)+fQs*SIN(2*PI()*$I28/qbo+$L28)+fCs*SIN(2*PI()*$I28/cw)+fCc*COS(2*PI()*$I28/cw)</f>
        <v>-3.1038055861658503E-2</v>
      </c>
      <c r="L28">
        <f>+QMA*COS(2*PI()*$I28/QM+QMP)</f>
        <v>-0.88049480868006125</v>
      </c>
      <c r="P28">
        <f t="shared" si="4"/>
        <v>1</v>
      </c>
    </row>
    <row r="29" spans="1:16" x14ac:dyDescent="0.25">
      <c r="A29" s="1"/>
      <c r="B29" t="s">
        <v>42</v>
      </c>
      <c r="C29" t="s">
        <v>24</v>
      </c>
      <c r="D29" s="2">
        <v>0.79166666666666663</v>
      </c>
      <c r="E29" s="5">
        <f t="shared" si="0"/>
        <v>1668</v>
      </c>
      <c r="F29">
        <v>-0.53400000000000003</v>
      </c>
      <c r="G29">
        <f t="shared" si="1"/>
        <v>0.54977000000000009</v>
      </c>
      <c r="H29">
        <f t="shared" si="2"/>
        <v>0.54977000000000009</v>
      </c>
      <c r="I29" s="5">
        <f t="shared" si="3"/>
        <v>16</v>
      </c>
      <c r="J29">
        <f>+H29+CF*F29*(1+($I29-1850)*slope/1000)+F29*hQc*COS(2*PI()*$I29/qbo+$L29)+F29*hQs*SIN(2*PI()*$I29/qbo+$L29)+F29*hCs*SIN(2*PI()*$I29/cw)+F29*hCc*COS(2*PI()*$I29/cw) +mix*F29*(hQc*COS(2*PI()*$I29/qbo+$L29)+hQs*SIN(2*PI()*$I29/qbo+$L29))*(hCs*SIN(2*PI()*$I29/cw)+hCc*COS(2*PI()*$I29/cw))</f>
        <v>-10.264793185937581</v>
      </c>
      <c r="K29">
        <f>fQc*COS(2*PI()*$I29/qbo+$L29)+fQs*SIN(2*PI()*$I29/qbo+$L29)+fCs*SIN(2*PI()*$I29/cw)+fCc*COS(2*PI()*$I29/cw)</f>
        <v>1.0826401405166195</v>
      </c>
      <c r="L29">
        <f>+QMA*COS(2*PI()*$I29/QM+QMP)</f>
        <v>-0.99365995330794588</v>
      </c>
      <c r="P29">
        <f t="shared" si="4"/>
        <v>0</v>
      </c>
    </row>
    <row r="30" spans="1:16" x14ac:dyDescent="0.25">
      <c r="A30" s="1"/>
      <c r="B30" t="s">
        <v>43</v>
      </c>
      <c r="C30" t="s">
        <v>24</v>
      </c>
      <c r="D30" s="2">
        <v>0.83333333333333337</v>
      </c>
      <c r="E30" s="5">
        <f t="shared" si="0"/>
        <v>1669</v>
      </c>
      <c r="F30">
        <v>-0.26948</v>
      </c>
      <c r="G30">
        <f t="shared" si="1"/>
        <v>-0.27870000000000006</v>
      </c>
      <c r="H30">
        <f t="shared" si="2"/>
        <v>-0.27870000000000006</v>
      </c>
      <c r="I30" s="5">
        <f t="shared" si="3"/>
        <v>17</v>
      </c>
      <c r="J30">
        <f>+H30+CF*F30*(1+($I30-1850)*slope/1000)+F30*hQc*COS(2*PI()*$I30/qbo+$L30)+F30*hQs*SIN(2*PI()*$I30/qbo+$L30)+F30*hCs*SIN(2*PI()*$I30/cw)+F30*hCc*COS(2*PI()*$I30/cw) +mix*F30*(hQc*COS(2*PI()*$I30/qbo+$L30)+hQs*SIN(2*PI()*$I30/qbo+$L30))*(hCs*SIN(2*PI()*$I30/cw)+hCc*COS(2*PI()*$I30/cw))</f>
        <v>-5.427749525733752</v>
      </c>
      <c r="K30">
        <f>fQc*COS(2*PI()*$I30/qbo+$L30)+fQs*SIN(2*PI()*$I30/qbo+$L30)+fCs*SIN(2*PI()*$I30/cw)+fCc*COS(2*PI()*$I30/cw)</f>
        <v>-0.78092321425161093</v>
      </c>
      <c r="L30">
        <f>+QMA*COS(2*PI()*$I30/QM+QMP)</f>
        <v>-1.0898612314238922</v>
      </c>
      <c r="P30">
        <f t="shared" si="4"/>
        <v>1</v>
      </c>
    </row>
    <row r="31" spans="1:16" x14ac:dyDescent="0.25">
      <c r="A31" s="1"/>
      <c r="B31" t="s">
        <v>44</v>
      </c>
      <c r="C31" t="s">
        <v>24</v>
      </c>
      <c r="D31" s="2">
        <v>0.875</v>
      </c>
      <c r="E31" s="5">
        <f t="shared" si="0"/>
        <v>1670</v>
      </c>
      <c r="F31">
        <v>-0.28366000000000002</v>
      </c>
      <c r="G31">
        <f t="shared" si="1"/>
        <v>0.70045000000000002</v>
      </c>
      <c r="H31">
        <f t="shared" si="2"/>
        <v>0.70045000000000002</v>
      </c>
      <c r="I31" s="5">
        <f t="shared" si="3"/>
        <v>18</v>
      </c>
      <c r="J31">
        <f>+H31+CF*F31*(1+($I31-1850)*slope/1000)+F31*hQc*COS(2*PI()*$I31/qbo+$L31)+F31*hQs*SIN(2*PI()*$I31/qbo+$L31)+F31*hCs*SIN(2*PI()*$I31/cw)+F31*hCc*COS(2*PI()*$I31/cw) +mix*F31*(hQc*COS(2*PI()*$I31/qbo+$L31)+hQs*SIN(2*PI()*$I31/qbo+$L31))*(hCs*SIN(2*PI()*$I31/cw)+hCc*COS(2*PI()*$I31/cw))</f>
        <v>-0.14677455157501518</v>
      </c>
      <c r="K31">
        <f>fQc*COS(2*PI()*$I31/qbo+$L31)+fQs*SIN(2*PI()*$I31/qbo+$L31)+fCs*SIN(2*PI()*$I31/cw)+fCc*COS(2*PI()*$I31/cw)</f>
        <v>-6.7689202650210001E-2</v>
      </c>
      <c r="L31">
        <f>+QMA*COS(2*PI()*$I31/QM+QMP)</f>
        <v>-1.1674562847595569</v>
      </c>
      <c r="P31">
        <f t="shared" si="4"/>
        <v>1</v>
      </c>
    </row>
    <row r="32" spans="1:16" x14ac:dyDescent="0.25">
      <c r="A32" s="1"/>
      <c r="B32" t="s">
        <v>45</v>
      </c>
      <c r="C32" t="s">
        <v>24</v>
      </c>
      <c r="D32" s="2">
        <v>0.91666666666666663</v>
      </c>
      <c r="E32" s="5">
        <f t="shared" si="0"/>
        <v>1671</v>
      </c>
      <c r="F32">
        <v>0.40261000000000002</v>
      </c>
      <c r="G32">
        <f t="shared" si="1"/>
        <v>-1.4431400000000001</v>
      </c>
      <c r="H32">
        <f t="shared" si="2"/>
        <v>-1.4431400000000001</v>
      </c>
      <c r="I32" s="5">
        <f t="shared" si="3"/>
        <v>19</v>
      </c>
      <c r="J32">
        <f>+H32+CF*F32*(1+($I32-1850)*slope/1000)+F32*hQc*COS(2*PI()*$I32/qbo+$L32)+F32*hQs*SIN(2*PI()*$I32/qbo+$L32)+F32*hCs*SIN(2*PI()*$I32/cw)+F32*hCc*COS(2*PI()*$I32/cw) +mix*F32*(hQc*COS(2*PI()*$I32/qbo+$L32)+hQs*SIN(2*PI()*$I32/qbo+$L32))*(hCs*SIN(2*PI()*$I32/cw)+hCc*COS(2*PI()*$I32/cw))</f>
        <v>3.9031039205400648</v>
      </c>
      <c r="K32">
        <f>fQc*COS(2*PI()*$I32/qbo+$L32)+fQs*SIN(2*PI()*$I32/qbo+$L32)+fCs*SIN(2*PI()*$I32/cw)+fCc*COS(2*PI()*$I32/cw)</f>
        <v>-0.62009747841808049</v>
      </c>
      <c r="L32">
        <f>+QMA*COS(2*PI()*$I32/QM+QMP)</f>
        <v>-1.2251204024594904</v>
      </c>
      <c r="P32">
        <f t="shared" si="4"/>
        <v>0</v>
      </c>
    </row>
    <row r="33" spans="1:16" x14ac:dyDescent="0.25">
      <c r="A33" s="1"/>
      <c r="B33" t="s">
        <v>46</v>
      </c>
      <c r="C33" t="s">
        <v>24</v>
      </c>
      <c r="D33" s="2">
        <v>0.95833333333333337</v>
      </c>
      <c r="E33" s="5">
        <f t="shared" si="0"/>
        <v>1672</v>
      </c>
      <c r="F33">
        <v>-0.35426000000000002</v>
      </c>
      <c r="G33">
        <f t="shared" si="1"/>
        <v>0.87363000000000013</v>
      </c>
      <c r="H33">
        <f t="shared" si="2"/>
        <v>0.87363000000000013</v>
      </c>
      <c r="I33" s="5">
        <f t="shared" si="3"/>
        <v>20</v>
      </c>
      <c r="J33">
        <f>+H33+CF*F33*(1+($I33-1850)*slope/1000)+F33*hQc*COS(2*PI()*$I33/qbo+$L33)+F33*hQs*SIN(2*PI()*$I33/qbo+$L33)+F33*hCs*SIN(2*PI()*$I33/cw)+F33*hCc*COS(2*PI()*$I33/cw) +mix*F33*(hQc*COS(2*PI()*$I33/qbo+$L33)+hQs*SIN(2*PI()*$I33/qbo+$L33))*(hCs*SIN(2*PI()*$I33/cw)+hCc*COS(2*PI()*$I33/cw))</f>
        <v>-5.1318892145328991</v>
      </c>
      <c r="K33">
        <f>fQc*COS(2*PI()*$I33/qbo+$L33)+fQs*SIN(2*PI()*$I33/qbo+$L33)+fCs*SIN(2*PI()*$I33/cw)+fCc*COS(2*PI()*$I33/cw)</f>
        <v>-0.81331500749038232</v>
      </c>
      <c r="L33">
        <f>+QMA*COS(2*PI()*$I33/QM+QMP)</f>
        <v>-1.261869136683228</v>
      </c>
      <c r="P33">
        <f t="shared" si="4"/>
        <v>1</v>
      </c>
    </row>
    <row r="34" spans="1:16" x14ac:dyDescent="0.25">
      <c r="A34" s="1"/>
      <c r="B34" t="s">
        <v>47</v>
      </c>
      <c r="C34" t="s">
        <v>24</v>
      </c>
      <c r="D34" s="3">
        <v>1</v>
      </c>
      <c r="E34" s="5">
        <f t="shared" si="0"/>
        <v>1673</v>
      </c>
      <c r="F34">
        <v>-0.23749999999999999</v>
      </c>
      <c r="G34">
        <f t="shared" si="1"/>
        <v>0.73222000000000009</v>
      </c>
      <c r="H34">
        <f t="shared" si="2"/>
        <v>0.73222000000000009</v>
      </c>
      <c r="I34" s="5">
        <f t="shared" si="3"/>
        <v>21</v>
      </c>
      <c r="J34">
        <f>+H34+CF*F34*(1+($I34-1850)*slope/1000)+F34*hQc*COS(2*PI()*$I34/qbo+$L34)+F34*hQs*SIN(2*PI()*$I34/qbo+$L34)+F34*hCs*SIN(2*PI()*$I34/cw)+F34*hCc*COS(2*PI()*$I34/cw) +mix*F34*(hQc*COS(2*PI()*$I34/qbo+$L34)+hQs*SIN(2*PI()*$I34/qbo+$L34))*(hCs*SIN(2*PI()*$I34/cw)+hCc*COS(2*PI()*$I34/cw))</f>
        <v>-2.3985536562905181</v>
      </c>
      <c r="K34">
        <f>fQc*COS(2*PI()*$I34/qbo+$L34)+fQs*SIN(2*PI()*$I34/qbo+$L34)+fCs*SIN(2*PI()*$I34/cw)+fCc*COS(2*PI()*$I34/cw)</f>
        <v>0.55326506355410188</v>
      </c>
      <c r="L34">
        <f>+QMA*COS(2*PI()*$I34/QM+QMP)</f>
        <v>-1.277075109201649</v>
      </c>
      <c r="P34">
        <f t="shared" si="4"/>
        <v>0</v>
      </c>
    </row>
    <row r="35" spans="1:16" x14ac:dyDescent="0.25">
      <c r="A35" s="1"/>
      <c r="B35" t="s">
        <v>48</v>
      </c>
      <c r="C35" t="s">
        <v>24</v>
      </c>
      <c r="D35" s="3">
        <v>1.0416666666666667</v>
      </c>
      <c r="E35" s="5">
        <f t="shared" si="0"/>
        <v>1674</v>
      </c>
      <c r="F35">
        <v>0.61148000000000002</v>
      </c>
      <c r="G35">
        <f t="shared" si="1"/>
        <v>-1.57823</v>
      </c>
      <c r="H35">
        <f t="shared" si="2"/>
        <v>-1.57823</v>
      </c>
      <c r="I35" s="5">
        <f t="shared" si="3"/>
        <v>22</v>
      </c>
      <c r="J35">
        <f>+H35+CF*F35*(1+($I35-1850)*slope/1000)+F35*hQc*COS(2*PI()*$I35/qbo+$L35)+F35*hQs*SIN(2*PI()*$I35/qbo+$L35)+F35*hCs*SIN(2*PI()*$I35/cw)+F35*hCc*COS(2*PI()*$I35/cw) +mix*F35*(hQc*COS(2*PI()*$I35/qbo+$L35)+hQs*SIN(2*PI()*$I35/qbo+$L35))*(hCs*SIN(2*PI()*$I35/cw)+hCc*COS(2*PI()*$I35/cw))</f>
        <v>2.8468168554777575</v>
      </c>
      <c r="K35">
        <f>fQc*COS(2*PI()*$I35/qbo+$L35)+fQs*SIN(2*PI()*$I35/qbo+$L35)+fCs*SIN(2*PI()*$I35/cw)+fCc*COS(2*PI()*$I35/cw)</f>
        <v>-0.43174333786404123</v>
      </c>
      <c r="L35">
        <f>+QMA*COS(2*PI()*$I35/QM+QMP)</f>
        <v>-1.2704787220636355</v>
      </c>
      <c r="P35">
        <f t="shared" si="4"/>
        <v>0</v>
      </c>
    </row>
    <row r="36" spans="1:16" x14ac:dyDescent="0.25">
      <c r="A36" s="1"/>
      <c r="B36" t="s">
        <v>49</v>
      </c>
      <c r="C36" t="s">
        <v>24</v>
      </c>
      <c r="D36" s="3">
        <v>1.0833333333333333</v>
      </c>
      <c r="E36" s="5">
        <f t="shared" si="0"/>
        <v>1675</v>
      </c>
      <c r="F36">
        <v>-0.11777</v>
      </c>
      <c r="G36">
        <f t="shared" si="1"/>
        <v>0.11476000000000008</v>
      </c>
      <c r="H36">
        <f t="shared" si="2"/>
        <v>0.11476000000000008</v>
      </c>
      <c r="I36" s="5">
        <f t="shared" si="3"/>
        <v>23</v>
      </c>
      <c r="J36">
        <f>+H36+CF*F36*(1+($I36-1850)*slope/1000)+F36*hQc*COS(2*PI()*$I36/qbo+$L36)+F36*hQs*SIN(2*PI()*$I36/qbo+$L36)+F36*hCs*SIN(2*PI()*$I36/cw)+F36*hCc*COS(2*PI()*$I36/cw) +mix*F36*(hQc*COS(2*PI()*$I36/qbo+$L36)+hQs*SIN(2*PI()*$I36/qbo+$L36))*(hCs*SIN(2*PI()*$I36/cw)+hCc*COS(2*PI()*$I36/cw))</f>
        <v>-3.5484525952411725</v>
      </c>
      <c r="K36">
        <f>fQc*COS(2*PI()*$I36/qbo+$L36)+fQs*SIN(2*PI()*$I36/qbo+$L36)+fCs*SIN(2*PI()*$I36/cw)+fCc*COS(2*PI()*$I36/cw)</f>
        <v>1.3182930393713461</v>
      </c>
      <c r="L36">
        <f>+QMA*COS(2*PI()*$I36/QM+QMP)</f>
        <v>-1.2421925894794088</v>
      </c>
      <c r="P36">
        <f t="shared" si="4"/>
        <v>0</v>
      </c>
    </row>
    <row r="37" spans="1:16" x14ac:dyDescent="0.25">
      <c r="A37" s="1"/>
      <c r="B37" t="s">
        <v>50</v>
      </c>
      <c r="C37" t="s">
        <v>24</v>
      </c>
      <c r="D37" s="3">
        <v>1.125</v>
      </c>
      <c r="E37" s="5">
        <f t="shared" si="0"/>
        <v>1676</v>
      </c>
      <c r="F37">
        <v>-0.73226000000000002</v>
      </c>
      <c r="G37">
        <f t="shared" si="1"/>
        <v>1.7616499999999999</v>
      </c>
      <c r="H37">
        <f t="shared" si="2"/>
        <v>1.7616499999999999</v>
      </c>
      <c r="I37" s="5">
        <f t="shared" si="3"/>
        <v>24</v>
      </c>
      <c r="J37">
        <f>+H37+CF*F37*(1+($I37-1850)*slope/1000)+F37*hQc*COS(2*PI()*$I37/qbo+$L37)+F37*hQs*SIN(2*PI()*$I37/qbo+$L37)+F37*hCs*SIN(2*PI()*$I37/cw)+F37*hCc*COS(2*PI()*$I37/cw) +mix*F37*(hQc*COS(2*PI()*$I37/qbo+$L37)+hQs*SIN(2*PI()*$I37/qbo+$L37))*(hCs*SIN(2*PI()*$I37/cw)+hCc*COS(2*PI()*$I37/cw))</f>
        <v>-3.2030298671282882</v>
      </c>
      <c r="K37">
        <f>fQc*COS(2*PI()*$I37/qbo+$L37)+fQs*SIN(2*PI()*$I37/qbo+$L37)+fCs*SIN(2*PI()*$I37/cw)+fCc*COS(2*PI()*$I37/cw)</f>
        <v>-2.9376837136353737E-2</v>
      </c>
      <c r="L37">
        <f>+QMA*COS(2*PI()*$I37/QM+QMP)</f>
        <v>-1.1926996152589702</v>
      </c>
      <c r="P37">
        <f t="shared" si="4"/>
        <v>1</v>
      </c>
    </row>
    <row r="38" spans="1:16" x14ac:dyDescent="0.25">
      <c r="A38" s="1"/>
      <c r="B38" t="s">
        <v>51</v>
      </c>
      <c r="C38" t="s">
        <v>24</v>
      </c>
      <c r="D38" s="3">
        <v>1.1666666666666667</v>
      </c>
      <c r="E38" s="5">
        <f t="shared" si="0"/>
        <v>1677</v>
      </c>
      <c r="F38">
        <v>0.41489999999999999</v>
      </c>
      <c r="G38">
        <f t="shared" si="1"/>
        <v>-1.8254699999999999</v>
      </c>
      <c r="H38">
        <f t="shared" si="2"/>
        <v>-1.8254699999999999</v>
      </c>
      <c r="I38" s="5">
        <f t="shared" si="3"/>
        <v>25</v>
      </c>
      <c r="J38">
        <f>+H38+CF*F38*(1+($I38-1850)*slope/1000)+F38*hQc*COS(2*PI()*$I38/qbo+$L38)+F38*hQs*SIN(2*PI()*$I38/qbo+$L38)+F38*hCs*SIN(2*PI()*$I38/cw)+F38*hCc*COS(2*PI()*$I38/cw) +mix*F38*(hQc*COS(2*PI()*$I38/qbo+$L38)+hQs*SIN(2*PI()*$I38/qbo+$L38))*(hCs*SIN(2*PI()*$I38/cw)+hCc*COS(2*PI()*$I38/cw))</f>
        <v>5.1011186793750252</v>
      </c>
      <c r="K38">
        <f>fQc*COS(2*PI()*$I38/qbo+$L38)+fQs*SIN(2*PI()*$I38/qbo+$L38)+fCs*SIN(2*PI()*$I38/cw)+fCc*COS(2*PI()*$I38/cw)</f>
        <v>0.59494148544405556</v>
      </c>
      <c r="L38">
        <f>+QMA*COS(2*PI()*$I38/QM+QMP)</f>
        <v>-1.1228447486278155</v>
      </c>
      <c r="P38">
        <f t="shared" si="4"/>
        <v>1</v>
      </c>
    </row>
    <row r="39" spans="1:16" x14ac:dyDescent="0.25">
      <c r="A39" s="1"/>
      <c r="B39" t="s">
        <v>52</v>
      </c>
      <c r="C39" t="s">
        <v>24</v>
      </c>
      <c r="D39" s="3">
        <v>1.2083333333333333</v>
      </c>
      <c r="E39" s="5">
        <f t="shared" si="0"/>
        <v>1678</v>
      </c>
      <c r="F39">
        <v>-0.26340999999999998</v>
      </c>
      <c r="G39">
        <f t="shared" si="1"/>
        <v>0.3245599999999999</v>
      </c>
      <c r="H39">
        <f t="shared" si="2"/>
        <v>0.3245599999999999</v>
      </c>
      <c r="I39" s="5">
        <f t="shared" si="3"/>
        <v>26</v>
      </c>
      <c r="J39">
        <f>+H39+CF*F39*(1+($I39-1850)*slope/1000)+F39*hQc*COS(2*PI()*$I39/qbo+$L39)+F39*hQs*SIN(2*PI()*$I39/qbo+$L39)+F39*hCs*SIN(2*PI()*$I39/cw)+F39*hCc*COS(2*PI()*$I39/cw) +mix*F39*(hQc*COS(2*PI()*$I39/qbo+$L39)+hQs*SIN(2*PI()*$I39/qbo+$L39))*(hCs*SIN(2*PI()*$I39/cw)+hCc*COS(2*PI()*$I39/cw))</f>
        <v>-3.4590428038108256</v>
      </c>
      <c r="K39">
        <f>fQc*COS(2*PI()*$I39/qbo+$L39)+fQs*SIN(2*PI()*$I39/qbo+$L39)+fCs*SIN(2*PI()*$I39/cw)+fCc*COS(2*PI()*$I39/cw)</f>
        <v>-0.22784895553920009</v>
      </c>
      <c r="L39">
        <f>+QMA*COS(2*PI()*$I39/QM+QMP)</f>
        <v>-1.033820559165503</v>
      </c>
      <c r="P39">
        <f t="shared" si="4"/>
        <v>1</v>
      </c>
    </row>
    <row r="40" spans="1:16" x14ac:dyDescent="0.25">
      <c r="A40" s="1"/>
      <c r="B40" t="s">
        <v>53</v>
      </c>
      <c r="C40" t="s">
        <v>24</v>
      </c>
      <c r="D40" s="3">
        <v>1.25</v>
      </c>
      <c r="E40" s="5">
        <f t="shared" si="0"/>
        <v>1679</v>
      </c>
      <c r="F40">
        <v>-0.61716000000000004</v>
      </c>
      <c r="G40">
        <f t="shared" si="1"/>
        <v>1.15364</v>
      </c>
      <c r="H40">
        <f t="shared" si="2"/>
        <v>1.15364</v>
      </c>
      <c r="I40" s="5">
        <f t="shared" si="3"/>
        <v>27</v>
      </c>
      <c r="J40">
        <f>+H40+CF*F40*(1+($I40-1850)*slope/1000)+F40*hQc*COS(2*PI()*$I40/qbo+$L40)+F40*hQs*SIN(2*PI()*$I40/qbo+$L40)+F40*hCs*SIN(2*PI()*$I40/cw)+F40*hCc*COS(2*PI()*$I40/cw) +mix*F40*(hQc*COS(2*PI()*$I40/qbo+$L40)+hQs*SIN(2*PI()*$I40/qbo+$L40))*(hCs*SIN(2*PI()*$I40/cw)+hCc*COS(2*PI()*$I40/cw))</f>
        <v>-7.8791211878329408</v>
      </c>
      <c r="K40">
        <f>fQc*COS(2*PI()*$I40/qbo+$L40)+fQs*SIN(2*PI()*$I40/qbo+$L40)+fCs*SIN(2*PI()*$I40/cw)+fCc*COS(2*PI()*$I40/cw)</f>
        <v>-0.71974168496899438</v>
      </c>
      <c r="L40">
        <f>+QMA*COS(2*PI()*$I40/QM+QMP)</f>
        <v>-0.92714687713322574</v>
      </c>
      <c r="P40">
        <f t="shared" si="4"/>
        <v>1</v>
      </c>
    </row>
    <row r="41" spans="1:16" x14ac:dyDescent="0.25">
      <c r="A41" s="1"/>
      <c r="B41" t="s">
        <v>54</v>
      </c>
      <c r="C41" t="s">
        <v>24</v>
      </c>
      <c r="D41" s="3">
        <v>1.2916666666666667</v>
      </c>
      <c r="E41" s="5">
        <f t="shared" si="0"/>
        <v>1680</v>
      </c>
      <c r="F41">
        <v>0.18273</v>
      </c>
      <c r="G41">
        <f t="shared" si="1"/>
        <v>-0.71388000000000007</v>
      </c>
      <c r="H41">
        <f t="shared" si="2"/>
        <v>-0.71388000000000007</v>
      </c>
      <c r="I41" s="5">
        <f t="shared" si="3"/>
        <v>28</v>
      </c>
      <c r="J41">
        <f>+H41+CF*F41*(1+($I41-1850)*slope/1000)+F41*hQc*COS(2*PI()*$I41/qbo+$L41)+F41*hQs*SIN(2*PI()*$I41/qbo+$L41)+F41*hCs*SIN(2*PI()*$I41/cw)+F41*hCc*COS(2*PI()*$I41/cw) +mix*F41*(hQc*COS(2*PI()*$I41/qbo+$L41)+hQs*SIN(2*PI()*$I41/qbo+$L41))*(hCs*SIN(2*PI()*$I41/cw)+hCc*COS(2*PI()*$I41/cw))</f>
        <v>-0.19674762813494695</v>
      </c>
      <c r="K41">
        <f>fQc*COS(2*PI()*$I41/qbo+$L41)+fQs*SIN(2*PI()*$I41/qbo+$L41)+fCs*SIN(2*PI()*$I41/cw)+fCc*COS(2*PI()*$I41/cw)</f>
        <v>-0.15065127454899024</v>
      </c>
      <c r="L41">
        <f>+QMA*COS(2*PI()*$I41/QM+QMP)</f>
        <v>-0.80464484677284143</v>
      </c>
      <c r="P41">
        <f t="shared" si="4"/>
        <v>1</v>
      </c>
    </row>
    <row r="42" spans="1:16" x14ac:dyDescent="0.25">
      <c r="A42" s="1"/>
      <c r="B42" t="s">
        <v>55</v>
      </c>
      <c r="C42" t="s">
        <v>24</v>
      </c>
      <c r="D42" s="3">
        <v>1.3333333333333333</v>
      </c>
      <c r="E42" s="5">
        <f t="shared" si="0"/>
        <v>1681</v>
      </c>
      <c r="F42">
        <v>0.26873999999999998</v>
      </c>
      <c r="G42">
        <f t="shared" si="1"/>
        <v>0.38514000000000009</v>
      </c>
      <c r="H42">
        <f t="shared" si="2"/>
        <v>0.38514000000000009</v>
      </c>
      <c r="I42" s="5">
        <f t="shared" si="3"/>
        <v>29</v>
      </c>
      <c r="J42">
        <f>+H42+CF*F42*(1+($I42-1850)*slope/1000)+F42*hQc*COS(2*PI()*$I42/qbo+$L42)+F42*hQs*SIN(2*PI()*$I42/qbo+$L42)+F42*hCs*SIN(2*PI()*$I42/cw)+F42*hCc*COS(2*PI()*$I42/cw) +mix*F42*(hQc*COS(2*PI()*$I42/qbo+$L42)+hQs*SIN(2*PI()*$I42/qbo+$L42))*(hCs*SIN(2*PI()*$I42/cw)+hCc*COS(2*PI()*$I42/cw))</f>
        <v>5.8880565512908909</v>
      </c>
      <c r="K42">
        <f>fQc*COS(2*PI()*$I42/qbo+$L42)+fQs*SIN(2*PI()*$I42/qbo+$L42)+fCs*SIN(2*PI()*$I42/cw)+fCc*COS(2*PI()*$I42/cw)</f>
        <v>-1.0341475480727467</v>
      </c>
      <c r="L42">
        <f>+QMA*COS(2*PI()*$I42/QM+QMP)</f>
        <v>-0.66840583554215727</v>
      </c>
      <c r="P42">
        <f t="shared" si="4"/>
        <v>0</v>
      </c>
    </row>
    <row r="43" spans="1:16" x14ac:dyDescent="0.25">
      <c r="A43" s="1"/>
      <c r="B43" t="s">
        <v>56</v>
      </c>
      <c r="C43" t="s">
        <v>24</v>
      </c>
      <c r="D43" s="3">
        <v>1.375</v>
      </c>
      <c r="E43" s="5">
        <f t="shared" si="0"/>
        <v>1682</v>
      </c>
      <c r="F43">
        <v>0.73989000000000005</v>
      </c>
      <c r="G43">
        <f t="shared" si="1"/>
        <v>-1.0157100000000001</v>
      </c>
      <c r="H43">
        <f t="shared" si="2"/>
        <v>-1.0157100000000001</v>
      </c>
      <c r="I43" s="5">
        <f t="shared" si="3"/>
        <v>30</v>
      </c>
      <c r="J43">
        <f>+H43+CF*F43*(1+($I43-1850)*slope/1000)+F43*hQc*COS(2*PI()*$I43/qbo+$L43)+F43*hQs*SIN(2*PI()*$I43/qbo+$L43)+F43*hCs*SIN(2*PI()*$I43/cw)+F43*hCc*COS(2*PI()*$I43/cw) +mix*F43*(hQc*COS(2*PI()*$I43/qbo+$L43)+hQs*SIN(2*PI()*$I43/qbo+$L43))*(hCs*SIN(2*PI()*$I43/cw)+hCc*COS(2*PI()*$I43/cw))</f>
        <v>10.012725210503804</v>
      </c>
      <c r="K43">
        <f>fQc*COS(2*PI()*$I43/qbo+$L43)+fQs*SIN(2*PI()*$I43/qbo+$L43)+fCs*SIN(2*PI()*$I43/cw)+fCc*COS(2*PI()*$I43/cw)</f>
        <v>0.72421072152330623</v>
      </c>
      <c r="L43">
        <f>+QMA*COS(2*PI()*$I43/QM+QMP)</f>
        <v>-0.52075573007124587</v>
      </c>
      <c r="P43">
        <f t="shared" si="4"/>
        <v>1</v>
      </c>
    </row>
    <row r="44" spans="1:16" x14ac:dyDescent="0.25">
      <c r="A44" s="1"/>
      <c r="B44" t="s">
        <v>57</v>
      </c>
      <c r="C44" t="s">
        <v>24</v>
      </c>
      <c r="D44" s="3">
        <v>1.4166666666666667</v>
      </c>
      <c r="E44" s="5">
        <f t="shared" si="0"/>
        <v>1683</v>
      </c>
      <c r="F44">
        <v>0.19533</v>
      </c>
      <c r="G44">
        <f t="shared" si="1"/>
        <v>0.24701000000000006</v>
      </c>
      <c r="H44">
        <f t="shared" si="2"/>
        <v>0.24701000000000006</v>
      </c>
      <c r="I44" s="5">
        <f t="shared" si="3"/>
        <v>31</v>
      </c>
      <c r="J44">
        <f>+H44+CF*F44*(1+($I44-1850)*slope/1000)+F44*hQc*COS(2*PI()*$I44/qbo+$L44)+F44*hQs*SIN(2*PI()*$I44/qbo+$L44)+F44*hCs*SIN(2*PI()*$I44/cw)+F44*hCc*COS(2*PI()*$I44/cw) +mix*F44*(hQc*COS(2*PI()*$I44/qbo+$L44)+hQs*SIN(2*PI()*$I44/qbo+$L44))*(hCs*SIN(2*PI()*$I44/cw)+hCc*COS(2*PI()*$I44/cw))</f>
        <v>1.3961785668306002</v>
      </c>
      <c r="K44">
        <f>fQc*COS(2*PI()*$I44/qbo+$L44)+fQs*SIN(2*PI()*$I44/qbo+$L44)+fCs*SIN(2*PI()*$I44/cw)+fCc*COS(2*PI()*$I44/cw)</f>
        <v>-0.38379235365719022</v>
      </c>
      <c r="L44">
        <f>+QMA*COS(2*PI()*$I44/QM+QMP)</f>
        <v>-0.36421522838294984</v>
      </c>
      <c r="P44">
        <f t="shared" si="4"/>
        <v>0</v>
      </c>
    </row>
    <row r="45" spans="1:16" x14ac:dyDescent="0.25">
      <c r="A45" s="1"/>
      <c r="B45" t="s">
        <v>58</v>
      </c>
      <c r="C45" t="s">
        <v>24</v>
      </c>
      <c r="D45" s="3">
        <v>1.4583333333333333</v>
      </c>
      <c r="E45" s="5">
        <f t="shared" si="0"/>
        <v>1684</v>
      </c>
      <c r="F45">
        <v>-0.10222000000000001</v>
      </c>
      <c r="G45">
        <f t="shared" si="1"/>
        <v>-0.73465000000000003</v>
      </c>
      <c r="H45">
        <f t="shared" si="2"/>
        <v>-0.73465000000000003</v>
      </c>
      <c r="I45" s="5">
        <f t="shared" si="3"/>
        <v>32</v>
      </c>
      <c r="J45">
        <f>+H45+CF*F45*(1+($I45-1850)*slope/1000)+F45*hQc*COS(2*PI()*$I45/qbo+$L45)+F45*hQs*SIN(2*PI()*$I45/qbo+$L45)+F45*hCs*SIN(2*PI()*$I45/cw)+F45*hCc*COS(2*PI()*$I45/cw) +mix*F45*(hQc*COS(2*PI()*$I45/qbo+$L45)+hQs*SIN(2*PI()*$I45/qbo+$L45))*(hCs*SIN(2*PI()*$I45/cw)+hCc*COS(2*PI()*$I45/cw))</f>
        <v>-3.918859811902645</v>
      </c>
      <c r="K45">
        <f>fQc*COS(2*PI()*$I45/qbo+$L45)+fQs*SIN(2*PI()*$I45/qbo+$L45)+fCs*SIN(2*PI()*$I45/cw)+fCc*COS(2*PI()*$I45/cw)</f>
        <v>1.3283990445406437</v>
      </c>
      <c r="L45">
        <f>+QMA*COS(2*PI()*$I45/QM+QMP)</f>
        <v>-0.20145680627294932</v>
      </c>
      <c r="P45">
        <f t="shared" si="4"/>
        <v>0</v>
      </c>
    </row>
    <row r="46" spans="1:16" x14ac:dyDescent="0.25">
      <c r="A46" s="1"/>
      <c r="B46" t="s">
        <v>59</v>
      </c>
      <c r="C46" t="s">
        <v>24</v>
      </c>
      <c r="D46" s="3">
        <v>1.5</v>
      </c>
      <c r="E46" s="5">
        <f t="shared" si="0"/>
        <v>1685</v>
      </c>
      <c r="F46">
        <v>-1.13442</v>
      </c>
      <c r="G46">
        <f t="shared" si="1"/>
        <v>2.4325399999999999</v>
      </c>
      <c r="H46">
        <f t="shared" si="2"/>
        <v>2.4325399999999999</v>
      </c>
      <c r="I46" s="5">
        <f t="shared" si="3"/>
        <v>33</v>
      </c>
      <c r="J46">
        <f>+H46+CF*F46*(1+($I46-1850)*slope/1000)+F46*hQc*COS(2*PI()*$I46/qbo+$L46)+F46*hQs*SIN(2*PI()*$I46/qbo+$L46)+F46*hCs*SIN(2*PI()*$I46/cw)+F46*hCc*COS(2*PI()*$I46/cw) +mix*F46*(hQc*COS(2*PI()*$I46/qbo+$L46)+hQs*SIN(2*PI()*$I46/qbo+$L46))*(hCs*SIN(2*PI()*$I46/cw)+hCc*COS(2*PI()*$I46/cw))</f>
        <v>-5.3017880129641473</v>
      </c>
      <c r="K46">
        <f>fQc*COS(2*PI()*$I46/qbo+$L46)+fQs*SIN(2*PI()*$I46/qbo+$L46)+fCs*SIN(2*PI()*$I46/cw)+fCc*COS(2*PI()*$I46/cw)</f>
        <v>-0.10612984364943634</v>
      </c>
      <c r="L46">
        <f>+QMA*COS(2*PI()*$I46/QM+QMP)</f>
        <v>-3.5259092523832365E-2</v>
      </c>
      <c r="P46">
        <f t="shared" si="4"/>
        <v>1</v>
      </c>
    </row>
    <row r="47" spans="1:16" x14ac:dyDescent="0.25">
      <c r="A47" s="1"/>
      <c r="B47" t="s">
        <v>60</v>
      </c>
      <c r="C47" t="s">
        <v>24</v>
      </c>
      <c r="D47" s="3">
        <v>1.5416666666666667</v>
      </c>
      <c r="E47" s="5">
        <f t="shared" si="0"/>
        <v>1686</v>
      </c>
      <c r="F47">
        <v>0.26591999999999999</v>
      </c>
      <c r="G47">
        <f t="shared" si="1"/>
        <v>-0.68174000000000001</v>
      </c>
      <c r="H47">
        <f t="shared" si="2"/>
        <v>-0.68174000000000001</v>
      </c>
      <c r="I47" s="5">
        <f t="shared" si="3"/>
        <v>34</v>
      </c>
      <c r="J47">
        <f>+H47+CF*F47*(1+($I47-1850)*slope/1000)+F47*hQc*COS(2*PI()*$I47/qbo+$L47)+F47*hQs*SIN(2*PI()*$I47/qbo+$L47)+F47*hCs*SIN(2*PI()*$I47/cw)+F47*hCc*COS(2*PI()*$I47/cw) +mix*F47*(hQc*COS(2*PI()*$I47/qbo+$L47)+hQs*SIN(2*PI()*$I47/qbo+$L47))*(hCs*SIN(2*PI()*$I47/cw)+hCc*COS(2*PI()*$I47/cw))</f>
        <v>3.4716546704423124</v>
      </c>
      <c r="K47">
        <f>fQc*COS(2*PI()*$I47/qbo+$L47)+fQs*SIN(2*PI()*$I47/qbo+$L47)+fCs*SIN(2*PI()*$I47/cw)+fCc*COS(2*PI()*$I47/cw)</f>
        <v>0.65550829338934635</v>
      </c>
      <c r="L47">
        <f>+QMA*COS(2*PI()*$I47/QM+QMP)</f>
        <v>0.13154056813570805</v>
      </c>
      <c r="P47">
        <f t="shared" si="4"/>
        <v>1</v>
      </c>
    </row>
    <row r="48" spans="1:16" x14ac:dyDescent="0.25">
      <c r="A48" s="1"/>
      <c r="B48" t="s">
        <v>61</v>
      </c>
      <c r="C48" t="s">
        <v>24</v>
      </c>
      <c r="D48" s="3">
        <v>1.5833333333333333</v>
      </c>
      <c r="E48" s="5">
        <f t="shared" si="0"/>
        <v>1687</v>
      </c>
      <c r="F48">
        <v>0.98451999999999995</v>
      </c>
      <c r="G48">
        <f t="shared" si="1"/>
        <v>-1.5032599999999998</v>
      </c>
      <c r="H48">
        <f t="shared" si="2"/>
        <v>-1.5032599999999998</v>
      </c>
      <c r="I48" s="5">
        <f t="shared" si="3"/>
        <v>35</v>
      </c>
      <c r="J48">
        <f>+H48+CF*F48*(1+($I48-1850)*slope/1000)+F48*hQc*COS(2*PI()*$I48/qbo+$L48)+F48*hQs*SIN(2*PI()*$I48/qbo+$L48)+F48*hCs*SIN(2*PI()*$I48/cw)+F48*hCc*COS(2*PI()*$I48/cw) +mix*F48*(hQc*COS(2*PI()*$I48/qbo+$L48)+hQs*SIN(2*PI()*$I48/qbo+$L48))*(hCs*SIN(2*PI()*$I48/cw)+hCc*COS(2*PI()*$I48/cw))</f>
        <v>14.926827742082688</v>
      </c>
      <c r="K48">
        <f>fQc*COS(2*PI()*$I48/qbo+$L48)+fQs*SIN(2*PI()*$I48/qbo+$L48)+fCs*SIN(2*PI()*$I48/cw)+fCc*COS(2*PI()*$I48/cw)</f>
        <v>-0.4926448735037664</v>
      </c>
      <c r="L48">
        <f>+QMA*COS(2*PI()*$I48/QM+QMP)</f>
        <v>0.2960945544764535</v>
      </c>
      <c r="P48">
        <f t="shared" si="4"/>
        <v>0</v>
      </c>
    </row>
    <row r="49" spans="1:16" x14ac:dyDescent="0.25">
      <c r="A49" s="1"/>
      <c r="B49" t="s">
        <v>62</v>
      </c>
      <c r="C49" t="s">
        <v>24</v>
      </c>
      <c r="D49" s="3">
        <v>1.625</v>
      </c>
      <c r="E49" s="5">
        <f t="shared" si="0"/>
        <v>1688</v>
      </c>
      <c r="F49">
        <v>0.19986000000000001</v>
      </c>
      <c r="G49">
        <f t="shared" si="1"/>
        <v>1.1437299999999999</v>
      </c>
      <c r="H49">
        <f t="shared" si="2"/>
        <v>1.1437299999999999</v>
      </c>
      <c r="I49" s="5">
        <f t="shared" si="3"/>
        <v>36</v>
      </c>
      <c r="J49">
        <f>+H49+CF*F49*(1+($I49-1850)*slope/1000)+F49*hQc*COS(2*PI()*$I49/qbo+$L49)+F49*hQs*SIN(2*PI()*$I49/qbo+$L49)+F49*hCs*SIN(2*PI()*$I49/cw)+F49*hCc*COS(2*PI()*$I49/cw) +mix*F49*(hQc*COS(2*PI()*$I49/qbo+$L49)+hQs*SIN(2*PI()*$I49/qbo+$L49))*(hCs*SIN(2*PI()*$I49/cw)+hCc*COS(2*PI()*$I49/cw))</f>
        <v>3.0073248805696355</v>
      </c>
      <c r="K49">
        <f>fQc*COS(2*PI()*$I49/qbo+$L49)+fQs*SIN(2*PI()*$I49/qbo+$L49)+fCs*SIN(2*PI()*$I49/cw)+fCc*COS(2*PI()*$I49/cw)</f>
        <v>-0.51153314076526546</v>
      </c>
      <c r="L49">
        <f>+QMA*COS(2*PI()*$I49/QM+QMP)</f>
        <v>0.4555935836557185</v>
      </c>
      <c r="P49">
        <f t="shared" si="4"/>
        <v>0</v>
      </c>
    </row>
    <row r="50" spans="1:16" x14ac:dyDescent="0.25">
      <c r="A50" s="1"/>
      <c r="B50" t="s">
        <v>63</v>
      </c>
      <c r="C50" t="s">
        <v>24</v>
      </c>
      <c r="D50" s="3">
        <v>1.6666666666666667</v>
      </c>
      <c r="E50" s="5">
        <f t="shared" si="0"/>
        <v>1689</v>
      </c>
      <c r="F50">
        <v>0.55893000000000004</v>
      </c>
      <c r="G50">
        <f t="shared" si="1"/>
        <v>-0.55098000000000003</v>
      </c>
      <c r="H50">
        <f t="shared" si="2"/>
        <v>-0.55098000000000003</v>
      </c>
      <c r="I50" s="5">
        <f t="shared" si="3"/>
        <v>37</v>
      </c>
      <c r="J50">
        <f>+H50+CF*F50*(1+($I50-1850)*slope/1000)+F50*hQc*COS(2*PI()*$I50/qbo+$L50)+F50*hQs*SIN(2*PI()*$I50/qbo+$L50)+F50*hCs*SIN(2*PI()*$I50/cw)+F50*hCc*COS(2*PI()*$I50/cw) +mix*F50*(hQc*COS(2*PI()*$I50/qbo+$L50)+hQs*SIN(2*PI()*$I50/qbo+$L50))*(hCs*SIN(2*PI()*$I50/cw)+hCc*COS(2*PI()*$I50/cw))</f>
        <v>4.1614828205176826</v>
      </c>
      <c r="K50">
        <f>fQc*COS(2*PI()*$I50/qbo+$L50)+fQs*SIN(2*PI()*$I50/qbo+$L50)+fCs*SIN(2*PI()*$I50/cw)+fCc*COS(2*PI()*$I50/cw)</f>
        <v>-0.37798225694855697</v>
      </c>
      <c r="L50">
        <f>+QMA*COS(2*PI()*$I50/QM+QMP)</f>
        <v>0.6073146715874761</v>
      </c>
      <c r="P50">
        <f t="shared" si="4"/>
        <v>0</v>
      </c>
    </row>
    <row r="51" spans="1:16" x14ac:dyDescent="0.25">
      <c r="A51" s="1"/>
      <c r="B51" t="s">
        <v>64</v>
      </c>
      <c r="C51" t="s">
        <v>24</v>
      </c>
      <c r="D51" s="3">
        <v>1.7083333333333333</v>
      </c>
      <c r="E51" s="5">
        <f t="shared" si="0"/>
        <v>1690</v>
      </c>
      <c r="F51">
        <v>0.36702000000000001</v>
      </c>
      <c r="G51">
        <f t="shared" si="1"/>
        <v>-0.22628999999999999</v>
      </c>
      <c r="H51">
        <f t="shared" si="2"/>
        <v>-0.22628999999999999</v>
      </c>
      <c r="I51" s="5">
        <f t="shared" si="3"/>
        <v>38</v>
      </c>
      <c r="J51">
        <f>+H51+CF*F51*(1+($I51-1850)*slope/1000)+F51*hQc*COS(2*PI()*$I51/qbo+$L51)+F51*hQs*SIN(2*PI()*$I51/qbo+$L51)+F51*hCs*SIN(2*PI()*$I51/cw)+F51*hCc*COS(2*PI()*$I51/cw) +mix*F51*(hQc*COS(2*PI()*$I51/qbo+$L51)+hQs*SIN(2*PI()*$I51/qbo+$L51))*(hCs*SIN(2*PI()*$I51/cw)+hCc*COS(2*PI()*$I51/cw))</f>
        <v>6.0533175359031359</v>
      </c>
      <c r="K51">
        <f>fQc*COS(2*PI()*$I51/qbo+$L51)+fQs*SIN(2*PI()*$I51/qbo+$L51)+fCs*SIN(2*PI()*$I51/cw)+fCc*COS(2*PI()*$I51/cw)</f>
        <v>-0.78788636770388831</v>
      </c>
      <c r="L51">
        <f>+QMA*COS(2*PI()*$I51/QM+QMP)</f>
        <v>0.74866762001108877</v>
      </c>
      <c r="P51">
        <f t="shared" si="4"/>
        <v>0</v>
      </c>
    </row>
    <row r="52" spans="1:16" x14ac:dyDescent="0.25">
      <c r="A52" s="1"/>
      <c r="B52" t="s">
        <v>65</v>
      </c>
      <c r="C52" t="s">
        <v>24</v>
      </c>
      <c r="D52" s="3">
        <v>1.75</v>
      </c>
      <c r="E52" s="5">
        <f t="shared" si="0"/>
        <v>1691</v>
      </c>
      <c r="F52">
        <v>-5.1180000000000003E-2</v>
      </c>
      <c r="G52">
        <f t="shared" si="1"/>
        <v>1.0916700000000001</v>
      </c>
      <c r="H52">
        <f t="shared" si="2"/>
        <v>1.0916700000000001</v>
      </c>
      <c r="I52" s="5">
        <f t="shared" si="3"/>
        <v>39</v>
      </c>
      <c r="J52">
        <f>+H52+CF*F52*(1+($I52-1850)*slope/1000)+F52*hQc*COS(2*PI()*$I52/qbo+$L52)+F52*hQs*SIN(2*PI()*$I52/qbo+$L52)+F52*hCs*SIN(2*PI()*$I52/cw)+F52*hCc*COS(2*PI()*$I52/cw) +mix*F52*(hQc*COS(2*PI()*$I52/qbo+$L52)+hQs*SIN(2*PI()*$I52/qbo+$L52))*(hCs*SIN(2*PI()*$I52/cw)+hCc*COS(2*PI()*$I52/cw))</f>
        <v>0.25112753911023755</v>
      </c>
      <c r="K52">
        <f>fQc*COS(2*PI()*$I52/qbo+$L52)+fQs*SIN(2*PI()*$I52/qbo+$L52)+fCs*SIN(2*PI()*$I52/cw)+fCc*COS(2*PI()*$I52/cw)</f>
        <v>0.67892937052489877</v>
      </c>
      <c r="L52">
        <f>+QMA*COS(2*PI()*$I52/QM+QMP)</f>
        <v>0.87723923662657466</v>
      </c>
      <c r="P52">
        <f t="shared" si="4"/>
        <v>1</v>
      </c>
    </row>
    <row r="53" spans="1:16" x14ac:dyDescent="0.25">
      <c r="A53" s="1"/>
      <c r="B53" t="s">
        <v>66</v>
      </c>
      <c r="C53" t="s">
        <v>24</v>
      </c>
      <c r="D53" s="3">
        <v>1.7916666666666667</v>
      </c>
      <c r="E53" s="5">
        <f t="shared" si="0"/>
        <v>1692</v>
      </c>
      <c r="F53">
        <v>0.62229000000000001</v>
      </c>
      <c r="G53">
        <f t="shared" si="1"/>
        <v>-0.81603000000000003</v>
      </c>
      <c r="H53">
        <f t="shared" si="2"/>
        <v>-0.81603000000000003</v>
      </c>
      <c r="I53" s="5">
        <f t="shared" si="3"/>
        <v>40</v>
      </c>
      <c r="J53">
        <f>+H53+CF*F53*(1+($I53-1850)*slope/1000)+F53*hQc*COS(2*PI()*$I53/qbo+$L53)+F53*hQs*SIN(2*PI()*$I53/qbo+$L53)+F53*hCs*SIN(2*PI()*$I53/cw)+F53*hCc*COS(2*PI()*$I53/cw) +mix*F53*(hQc*COS(2*PI()*$I53/qbo+$L53)+hQs*SIN(2*PI()*$I53/qbo+$L53))*(hCs*SIN(2*PI()*$I53/cw)+hCc*COS(2*PI()*$I53/cw))</f>
        <v>2.6670064710974639</v>
      </c>
      <c r="K53">
        <f>fQc*COS(2*PI()*$I53/qbo+$L53)+fQs*SIN(2*PI()*$I53/qbo+$L53)+fCs*SIN(2*PI()*$I53/cw)+fCc*COS(2*PI()*$I53/cw)</f>
        <v>-0.30431699628652242</v>
      </c>
      <c r="L53">
        <f>+QMA*COS(2*PI()*$I53/QM+QMP)</f>
        <v>0.99083453336560001</v>
      </c>
      <c r="P53">
        <f t="shared" si="4"/>
        <v>0</v>
      </c>
    </row>
    <row r="54" spans="1:16" x14ac:dyDescent="0.25">
      <c r="A54" s="1"/>
      <c r="B54" t="s">
        <v>67</v>
      </c>
      <c r="C54" t="s">
        <v>24</v>
      </c>
      <c r="D54" s="3">
        <v>1.8333333333333333</v>
      </c>
      <c r="E54" s="5">
        <f t="shared" si="0"/>
        <v>1693</v>
      </c>
      <c r="F54">
        <v>0.47972999999999999</v>
      </c>
      <c r="G54">
        <f t="shared" si="1"/>
        <v>0.33596000000000004</v>
      </c>
      <c r="H54">
        <f t="shared" si="2"/>
        <v>0.33596000000000004</v>
      </c>
      <c r="I54" s="5">
        <f t="shared" si="3"/>
        <v>41</v>
      </c>
      <c r="J54">
        <f>+H54+CF*F54*(1+($I54-1850)*slope/1000)+F54*hQc*COS(2*PI()*$I54/qbo+$L54)+F54*hQs*SIN(2*PI()*$I54/qbo+$L54)+F54*hCs*SIN(2*PI()*$I54/cw)+F54*hCc*COS(2*PI()*$I54/cw) +mix*F54*(hQc*COS(2*PI()*$I54/qbo+$L54)+hQs*SIN(2*PI()*$I54/qbo+$L54))*(hCs*SIN(2*PI()*$I54/cw)+hCc*COS(2*PI()*$I54/cw))</f>
        <v>15.40788108697009</v>
      </c>
      <c r="K54">
        <f>fQc*COS(2*PI()*$I54/qbo+$L54)+fQs*SIN(2*PI()*$I54/qbo+$L54)+fCs*SIN(2*PI()*$I54/cw)+fCc*COS(2*PI()*$I54/cw)</f>
        <v>1.3718771620074779</v>
      </c>
      <c r="L54">
        <f>+QMA*COS(2*PI()*$I54/QM+QMP)</f>
        <v>1.0875141994570616</v>
      </c>
      <c r="P54">
        <f t="shared" si="4"/>
        <v>1</v>
      </c>
    </row>
    <row r="55" spans="1:16" x14ac:dyDescent="0.25">
      <c r="A55" s="1"/>
      <c r="B55" t="s">
        <v>68</v>
      </c>
      <c r="C55" t="s">
        <v>24</v>
      </c>
      <c r="D55" s="3">
        <v>1.875</v>
      </c>
      <c r="E55" s="5">
        <f t="shared" si="0"/>
        <v>1694</v>
      </c>
      <c r="F55">
        <v>0.67313000000000001</v>
      </c>
      <c r="G55">
        <f t="shared" si="1"/>
        <v>0.17141000000000006</v>
      </c>
      <c r="H55">
        <f t="shared" si="2"/>
        <v>0.17141000000000006</v>
      </c>
      <c r="I55" s="5">
        <f t="shared" si="3"/>
        <v>42</v>
      </c>
      <c r="J55">
        <f>+H55+CF*F55*(1+($I55-1850)*slope/1000)+F55*hQc*COS(2*PI()*$I55/qbo+$L55)+F55*hQs*SIN(2*PI()*$I55/qbo+$L55)+F55*hCs*SIN(2*PI()*$I55/cw)+F55*hCc*COS(2*PI()*$I55/cw) +mix*F55*(hQc*COS(2*PI()*$I55/qbo+$L55)+hQs*SIN(2*PI()*$I55/qbo+$L55))*(hCs*SIN(2*PI()*$I55/cw)+hCc*COS(2*PI()*$I55/cw))</f>
        <v>4.8727473111993902</v>
      </c>
      <c r="K55">
        <f>fQc*COS(2*PI()*$I55/qbo+$L55)+fQs*SIN(2*PI()*$I55/qbo+$L55)+fCs*SIN(2*PI()*$I55/cw)+fCc*COS(2*PI()*$I55/cw)</f>
        <v>-0.20032173714793775</v>
      </c>
      <c r="L55">
        <f>+QMA*COS(2*PI()*$I55/QM+QMP)</f>
        <v>1.1656277095431307</v>
      </c>
      <c r="P55">
        <f t="shared" si="4"/>
        <v>0</v>
      </c>
    </row>
    <row r="56" spans="1:16" x14ac:dyDescent="0.25">
      <c r="A56" s="1"/>
      <c r="B56" t="s">
        <v>69</v>
      </c>
      <c r="C56" t="s">
        <v>24</v>
      </c>
      <c r="D56" s="3">
        <v>1.9166666666666667</v>
      </c>
      <c r="E56" s="5">
        <f t="shared" si="0"/>
        <v>1695</v>
      </c>
      <c r="F56">
        <v>1.0379400000000001</v>
      </c>
      <c r="G56">
        <f t="shared" si="1"/>
        <v>-2.4887899999999998</v>
      </c>
      <c r="H56">
        <f t="shared" si="2"/>
        <v>-2.4887899999999998</v>
      </c>
      <c r="I56" s="5">
        <f t="shared" si="3"/>
        <v>43</v>
      </c>
      <c r="J56">
        <f>+H56+CF*F56*(1+($I56-1850)*slope/1000)+F56*hQc*COS(2*PI()*$I56/qbo+$L56)+F56*hQs*SIN(2*PI()*$I56/qbo+$L56)+F56*hCs*SIN(2*PI()*$I56/cw)+F56*hCc*COS(2*PI()*$I56/cw) +mix*F56*(hQc*COS(2*PI()*$I56/qbo+$L56)+hQs*SIN(2*PI()*$I56/qbo+$L56))*(hCs*SIN(2*PI()*$I56/cw)+hCc*COS(2*PI()*$I56/cw))</f>
        <v>12.054345335696182</v>
      </c>
      <c r="K56">
        <f>fQc*COS(2*PI()*$I56/qbo+$L56)+fQs*SIN(2*PI()*$I56/qbo+$L56)+fCs*SIN(2*PI()*$I56/cw)+fCc*COS(2*PI()*$I56/cw)</f>
        <v>0.60626951641978499</v>
      </c>
      <c r="L56">
        <f>+QMA*COS(2*PI()*$I56/QM+QMP)</f>
        <v>1.2238415016205597</v>
      </c>
      <c r="P56">
        <f t="shared" si="4"/>
        <v>1</v>
      </c>
    </row>
    <row r="57" spans="1:16" x14ac:dyDescent="0.25">
      <c r="A57" s="1"/>
      <c r="B57" t="s">
        <v>70</v>
      </c>
      <c r="C57" t="s">
        <v>24</v>
      </c>
      <c r="D57" s="3">
        <v>1.9583333333333333</v>
      </c>
      <c r="E57" s="5">
        <f t="shared" si="0"/>
        <v>1696</v>
      </c>
      <c r="F57">
        <v>-1.0860399999999999</v>
      </c>
      <c r="G57">
        <f t="shared" si="1"/>
        <v>2.6817099999999998</v>
      </c>
      <c r="H57">
        <f t="shared" si="2"/>
        <v>2.6817099999999998</v>
      </c>
      <c r="I57" s="5">
        <f t="shared" si="3"/>
        <v>44</v>
      </c>
      <c r="J57">
        <f>+H57+CF*F57*(1+($I57-1850)*slope/1000)+F57*hQc*COS(2*PI()*$I57/qbo+$L57)+F57*hQs*SIN(2*PI()*$I57/qbo+$L57)+F57*hCs*SIN(2*PI()*$I57/cw)+F57*hCc*COS(2*PI()*$I57/cw) +mix*F57*(hQc*COS(2*PI()*$I57/qbo+$L57)+hQs*SIN(2*PI()*$I57/qbo+$L57))*(hCs*SIN(2*PI()*$I57/cw)+hCc*COS(2*PI()*$I57/cw))</f>
        <v>-14.67942639803473</v>
      </c>
      <c r="K57">
        <f>fQc*COS(2*PI()*$I57/qbo+$L57)+fQs*SIN(2*PI()*$I57/qbo+$L57)+fCs*SIN(2*PI()*$I57/cw)+fCc*COS(2*PI()*$I57/cw)</f>
        <v>-0.48211667453157658</v>
      </c>
      <c r="L57">
        <f>+QMA*COS(2*PI()*$I57/QM+QMP)</f>
        <v>1.2611617437504978</v>
      </c>
      <c r="P57">
        <f t="shared" si="4"/>
        <v>1</v>
      </c>
    </row>
    <row r="58" spans="1:16" x14ac:dyDescent="0.25">
      <c r="A58" s="1"/>
      <c r="B58" t="s">
        <v>71</v>
      </c>
      <c r="C58" t="s">
        <v>24</v>
      </c>
      <c r="D58" s="3">
        <v>2</v>
      </c>
      <c r="E58" s="5">
        <f t="shared" si="0"/>
        <v>1697</v>
      </c>
      <c r="F58">
        <v>-0.52830999999999995</v>
      </c>
      <c r="G58">
        <f t="shared" si="1"/>
        <v>-1.1302399999999999</v>
      </c>
      <c r="H58">
        <f t="shared" si="2"/>
        <v>-1.1302399999999999</v>
      </c>
      <c r="I58" s="5">
        <f t="shared" si="3"/>
        <v>45</v>
      </c>
      <c r="J58">
        <f>+H58+CF*F58*(1+($I58-1850)*slope/1000)+F58*hQc*COS(2*PI()*$I58/qbo+$L58)+F58*hQs*SIN(2*PI()*$I58/qbo+$L58)+F58*hCs*SIN(2*PI()*$I58/cw)+F58*hCc*COS(2*PI()*$I58/cw) +mix*F58*(hQc*COS(2*PI()*$I58/qbo+$L58)+hQs*SIN(2*PI()*$I58/qbo+$L58))*(hCs*SIN(2*PI()*$I58/cw)+hCc*COS(2*PI()*$I58/cw))</f>
        <v>-8.1184338788347166</v>
      </c>
      <c r="K58">
        <f>fQc*COS(2*PI()*$I58/qbo+$L58)+fQs*SIN(2*PI()*$I58/qbo+$L58)+fCs*SIN(2*PI()*$I58/cw)+fCc*COS(2*PI()*$I58/cw)</f>
        <v>-0.7246380269799545</v>
      </c>
      <c r="L58">
        <f>+QMA*COS(2*PI()*$I58/QM+QMP)</f>
        <v>1.276951300861155</v>
      </c>
      <c r="P58">
        <f t="shared" si="4"/>
        <v>1</v>
      </c>
    </row>
    <row r="59" spans="1:16" x14ac:dyDescent="0.25">
      <c r="A59" s="1"/>
      <c r="B59" t="s">
        <v>72</v>
      </c>
      <c r="C59" t="s">
        <v>24</v>
      </c>
      <c r="D59" s="3">
        <v>2.0416666666666665</v>
      </c>
      <c r="E59" s="5">
        <f t="shared" si="0"/>
        <v>1698</v>
      </c>
      <c r="F59">
        <v>-1.1008199999999999</v>
      </c>
      <c r="G59">
        <f t="shared" si="1"/>
        <v>1.4529199999999998</v>
      </c>
      <c r="H59">
        <f t="shared" si="2"/>
        <v>1.4529199999999998</v>
      </c>
      <c r="I59" s="5">
        <f t="shared" si="3"/>
        <v>46</v>
      </c>
      <c r="J59">
        <f>+H59+CF*F59*(1+($I59-1850)*slope/1000)+F59*hQc*COS(2*PI()*$I59/qbo+$L59)+F59*hQs*SIN(2*PI()*$I59/qbo+$L59)+F59*hCs*SIN(2*PI()*$I59/cw)+F59*hCc*COS(2*PI()*$I59/cw) +mix*F59*(hQc*COS(2*PI()*$I59/qbo+$L59)+hQs*SIN(2*PI()*$I59/qbo+$L59))*(hCs*SIN(2*PI()*$I59/cw)+hCc*COS(2*PI()*$I59/cw))</f>
        <v>-1.78432732060765</v>
      </c>
      <c r="K59">
        <f>fQc*COS(2*PI()*$I59/qbo+$L59)+fQs*SIN(2*PI()*$I59/qbo+$L59)+fCs*SIN(2*PI()*$I59/cw)+fCc*COS(2*PI()*$I59/cw)</f>
        <v>-8.5839721722207066E-2</v>
      </c>
      <c r="L59">
        <f>+QMA*COS(2*PI()*$I59/QM+QMP)</f>
        <v>1.270940611984299</v>
      </c>
      <c r="P59">
        <f t="shared" si="4"/>
        <v>1</v>
      </c>
    </row>
    <row r="60" spans="1:16" x14ac:dyDescent="0.25">
      <c r="A60" s="1"/>
      <c r="B60" t="s">
        <v>73</v>
      </c>
      <c r="C60" t="s">
        <v>24</v>
      </c>
      <c r="D60" s="3">
        <v>2.0833333333333335</v>
      </c>
      <c r="E60" s="5">
        <f t="shared" si="0"/>
        <v>1699</v>
      </c>
      <c r="F60">
        <v>-0.22040999999999999</v>
      </c>
      <c r="G60">
        <f t="shared" si="1"/>
        <v>-0.67158999999999991</v>
      </c>
      <c r="H60">
        <f t="shared" si="2"/>
        <v>-0.67158999999999991</v>
      </c>
      <c r="I60" s="5">
        <f t="shared" si="3"/>
        <v>47</v>
      </c>
      <c r="J60">
        <f>+H60+CF*F60*(1+($I60-1850)*slope/1000)+F60*hQc*COS(2*PI()*$I60/qbo+$L60)+F60*hQs*SIN(2*PI()*$I60/qbo+$L60)+F60*hCs*SIN(2*PI()*$I60/cw)+F60*hCc*COS(2*PI()*$I60/cw) +mix*F60*(hQc*COS(2*PI()*$I60/qbo+$L60)+hQs*SIN(2*PI()*$I60/qbo+$L60))*(hCs*SIN(2*PI()*$I60/cw)+hCc*COS(2*PI()*$I60/cw))</f>
        <v>-4.9295623526453909</v>
      </c>
      <c r="K60">
        <f>fQc*COS(2*PI()*$I60/qbo+$L60)+fQs*SIN(2*PI()*$I60/qbo+$L60)+fCs*SIN(2*PI()*$I60/cw)+fCc*COS(2*PI()*$I60/cw)</f>
        <v>-1.0024308806527649</v>
      </c>
      <c r="L60">
        <f>+QMA*COS(2*PI()*$I60/QM+QMP)</f>
        <v>1.2432322922282588</v>
      </c>
      <c r="P60">
        <f t="shared" si="4"/>
        <v>1</v>
      </c>
    </row>
    <row r="61" spans="1:16" x14ac:dyDescent="0.25">
      <c r="A61" s="1"/>
      <c r="B61" t="s">
        <v>74</v>
      </c>
      <c r="C61" t="s">
        <v>24</v>
      </c>
      <c r="D61" s="3">
        <v>2.125</v>
      </c>
      <c r="E61" s="5">
        <f t="shared" si="0"/>
        <v>1700</v>
      </c>
      <c r="F61">
        <v>-1.159E-2</v>
      </c>
      <c r="G61">
        <f t="shared" si="1"/>
        <v>0.22741</v>
      </c>
      <c r="H61">
        <f t="shared" si="2"/>
        <v>0.22741</v>
      </c>
      <c r="I61" s="5">
        <f t="shared" si="3"/>
        <v>48</v>
      </c>
      <c r="J61">
        <f>+H61+CF*F61*(1+($I61-1850)*slope/1000)+F61*hQc*COS(2*PI()*$I61/qbo+$L61)+F61*hQs*SIN(2*PI()*$I61/qbo+$L61)+F61*hCs*SIN(2*PI()*$I61/cw)+F61*hCc*COS(2*PI()*$I61/cw) +mix*F61*(hQc*COS(2*PI()*$I61/qbo+$L61)+hQs*SIN(2*PI()*$I61/qbo+$L61))*(hCs*SIN(2*PI()*$I61/cw)+hCc*COS(2*PI()*$I61/cw))</f>
        <v>7.6479897133051311E-3</v>
      </c>
      <c r="K61">
        <f>fQc*COS(2*PI()*$I61/qbo+$L61)+fQs*SIN(2*PI()*$I61/qbo+$L61)+fCs*SIN(2*PI()*$I61/cw)+fCc*COS(2*PI()*$I61/cw)</f>
        <v>0.88911452551078263</v>
      </c>
      <c r="L61">
        <f>+QMA*COS(2*PI()*$I61/QM+QMP)</f>
        <v>1.1942993809220803</v>
      </c>
      <c r="P61">
        <f t="shared" si="4"/>
        <v>1</v>
      </c>
    </row>
    <row r="62" spans="1:16" x14ac:dyDescent="0.25">
      <c r="A62" s="1"/>
      <c r="B62" t="s">
        <v>75</v>
      </c>
      <c r="C62" t="s">
        <v>24</v>
      </c>
      <c r="D62" s="3">
        <v>2.1666666666666665</v>
      </c>
      <c r="E62" s="5">
        <f t="shared" si="0"/>
        <v>1701</v>
      </c>
      <c r="F62">
        <v>0.42464000000000002</v>
      </c>
      <c r="G62">
        <f t="shared" si="1"/>
        <v>-0.60131000000000001</v>
      </c>
      <c r="H62">
        <f t="shared" si="2"/>
        <v>-0.60131000000000001</v>
      </c>
      <c r="I62" s="5">
        <f t="shared" si="3"/>
        <v>49</v>
      </c>
      <c r="J62">
        <f>+H62+CF*F62*(1+($I62-1850)*slope/1000)+F62*hQc*COS(2*PI()*$I62/qbo+$L62)+F62*hQs*SIN(2*PI()*$I62/qbo+$L62)+F62*hCs*SIN(2*PI()*$I62/cw)+F62*hCc*COS(2*PI()*$I62/cw) +mix*F62*(hQc*COS(2*PI()*$I62/qbo+$L62)+hQs*SIN(2*PI()*$I62/qbo+$L62))*(hCs*SIN(2*PI()*$I62/cw)+hCc*COS(2*PI()*$I62/cw))</f>
        <v>1.9065049831921383</v>
      </c>
      <c r="K62">
        <f>fQc*COS(2*PI()*$I62/qbo+$L62)+fQs*SIN(2*PI()*$I62/qbo+$L62)+fCs*SIN(2*PI()*$I62/cw)+fCc*COS(2*PI()*$I62/cw)</f>
        <v>-0.12940603756752811</v>
      </c>
      <c r="L62">
        <f>+QMA*COS(2*PI()*$I62/QM+QMP)</f>
        <v>1.1249772658386876</v>
      </c>
      <c r="P62">
        <f t="shared" si="4"/>
        <v>0</v>
      </c>
    </row>
    <row r="63" spans="1:16" x14ac:dyDescent="0.25">
      <c r="A63" s="1"/>
      <c r="B63" t="s">
        <v>76</v>
      </c>
      <c r="C63" t="s">
        <v>24</v>
      </c>
      <c r="D63" s="3">
        <v>2.2083333333333335</v>
      </c>
      <c r="E63" s="5">
        <f t="shared" si="0"/>
        <v>1702</v>
      </c>
      <c r="F63">
        <v>0.25956000000000001</v>
      </c>
      <c r="G63">
        <f t="shared" si="1"/>
        <v>-0.81159999999999999</v>
      </c>
      <c r="H63">
        <f t="shared" si="2"/>
        <v>-0.81159999999999999</v>
      </c>
      <c r="I63" s="5">
        <f t="shared" si="3"/>
        <v>50</v>
      </c>
      <c r="J63">
        <f>+H63+CF*F63*(1+($I63-1850)*slope/1000)+F63*hQc*COS(2*PI()*$I63/qbo+$L63)+F63*hQs*SIN(2*PI()*$I63/qbo+$L63)+F63*hCs*SIN(2*PI()*$I63/cw)+F63*hCc*COS(2*PI()*$I63/cw) +mix*F63*(hQc*COS(2*PI()*$I63/qbo+$L63)+hQs*SIN(2*PI()*$I63/qbo+$L63))*(hCs*SIN(2*PI()*$I63/cw)+hCc*COS(2*PI()*$I63/cw))</f>
        <v>5.1545547185302896</v>
      </c>
      <c r="K63">
        <f>fQc*COS(2*PI()*$I63/qbo+$L63)+fQs*SIN(2*PI()*$I63/qbo+$L63)+fCs*SIN(2*PI()*$I63/cw)+fCc*COS(2*PI()*$I63/cw)</f>
        <v>0.87715676828703437</v>
      </c>
      <c r="L63">
        <f>+QMA*COS(2*PI()*$I63/QM+QMP)</f>
        <v>1.0364494213675686</v>
      </c>
      <c r="P63">
        <f t="shared" si="4"/>
        <v>1</v>
      </c>
    </row>
    <row r="64" spans="1:16" x14ac:dyDescent="0.25">
      <c r="A64" s="1"/>
      <c r="B64" t="s">
        <v>77</v>
      </c>
      <c r="C64" t="s">
        <v>24</v>
      </c>
      <c r="D64" s="3">
        <v>2.25</v>
      </c>
      <c r="E64" s="5">
        <f t="shared" si="0"/>
        <v>1703</v>
      </c>
      <c r="F64">
        <v>-0.71711999999999998</v>
      </c>
      <c r="G64">
        <f t="shared" si="1"/>
        <v>0.99912000000000001</v>
      </c>
      <c r="H64">
        <f t="shared" si="2"/>
        <v>0.99912000000000001</v>
      </c>
      <c r="I64" s="5">
        <f t="shared" si="3"/>
        <v>51</v>
      </c>
      <c r="J64">
        <f>+H64+CF*F64*(1+($I64-1850)*slope/1000)+F64*hQc*COS(2*PI()*$I64/qbo+$L64)+F64*hQs*SIN(2*PI()*$I64/qbo+$L64)+F64*hCs*SIN(2*PI()*$I64/cw)+F64*hCc*COS(2*PI()*$I64/cw) +mix*F64*(hQc*COS(2*PI()*$I64/qbo+$L64)+hQs*SIN(2*PI()*$I64/qbo+$L64))*(hCs*SIN(2*PI()*$I64/cw)+hCc*COS(2*PI()*$I64/cw))</f>
        <v>-11.032966636877196</v>
      </c>
      <c r="K64">
        <f>fQc*COS(2*PI()*$I64/qbo+$L64)+fQs*SIN(2*PI()*$I64/qbo+$L64)+fCs*SIN(2*PI()*$I64/cw)+fCc*COS(2*PI()*$I64/cw)</f>
        <v>0.59860361665408068</v>
      </c>
      <c r="L64">
        <f>+QMA*COS(2*PI()*$I64/QM+QMP)</f>
        <v>0.93022720411638282</v>
      </c>
      <c r="P64">
        <f t="shared" si="4"/>
        <v>0</v>
      </c>
    </row>
    <row r="65" spans="1:16" x14ac:dyDescent="0.25">
      <c r="A65" s="1"/>
      <c r="B65" t="s">
        <v>78</v>
      </c>
      <c r="C65" t="s">
        <v>24</v>
      </c>
      <c r="D65" s="3">
        <v>2.2916666666666665</v>
      </c>
      <c r="E65" s="5">
        <f t="shared" si="0"/>
        <v>1704</v>
      </c>
      <c r="F65">
        <v>-0.69467999999999996</v>
      </c>
      <c r="G65">
        <f t="shared" si="1"/>
        <v>0.17132999999999998</v>
      </c>
      <c r="H65">
        <f t="shared" si="2"/>
        <v>0.17132999999999998</v>
      </c>
      <c r="I65" s="5">
        <f t="shared" si="3"/>
        <v>52</v>
      </c>
      <c r="J65">
        <f>+H65+CF*F65*(1+($I65-1850)*slope/1000)+F65*hQc*COS(2*PI()*$I65/qbo+$L65)+F65*hQs*SIN(2*PI()*$I65/qbo+$L65)+F65*hCs*SIN(2*PI()*$I65/cw)+F65*hCc*COS(2*PI()*$I65/cw) +mix*F65*(hQc*COS(2*PI()*$I65/qbo+$L65)+hQs*SIN(2*PI()*$I65/qbo+$L65))*(hCs*SIN(2*PI()*$I65/cw)+hCc*COS(2*PI()*$I65/cw))</f>
        <v>-10.431182770954875</v>
      </c>
      <c r="K65">
        <f>fQc*COS(2*PI()*$I65/qbo+$L65)+fQs*SIN(2*PI()*$I65/qbo+$L65)+fCs*SIN(2*PI()*$I65/cw)+fCc*COS(2*PI()*$I65/cw)</f>
        <v>-0.49788811953026574</v>
      </c>
      <c r="L65">
        <f>+QMA*COS(2*PI()*$I65/QM+QMP)</f>
        <v>0.80812405087308892</v>
      </c>
      <c r="P65">
        <f t="shared" si="4"/>
        <v>1</v>
      </c>
    </row>
    <row r="66" spans="1:16" x14ac:dyDescent="0.25">
      <c r="A66" s="1"/>
      <c r="B66" t="s">
        <v>79</v>
      </c>
      <c r="C66" t="s">
        <v>24</v>
      </c>
      <c r="D66" s="3">
        <v>2.3333333333333335</v>
      </c>
      <c r="E66" s="5">
        <f t="shared" si="0"/>
        <v>1705</v>
      </c>
      <c r="F66">
        <v>-0.50090999999999997</v>
      </c>
      <c r="G66">
        <f t="shared" si="1"/>
        <v>0.27430999999999994</v>
      </c>
      <c r="H66">
        <f t="shared" si="2"/>
        <v>0.27430999999999994</v>
      </c>
      <c r="I66" s="5">
        <f t="shared" si="3"/>
        <v>53</v>
      </c>
      <c r="J66">
        <f>+H66+CF*F66*(1+($I66-1850)*slope/1000)+F66*hQc*COS(2*PI()*$I66/qbo+$L66)+F66*hQs*SIN(2*PI()*$I66/qbo+$L66)+F66*hCs*SIN(2*PI()*$I66/cw)+F66*hCc*COS(2*PI()*$I66/cw) +mix*F66*(hQc*COS(2*PI()*$I66/qbo+$L66)+hQs*SIN(2*PI()*$I66/qbo+$L66))*(hCs*SIN(2*PI()*$I66/cw)+hCc*COS(2*PI()*$I66/cw))</f>
        <v>0.2567053167034512</v>
      </c>
      <c r="K66">
        <f>fQc*COS(2*PI()*$I66/qbo+$L66)+fQs*SIN(2*PI()*$I66/qbo+$L66)+fCs*SIN(2*PI()*$I66/cw)+fCc*COS(2*PI()*$I66/cw)</f>
        <v>0.40755823701038491</v>
      </c>
      <c r="L66">
        <f>+QMA*COS(2*PI()*$I66/QM+QMP)</f>
        <v>0.6722245194236901</v>
      </c>
      <c r="P66">
        <f t="shared" si="4"/>
        <v>1</v>
      </c>
    </row>
    <row r="67" spans="1:16" x14ac:dyDescent="0.25">
      <c r="A67" s="1"/>
      <c r="B67" t="s">
        <v>80</v>
      </c>
      <c r="C67" t="s">
        <v>24</v>
      </c>
      <c r="D67" s="3">
        <v>2.375</v>
      </c>
      <c r="E67" s="5">
        <f t="shared" si="0"/>
        <v>1706</v>
      </c>
      <c r="F67">
        <v>-3.2829999999999998E-2</v>
      </c>
      <c r="G67">
        <f t="shared" si="1"/>
        <v>-0.98914999999999986</v>
      </c>
      <c r="H67">
        <f t="shared" si="2"/>
        <v>-0.98914999999999986</v>
      </c>
      <c r="I67" s="5">
        <f t="shared" si="3"/>
        <v>54</v>
      </c>
      <c r="J67">
        <f>+H67+CF*F67*(1+($I67-1850)*slope/1000)+F67*hQc*COS(2*PI()*$I67/qbo+$L67)+F67*hQs*SIN(2*PI()*$I67/qbo+$L67)+F67*hCs*SIN(2*PI()*$I67/cw)+F67*hCc*COS(2*PI()*$I67/cw) +mix*F67*(hQc*COS(2*PI()*$I67/qbo+$L67)+hQs*SIN(2*PI()*$I67/qbo+$L67))*(hCs*SIN(2*PI()*$I67/cw)+hCc*COS(2*PI()*$I67/cw))</f>
        <v>-1.8878651755383515</v>
      </c>
      <c r="K67">
        <f>fQc*COS(2*PI()*$I67/qbo+$L67)+fQs*SIN(2*PI()*$I67/qbo+$L67)+fCs*SIN(2*PI()*$I67/cw)+fCc*COS(2*PI()*$I67/cw)</f>
        <v>-1.2824523581079985</v>
      </c>
      <c r="L67">
        <f>+QMA*COS(2*PI()*$I67/QM+QMP)</f>
        <v>0.52484870076397216</v>
      </c>
      <c r="P67">
        <f t="shared" si="4"/>
        <v>1</v>
      </c>
    </row>
    <row r="68" spans="1:16" x14ac:dyDescent="0.25">
      <c r="A68" s="1"/>
      <c r="B68" t="s">
        <v>81</v>
      </c>
      <c r="C68" t="s">
        <v>24</v>
      </c>
      <c r="D68" s="3">
        <v>2.4166666666666665</v>
      </c>
      <c r="E68" s="5">
        <f t="shared" si="0"/>
        <v>1707</v>
      </c>
      <c r="F68">
        <v>-0.55389999999999995</v>
      </c>
      <c r="G68">
        <f t="shared" si="1"/>
        <v>1.0324299999999997</v>
      </c>
      <c r="H68">
        <f t="shared" si="2"/>
        <v>1.0324299999999997</v>
      </c>
      <c r="I68" s="5">
        <f t="shared" si="3"/>
        <v>55</v>
      </c>
      <c r="J68">
        <f>+H68+CF*F68*(1+($I68-1850)*slope/1000)+F68*hQc*COS(2*PI()*$I68/qbo+$L68)+F68*hQs*SIN(2*PI()*$I68/qbo+$L68)+F68*hCs*SIN(2*PI()*$I68/cw)+F68*hCc*COS(2*PI()*$I68/cw) +mix*F68*(hQc*COS(2*PI()*$I68/qbo+$L68)+hQs*SIN(2*PI()*$I68/qbo+$L68))*(hCs*SIN(2*PI()*$I68/cw)+hCc*COS(2*PI()*$I68/cw))</f>
        <v>-0.94977155458703955</v>
      </c>
      <c r="K68">
        <f>fQc*COS(2*PI()*$I68/qbo+$L68)+fQs*SIN(2*PI()*$I68/qbo+$L68)+fCs*SIN(2*PI()*$I68/cw)+fCc*COS(2*PI()*$I68/cw)</f>
        <v>-0.17284898759029721</v>
      </c>
      <c r="L68">
        <f>+QMA*COS(2*PI()*$I68/QM+QMP)</f>
        <v>0.36851261026368543</v>
      </c>
      <c r="P68">
        <f t="shared" si="4"/>
        <v>1</v>
      </c>
    </row>
    <row r="69" spans="1:16" x14ac:dyDescent="0.25">
      <c r="A69" s="1"/>
      <c r="B69" t="s">
        <v>82</v>
      </c>
      <c r="C69" t="s">
        <v>24</v>
      </c>
      <c r="D69" s="3">
        <v>2.4583333333333335</v>
      </c>
      <c r="E69" s="5">
        <f t="shared" si="0"/>
        <v>1708</v>
      </c>
      <c r="F69">
        <v>-4.2540000000000001E-2</v>
      </c>
      <c r="G69">
        <f t="shared" si="1"/>
        <v>-1.0063</v>
      </c>
      <c r="H69">
        <f t="shared" si="2"/>
        <v>-1.0063</v>
      </c>
      <c r="I69" s="5">
        <f t="shared" si="3"/>
        <v>56</v>
      </c>
      <c r="J69">
        <f>+H69+CF*F69*(1+($I69-1850)*slope/1000)+F69*hQc*COS(2*PI()*$I69/qbo+$L69)+F69*hQs*SIN(2*PI()*$I69/qbo+$L69)+F69*hCs*SIN(2*PI()*$I69/cw)+F69*hCc*COS(2*PI()*$I69/cw) +mix*F69*(hQc*COS(2*PI()*$I69/qbo+$L69)+hQs*SIN(2*PI()*$I69/qbo+$L69))*(hCs*SIN(2*PI()*$I69/cw)+hCc*COS(2*PI()*$I69/cw))</f>
        <v>-1.5601211388360696</v>
      </c>
      <c r="K69">
        <f>fQc*COS(2*PI()*$I69/qbo+$L69)+fQs*SIN(2*PI()*$I69/qbo+$L69)+fCs*SIN(2*PI()*$I69/cw)+fCc*COS(2*PI()*$I69/cw)</f>
        <v>-0.12952094059630698</v>
      </c>
      <c r="L69">
        <f>+QMA*COS(2*PI()*$I69/QM+QMP)</f>
        <v>0.20588523398936004</v>
      </c>
      <c r="P69">
        <f t="shared" si="4"/>
        <v>1</v>
      </c>
    </row>
    <row r="70" spans="1:16" x14ac:dyDescent="0.25">
      <c r="A70" s="1"/>
      <c r="B70" t="s">
        <v>83</v>
      </c>
      <c r="C70" t="s">
        <v>24</v>
      </c>
      <c r="D70" s="3">
        <v>2.5</v>
      </c>
      <c r="E70" s="5">
        <f t="shared" si="0"/>
        <v>1709</v>
      </c>
      <c r="F70">
        <v>-0.53747999999999996</v>
      </c>
      <c r="G70">
        <f t="shared" si="1"/>
        <v>2.1544999999999996</v>
      </c>
      <c r="H70">
        <f t="shared" si="2"/>
        <v>2.1544999999999996</v>
      </c>
      <c r="I70" s="5">
        <f t="shared" si="3"/>
        <v>57</v>
      </c>
      <c r="J70">
        <f>+H70+CF*F70*(1+($I70-1850)*slope/1000)+F70*hQc*COS(2*PI()*$I70/qbo+$L70)+F70*hQs*SIN(2*PI()*$I70/qbo+$L70)+F70*hCs*SIN(2*PI()*$I70/cw)+F70*hCc*COS(2*PI()*$I70/cw) +mix*F70*(hQc*COS(2*PI()*$I70/qbo+$L70)+hQs*SIN(2*PI()*$I70/qbo+$L70))*(hCs*SIN(2*PI()*$I70/cw)+hCc*COS(2*PI()*$I70/cw))</f>
        <v>-4.1095619401193986</v>
      </c>
      <c r="K70">
        <f>fQc*COS(2*PI()*$I70/qbo+$L70)+fQs*SIN(2*PI()*$I70/qbo+$L70)+fCs*SIN(2*PI()*$I70/cw)+fCc*COS(2*PI()*$I70/cw)</f>
        <v>-0.342272126669871</v>
      </c>
      <c r="L70">
        <f>+QMA*COS(2*PI()*$I70/QM+QMP)</f>
        <v>3.9742963495389888E-2</v>
      </c>
      <c r="P70">
        <f t="shared" si="4"/>
        <v>1</v>
      </c>
    </row>
    <row r="71" spans="1:16" x14ac:dyDescent="0.25">
      <c r="A71" s="1"/>
      <c r="B71" t="s">
        <v>84</v>
      </c>
      <c r="C71" t="s">
        <v>24</v>
      </c>
      <c r="D71" s="3">
        <v>2.5416666666666665</v>
      </c>
      <c r="E71" s="5">
        <f t="shared" si="0"/>
        <v>1710</v>
      </c>
      <c r="F71">
        <v>1.12208</v>
      </c>
      <c r="G71">
        <f t="shared" si="1"/>
        <v>-2.5803599999999998</v>
      </c>
      <c r="H71">
        <f t="shared" si="2"/>
        <v>-2.5803599999999998</v>
      </c>
      <c r="I71" s="5">
        <f t="shared" si="3"/>
        <v>58</v>
      </c>
      <c r="J71">
        <f>+H71+CF*F71*(1+($I71-1850)*slope/1000)+F71*hQc*COS(2*PI()*$I71/qbo+$L71)+F71*hQs*SIN(2*PI()*$I71/qbo+$L71)+F71*hCs*SIN(2*PI()*$I71/cw)+F71*hCc*COS(2*PI()*$I71/cw) +mix*F71*(hQc*COS(2*PI()*$I71/qbo+$L71)+hQs*SIN(2*PI()*$I71/qbo+$L71))*(hCs*SIN(2*PI()*$I71/cw)+hCc*COS(2*PI()*$I71/cw))</f>
        <v>30.414485377236833</v>
      </c>
      <c r="K71">
        <f>fQc*COS(2*PI()*$I71/qbo+$L71)+fQs*SIN(2*PI()*$I71/qbo+$L71)+fCs*SIN(2*PI()*$I71/cw)+fCc*COS(2*PI()*$I71/cw)</f>
        <v>1.2788866606749121</v>
      </c>
      <c r="L71">
        <f>+QMA*COS(2*PI()*$I71/QM+QMP)</f>
        <v>-0.12707780302257857</v>
      </c>
      <c r="P71">
        <f t="shared" si="4"/>
        <v>1</v>
      </c>
    </row>
    <row r="72" spans="1:16" x14ac:dyDescent="0.25">
      <c r="A72" s="1"/>
      <c r="B72" t="s">
        <v>85</v>
      </c>
      <c r="C72" t="s">
        <v>24</v>
      </c>
      <c r="D72" s="3">
        <v>2.5833333333333335</v>
      </c>
      <c r="E72" s="5">
        <f t="shared" si="0"/>
        <v>1711</v>
      </c>
      <c r="F72">
        <v>0.20127999999999999</v>
      </c>
      <c r="G72">
        <f t="shared" si="1"/>
        <v>1.24187</v>
      </c>
      <c r="H72">
        <f t="shared" si="2"/>
        <v>1.24187</v>
      </c>
      <c r="I72" s="5">
        <f t="shared" si="3"/>
        <v>59</v>
      </c>
      <c r="J72">
        <f>+H72+CF*F72*(1+($I72-1850)*slope/1000)+F72*hQc*COS(2*PI()*$I72/qbo+$L72)+F72*hQs*SIN(2*PI()*$I72/qbo+$L72)+F72*hCs*SIN(2*PI()*$I72/cw)+F72*hCc*COS(2*PI()*$I72/cw) +mix*F72*(hQc*COS(2*PI()*$I72/qbo+$L72)+hQs*SIN(2*PI()*$I72/qbo+$L72))*(hCs*SIN(2*PI()*$I72/cw)+hCc*COS(2*PI()*$I72/cw))</f>
        <v>1.9951056820814674</v>
      </c>
      <c r="K72">
        <f>fQc*COS(2*PI()*$I72/qbo+$L72)+fQs*SIN(2*PI()*$I72/qbo+$L72)+fCs*SIN(2*PI()*$I72/cw)+fCc*COS(2*PI()*$I72/cw)</f>
        <v>-9.2257502003157826E-2</v>
      </c>
      <c r="L72">
        <f>+QMA*COS(2*PI()*$I72/QM+QMP)</f>
        <v>-0.29172908401390385</v>
      </c>
      <c r="P72">
        <f t="shared" si="4"/>
        <v>0</v>
      </c>
    </row>
    <row r="73" spans="1:16" x14ac:dyDescent="0.25">
      <c r="A73" s="1"/>
      <c r="B73" t="s">
        <v>86</v>
      </c>
      <c r="C73" t="s">
        <v>24</v>
      </c>
      <c r="D73" s="3">
        <v>2.625</v>
      </c>
      <c r="E73" s="5">
        <f t="shared" si="0"/>
        <v>1712</v>
      </c>
      <c r="F73">
        <v>0.52234999999999998</v>
      </c>
      <c r="G73">
        <f t="shared" si="1"/>
        <v>-0.32424999999999993</v>
      </c>
      <c r="H73">
        <f t="shared" si="2"/>
        <v>-0.32424999999999993</v>
      </c>
      <c r="I73" s="5">
        <f t="shared" si="3"/>
        <v>60</v>
      </c>
      <c r="J73">
        <f>+H73+CF*F73*(1+($I73-1850)*slope/1000)+F73*hQc*COS(2*PI()*$I73/qbo+$L73)+F73*hQs*SIN(2*PI()*$I73/qbo+$L73)+F73*hCs*SIN(2*PI()*$I73/cw)+F73*hCc*COS(2*PI()*$I73/cw) +mix*F73*(hQc*COS(2*PI()*$I73/qbo+$L73)+hQs*SIN(2*PI()*$I73/qbo+$L73))*(hCs*SIN(2*PI()*$I73/cw)+hCc*COS(2*PI()*$I73/cw))</f>
        <v>9.6930442178233172</v>
      </c>
      <c r="K73">
        <f>fQc*COS(2*PI()*$I73/qbo+$L73)+fQs*SIN(2*PI()*$I73/qbo+$L73)+fCs*SIN(2*PI()*$I73/cw)+fCc*COS(2*PI()*$I73/cw)</f>
        <v>0.74334007883436415</v>
      </c>
      <c r="L73">
        <f>+QMA*COS(2*PI()*$I73/QM+QMP)</f>
        <v>-0.45139993561146535</v>
      </c>
      <c r="P73">
        <f t="shared" si="4"/>
        <v>1</v>
      </c>
    </row>
    <row r="74" spans="1:16" x14ac:dyDescent="0.25">
      <c r="A74" s="1"/>
      <c r="B74" t="s">
        <v>87</v>
      </c>
      <c r="C74" t="s">
        <v>24</v>
      </c>
      <c r="D74" s="3">
        <v>2.6666666666666665</v>
      </c>
      <c r="E74" s="5">
        <f t="shared" si="0"/>
        <v>1713</v>
      </c>
      <c r="F74">
        <v>0.51917000000000002</v>
      </c>
      <c r="G74">
        <f t="shared" si="1"/>
        <v>-0.61990000000000012</v>
      </c>
      <c r="H74">
        <f t="shared" si="2"/>
        <v>-0.61990000000000012</v>
      </c>
      <c r="I74" s="5">
        <f t="shared" si="3"/>
        <v>61</v>
      </c>
      <c r="J74">
        <f>+H74+CF*F74*(1+($I74-1850)*slope/1000)+F74*hQc*COS(2*PI()*$I74/qbo+$L74)+F74*hQs*SIN(2*PI()*$I74/qbo+$L74)+F74*hCs*SIN(2*PI()*$I74/cw)+F74*hCc*COS(2*PI()*$I74/cw) +mix*F74*(hQc*COS(2*PI()*$I74/qbo+$L74)+hQs*SIN(2*PI()*$I74/qbo+$L74))*(hCs*SIN(2*PI()*$I74/cw)+hCc*COS(2*PI()*$I74/cw))</f>
        <v>6.2763049831892257</v>
      </c>
      <c r="K74">
        <f>fQc*COS(2*PI()*$I74/qbo+$L74)+fQs*SIN(2*PI()*$I74/qbo+$L74)+fCs*SIN(2*PI()*$I74/cw)+fCc*COS(2*PI()*$I74/cw)</f>
        <v>9.0864292169341443E-2</v>
      </c>
      <c r="L74">
        <f>+QMA*COS(2*PI()*$I74/QM+QMP)</f>
        <v>-0.60336444035896175</v>
      </c>
      <c r="P74">
        <f t="shared" si="4"/>
        <v>1</v>
      </c>
    </row>
    <row r="75" spans="1:16" x14ac:dyDescent="0.25">
      <c r="A75" s="1"/>
      <c r="B75" t="s">
        <v>88</v>
      </c>
      <c r="C75" t="s">
        <v>24</v>
      </c>
      <c r="D75" s="3">
        <v>2.7083333333333335</v>
      </c>
      <c r="E75" s="5">
        <f t="shared" si="0"/>
        <v>1714</v>
      </c>
      <c r="F75">
        <v>-0.10391</v>
      </c>
      <c r="G75">
        <f t="shared" si="1"/>
        <v>-5.4999999999999938E-2</v>
      </c>
      <c r="H75">
        <f t="shared" si="2"/>
        <v>-5.4999999999999938E-2</v>
      </c>
      <c r="I75" s="5">
        <f t="shared" si="3"/>
        <v>62</v>
      </c>
      <c r="J75">
        <f>+H75+CF*F75*(1+($I75-1850)*slope/1000)+F75*hQc*COS(2*PI()*$I75/qbo+$L75)+F75*hQs*SIN(2*PI()*$I75/qbo+$L75)+F75*hCs*SIN(2*PI()*$I75/cw)+F75*hCc*COS(2*PI()*$I75/cw) +mix*F75*(hQc*COS(2*PI()*$I75/qbo+$L75)+hQs*SIN(2*PI()*$I75/qbo+$L75))*(hCs*SIN(2*PI()*$I75/cw)+hCc*COS(2*PI()*$I75/cw))</f>
        <v>-2.1401159224232136</v>
      </c>
      <c r="K75">
        <f>fQc*COS(2*PI()*$I75/qbo+$L75)+fQs*SIN(2*PI()*$I75/qbo+$L75)+fCs*SIN(2*PI()*$I75/cw)+fCc*COS(2*PI()*$I75/cw)</f>
        <v>-0.92742285649211675</v>
      </c>
      <c r="L75">
        <f>+QMA*COS(2*PI()*$I75/QM+QMP)</f>
        <v>-0.74502824435845338</v>
      </c>
      <c r="P75">
        <f t="shared" si="4"/>
        <v>1</v>
      </c>
    </row>
    <row r="76" spans="1:16" x14ac:dyDescent="0.25">
      <c r="A76" s="1"/>
      <c r="B76" t="s">
        <v>89</v>
      </c>
      <c r="C76" t="s">
        <v>24</v>
      </c>
      <c r="D76" s="3">
        <v>2.75</v>
      </c>
      <c r="E76" s="5">
        <f t="shared" si="0"/>
        <v>1715</v>
      </c>
      <c r="F76">
        <v>-0.78198999999999996</v>
      </c>
      <c r="G76">
        <f t="shared" si="1"/>
        <v>0.26412999999999998</v>
      </c>
      <c r="H76">
        <f t="shared" si="2"/>
        <v>0.26412999999999998</v>
      </c>
      <c r="I76" s="5">
        <f t="shared" si="3"/>
        <v>63</v>
      </c>
      <c r="J76">
        <f>+H76+CF*F76*(1+($I76-1850)*slope/1000)+F76*hQc*COS(2*PI()*$I76/qbo+$L76)+F76*hQs*SIN(2*PI()*$I76/qbo+$L76)+F76*hCs*SIN(2*PI()*$I76/cw)+F76*hCc*COS(2*PI()*$I76/cw) +mix*F76*(hQc*COS(2*PI()*$I76/qbo+$L76)+hQs*SIN(2*PI()*$I76/qbo+$L76))*(hCs*SIN(2*PI()*$I76/cw)+hCc*COS(2*PI()*$I76/cw))</f>
        <v>4.5324813853711889</v>
      </c>
      <c r="K76">
        <f>fQc*COS(2*PI()*$I76/qbo+$L76)+fQs*SIN(2*PI()*$I76/qbo+$L76)+fCs*SIN(2*PI()*$I76/cw)+fCc*COS(2*PI()*$I76/cw)</f>
        <v>0.14819414997542474</v>
      </c>
      <c r="L76">
        <f>+QMA*COS(2*PI()*$I76/QM+QMP)</f>
        <v>-0.87397284835109734</v>
      </c>
      <c r="P76">
        <f t="shared" si="4"/>
        <v>1</v>
      </c>
    </row>
    <row r="77" spans="1:16" x14ac:dyDescent="0.25">
      <c r="A77" s="1"/>
      <c r="B77" t="s">
        <v>90</v>
      </c>
      <c r="C77" t="s">
        <v>24</v>
      </c>
      <c r="D77" s="3">
        <v>2.7916666666666665</v>
      </c>
      <c r="E77" s="5">
        <f t="shared" ref="E77:E140" si="5">+E76+1</f>
        <v>1716</v>
      </c>
      <c r="F77">
        <v>-1.19594</v>
      </c>
      <c r="G77">
        <f t="shared" ref="G77:G140" si="6">+(F78-F77)-(F77-F76)</f>
        <v>1.0762200000000002</v>
      </c>
      <c r="H77">
        <f t="shared" ref="H77:H140" si="7">+G77</f>
        <v>1.0762200000000002</v>
      </c>
      <c r="I77" s="5">
        <f t="shared" si="3"/>
        <v>64</v>
      </c>
      <c r="J77">
        <f>+H77+CF*F77*(1+($I77-1850)*slope/1000)+F77*hQc*COS(2*PI()*$I77/qbo+$L77)+F77*hQs*SIN(2*PI()*$I77/qbo+$L77)+F77*hCs*SIN(2*PI()*$I77/cw)+F77*hCc*COS(2*PI()*$I77/cw) +mix*F77*(hQc*COS(2*PI()*$I77/qbo+$L77)+hQs*SIN(2*PI()*$I77/qbo+$L77))*(hCs*SIN(2*PI()*$I77/cw)+hCc*COS(2*PI()*$I77/cw))</f>
        <v>-28.511451936371444</v>
      </c>
      <c r="K77">
        <f>fQc*COS(2*PI()*$I77/qbo+$L77)+fQs*SIN(2*PI()*$I77/qbo+$L77)+fCs*SIN(2*PI()*$I77/cw)+fCc*COS(2*PI()*$I77/cw)</f>
        <v>-1.2289576306891485</v>
      </c>
      <c r="L77">
        <f>+QMA*COS(2*PI()*$I77/QM+QMP)</f>
        <v>-0.9879968965890974</v>
      </c>
      <c r="P77">
        <f t="shared" si="4"/>
        <v>1</v>
      </c>
    </row>
    <row r="78" spans="1:16" x14ac:dyDescent="0.25">
      <c r="A78" s="1"/>
      <c r="B78" t="s">
        <v>91</v>
      </c>
      <c r="C78" t="s">
        <v>24</v>
      </c>
      <c r="D78" s="3">
        <v>2.8333333333333335</v>
      </c>
      <c r="E78" s="5">
        <f t="shared" si="5"/>
        <v>1717</v>
      </c>
      <c r="F78">
        <v>-0.53366999999999998</v>
      </c>
      <c r="G78">
        <f t="shared" si="6"/>
        <v>0.85764999999999991</v>
      </c>
      <c r="H78">
        <f t="shared" si="7"/>
        <v>0.85764999999999991</v>
      </c>
      <c r="I78" s="5">
        <f t="shared" ref="I78:I141" si="8">+E78-1652</f>
        <v>65</v>
      </c>
      <c r="J78">
        <f>+H78+CF*F78*(1+($I78-1850)*slope/1000)+F78*hQc*COS(2*PI()*$I78/qbo+$L78)+F78*hQs*SIN(2*PI()*$I78/qbo+$L78)+F78*hCs*SIN(2*PI()*$I78/cw)+F78*hCc*COS(2*PI()*$I78/cw) +mix*F78*(hQc*COS(2*PI()*$I78/qbo+$L78)+hQs*SIN(2*PI()*$I78/qbo+$L78))*(hCs*SIN(2*PI()*$I78/cw)+hCc*COS(2*PI()*$I78/cw))</f>
        <v>-5.0346604136719684</v>
      </c>
      <c r="K78">
        <f>fQc*COS(2*PI()*$I78/qbo+$L78)+fQs*SIN(2*PI()*$I78/qbo+$L78)+fCs*SIN(2*PI()*$I78/cw)+fCc*COS(2*PI()*$I78/cw)</f>
        <v>0.30346109418806483</v>
      </c>
      <c r="L78">
        <f>+QMA*COS(2*PI()*$I78/QM+QMP)</f>
        <v>-1.0851537586109785</v>
      </c>
      <c r="P78">
        <f t="shared" ref="P78:P141" si="9">+IF(J78*K78&gt;0,1, 0)</f>
        <v>0</v>
      </c>
    </row>
    <row r="79" spans="1:16" x14ac:dyDescent="0.25">
      <c r="A79" s="1"/>
      <c r="B79" t="s">
        <v>92</v>
      </c>
      <c r="C79" t="s">
        <v>24</v>
      </c>
      <c r="D79" s="3">
        <v>2.875</v>
      </c>
      <c r="E79" s="5">
        <f t="shared" si="5"/>
        <v>1718</v>
      </c>
      <c r="F79">
        <v>0.98624999999999996</v>
      </c>
      <c r="G79">
        <f t="shared" si="6"/>
        <v>-1.81474</v>
      </c>
      <c r="H79">
        <f t="shared" si="7"/>
        <v>-1.81474</v>
      </c>
      <c r="I79" s="5">
        <f t="shared" si="8"/>
        <v>66</v>
      </c>
      <c r="J79">
        <f>+H79+CF*F79*(1+($I79-1850)*slope/1000)+F79*hQc*COS(2*PI()*$I79/qbo+$L79)+F79*hQs*SIN(2*PI()*$I79/qbo+$L79)+F79*hCs*SIN(2*PI()*$I79/cw)+F79*hCc*COS(2*PI()*$I79/cw) +mix*F79*(hQc*COS(2*PI()*$I79/qbo+$L79)+hQs*SIN(2*PI()*$I79/qbo+$L79))*(hCs*SIN(2*PI()*$I79/cw)+hCc*COS(2*PI()*$I79/cw))</f>
        <v>11.976263324069359</v>
      </c>
      <c r="K79">
        <f>fQc*COS(2*PI()*$I79/qbo+$L79)+fQs*SIN(2*PI()*$I79/qbo+$L79)+fCs*SIN(2*PI()*$I79/cw)+fCc*COS(2*PI()*$I79/cw)</f>
        <v>0.17124999805876623</v>
      </c>
      <c r="L79">
        <f>+QMA*COS(2*PI()*$I79/QM+QMP)</f>
        <v>-1.1637847623201418</v>
      </c>
      <c r="P79">
        <f t="shared" si="9"/>
        <v>1</v>
      </c>
    </row>
    <row r="80" spans="1:16" x14ac:dyDescent="0.25">
      <c r="A80" s="1"/>
      <c r="B80" t="s">
        <v>93</v>
      </c>
      <c r="C80" t="s">
        <v>24</v>
      </c>
      <c r="D80" s="3">
        <v>2.9166666666666665</v>
      </c>
      <c r="E80" s="5">
        <f t="shared" si="5"/>
        <v>1719</v>
      </c>
      <c r="F80">
        <v>0.69142999999999999</v>
      </c>
      <c r="G80">
        <f t="shared" si="6"/>
        <v>0.23932999999999993</v>
      </c>
      <c r="H80">
        <f t="shared" si="7"/>
        <v>0.23932999999999993</v>
      </c>
      <c r="I80" s="5">
        <f t="shared" si="8"/>
        <v>67</v>
      </c>
      <c r="J80">
        <f>+H80+CF*F80*(1+($I80-1850)*slope/1000)+F80*hQc*COS(2*PI()*$I80/qbo+$L80)+F80*hQs*SIN(2*PI()*$I80/qbo+$L80)+F80*hCs*SIN(2*PI()*$I80/cw)+F80*hCc*COS(2*PI()*$I80/cw) +mix*F80*(hQc*COS(2*PI()*$I80/qbo+$L80)+hQs*SIN(2*PI()*$I80/qbo+$L80))*(hCs*SIN(2*PI()*$I80/cw)+hCc*COS(2*PI()*$I80/cw))</f>
        <v>8.6073940592428766</v>
      </c>
      <c r="K80">
        <f>fQc*COS(2*PI()*$I80/qbo+$L80)+fQs*SIN(2*PI()*$I80/qbo+$L80)+fCs*SIN(2*PI()*$I80/cw)+fCc*COS(2*PI()*$I80/cw)</f>
        <v>0.24047325053145252</v>
      </c>
      <c r="L80">
        <f>+QMA*COS(2*PI()*$I80/QM+QMP)</f>
        <v>-1.2225475110081538</v>
      </c>
      <c r="P80">
        <f t="shared" si="9"/>
        <v>1</v>
      </c>
    </row>
    <row r="81" spans="1:16" x14ac:dyDescent="0.25">
      <c r="A81" s="1"/>
      <c r="B81" t="s">
        <v>94</v>
      </c>
      <c r="C81" t="s">
        <v>24</v>
      </c>
      <c r="D81" s="3">
        <v>2.9583333333333335</v>
      </c>
      <c r="E81" s="5">
        <f t="shared" si="5"/>
        <v>1720</v>
      </c>
      <c r="F81">
        <v>0.63593999999999995</v>
      </c>
      <c r="G81">
        <f t="shared" si="6"/>
        <v>0.26335000000000008</v>
      </c>
      <c r="H81">
        <f t="shared" si="7"/>
        <v>0.26335000000000008</v>
      </c>
      <c r="I81" s="5">
        <f t="shared" si="8"/>
        <v>68</v>
      </c>
      <c r="J81">
        <f>+H81+CF*F81*(1+($I81-1850)*slope/1000)+F81*hQc*COS(2*PI()*$I81/qbo+$L81)+F81*hQs*SIN(2*PI()*$I81/qbo+$L81)+F81*hCs*SIN(2*PI()*$I81/cw)+F81*hCc*COS(2*PI()*$I81/cw) +mix*F81*(hQc*COS(2*PI()*$I81/qbo+$L81)+hQs*SIN(2*PI()*$I81/qbo+$L81))*(hCs*SIN(2*PI()*$I81/cw)+hCc*COS(2*PI()*$I81/cw))</f>
        <v>16.919887288994936</v>
      </c>
      <c r="K81">
        <f>fQc*COS(2*PI()*$I81/qbo+$L81)+fQs*SIN(2*PI()*$I81/qbo+$L81)+fCs*SIN(2*PI()*$I81/cw)+fCc*COS(2*PI()*$I81/cw)</f>
        <v>1.1954481928068386</v>
      </c>
      <c r="L81">
        <f>+QMA*COS(2*PI()*$I81/QM+QMP)</f>
        <v>-1.2604388008915695</v>
      </c>
      <c r="P81">
        <f t="shared" si="9"/>
        <v>1</v>
      </c>
    </row>
    <row r="82" spans="1:16" x14ac:dyDescent="0.25">
      <c r="A82" s="1"/>
      <c r="B82" t="s">
        <v>95</v>
      </c>
      <c r="C82" t="s">
        <v>24</v>
      </c>
      <c r="D82" s="3">
        <v>3</v>
      </c>
      <c r="E82" s="5">
        <f t="shared" si="5"/>
        <v>1721</v>
      </c>
      <c r="F82">
        <v>0.84379999999999999</v>
      </c>
      <c r="G82">
        <f t="shared" si="6"/>
        <v>-0.45996000000000004</v>
      </c>
      <c r="H82">
        <f t="shared" si="7"/>
        <v>-0.45996000000000004</v>
      </c>
      <c r="I82" s="5">
        <f t="shared" si="8"/>
        <v>69</v>
      </c>
      <c r="J82">
        <f>+H82+CF*F82*(1+($I82-1850)*slope/1000)+F82*hQc*COS(2*PI()*$I82/qbo+$L82)+F82*hQs*SIN(2*PI()*$I82/qbo+$L82)+F82*hCs*SIN(2*PI()*$I82/cw)+F82*hCc*COS(2*PI()*$I82/cw) +mix*F82*(hQc*COS(2*PI()*$I82/qbo+$L82)+hQs*SIN(2*PI()*$I82/qbo+$L82))*(hCs*SIN(2*PI()*$I82/cw)+hCc*COS(2*PI()*$I82/cw))</f>
        <v>7.866848962218004</v>
      </c>
      <c r="K82">
        <f>fQc*COS(2*PI()*$I82/qbo+$L82)+fQs*SIN(2*PI()*$I82/qbo+$L82)+fCs*SIN(2*PI()*$I82/cw)+fCc*COS(2*PI()*$I82/cw)</f>
        <v>-0.42965263534883752</v>
      </c>
      <c r="L82">
        <f>+QMA*COS(2*PI()*$I82/QM+QMP)</f>
        <v>-1.276811747911704</v>
      </c>
      <c r="P82">
        <f t="shared" si="9"/>
        <v>0</v>
      </c>
    </row>
    <row r="83" spans="1:16" x14ac:dyDescent="0.25">
      <c r="A83" s="1"/>
      <c r="B83" t="s">
        <v>96</v>
      </c>
      <c r="C83" t="s">
        <v>24</v>
      </c>
      <c r="D83" s="3">
        <v>3.0416666666666665</v>
      </c>
      <c r="E83" s="5">
        <f t="shared" si="5"/>
        <v>1722</v>
      </c>
      <c r="F83">
        <v>0.5917</v>
      </c>
      <c r="G83">
        <f t="shared" si="6"/>
        <v>1.0697000000000001</v>
      </c>
      <c r="H83">
        <f t="shared" si="7"/>
        <v>1.0697000000000001</v>
      </c>
      <c r="I83" s="5">
        <f t="shared" si="8"/>
        <v>70</v>
      </c>
      <c r="J83">
        <f>+H83+CF*F83*(1+($I83-1850)*slope/1000)+F83*hQc*COS(2*PI()*$I83/qbo+$L83)+F83*hQs*SIN(2*PI()*$I83/qbo+$L83)+F83*hCs*SIN(2*PI()*$I83/cw)+F83*hCc*COS(2*PI()*$I83/cw) +mix*F83*(hQc*COS(2*PI()*$I83/qbo+$L83)+hQs*SIN(2*PI()*$I83/qbo+$L83))*(hCs*SIN(2*PI()*$I83/cw)+hCc*COS(2*PI()*$I83/cw))</f>
        <v>5.4908406568524608</v>
      </c>
      <c r="K83">
        <f>fQc*COS(2*PI()*$I83/qbo+$L83)+fQs*SIN(2*PI()*$I83/qbo+$L83)+fCs*SIN(2*PI()*$I83/cw)+fCc*COS(2*PI()*$I83/cw)</f>
        <v>0.65426241641465777</v>
      </c>
      <c r="L83">
        <f>+QMA*COS(2*PI()*$I83/QM+QMP)</f>
        <v>-1.2713868314068546</v>
      </c>
      <c r="P83">
        <f t="shared" si="9"/>
        <v>1</v>
      </c>
    </row>
    <row r="84" spans="1:16" x14ac:dyDescent="0.25">
      <c r="A84" s="1"/>
      <c r="B84" t="s">
        <v>97</v>
      </c>
      <c r="C84" t="s">
        <v>24</v>
      </c>
      <c r="D84" s="3">
        <v>3.0833333333333335</v>
      </c>
      <c r="E84" s="5">
        <f t="shared" si="5"/>
        <v>1723</v>
      </c>
      <c r="F84">
        <v>1.4093</v>
      </c>
      <c r="G84">
        <f t="shared" si="6"/>
        <v>-2.00299</v>
      </c>
      <c r="H84">
        <f t="shared" si="7"/>
        <v>-2.00299</v>
      </c>
      <c r="I84" s="5">
        <f t="shared" si="8"/>
        <v>71</v>
      </c>
      <c r="J84">
        <f>+H84+CF*F84*(1+($I84-1850)*slope/1000)+F84*hQc*COS(2*PI()*$I84/qbo+$L84)+F84*hQs*SIN(2*PI()*$I84/qbo+$L84)+F84*hCs*SIN(2*PI()*$I84/cw)+F84*hCc*COS(2*PI()*$I84/cw) +mix*F84*(hQc*COS(2*PI()*$I84/qbo+$L84)+hQs*SIN(2*PI()*$I84/qbo+$L84))*(hCs*SIN(2*PI()*$I84/cw)+hCc*COS(2*PI()*$I84/cw))</f>
        <v>30.752179282218268</v>
      </c>
      <c r="K84">
        <f>fQc*COS(2*PI()*$I84/qbo+$L84)+fQs*SIN(2*PI()*$I84/qbo+$L84)+fCs*SIN(2*PI()*$I84/cw)+fCc*COS(2*PI()*$I84/cw)</f>
        <v>-1.0243520204875578</v>
      </c>
      <c r="L84">
        <f>+QMA*COS(2*PI()*$I84/QM+QMP)</f>
        <v>-1.2442566661182313</v>
      </c>
      <c r="P84">
        <f t="shared" si="9"/>
        <v>0</v>
      </c>
    </row>
    <row r="85" spans="1:16" x14ac:dyDescent="0.25">
      <c r="A85" s="1"/>
      <c r="B85" t="s">
        <v>98</v>
      </c>
      <c r="C85" t="s">
        <v>24</v>
      </c>
      <c r="D85" s="3">
        <v>3.125</v>
      </c>
      <c r="E85" s="5">
        <f t="shared" si="5"/>
        <v>1724</v>
      </c>
      <c r="F85">
        <v>0.22391</v>
      </c>
      <c r="G85">
        <f t="shared" si="6"/>
        <v>-0.26653000000000016</v>
      </c>
      <c r="H85">
        <f t="shared" si="7"/>
        <v>-0.26653000000000016</v>
      </c>
      <c r="I85" s="5">
        <f t="shared" si="8"/>
        <v>72</v>
      </c>
      <c r="J85">
        <f>+H85+CF*F85*(1+($I85-1850)*slope/1000)+F85*hQc*COS(2*PI()*$I85/qbo+$L85)+F85*hQs*SIN(2*PI()*$I85/qbo+$L85)+F85*hCs*SIN(2*PI()*$I85/cw)+F85*hCc*COS(2*PI()*$I85/cw) +mix*F85*(hQc*COS(2*PI()*$I85/qbo+$L85)+hQs*SIN(2*PI()*$I85/qbo+$L85))*(hCs*SIN(2*PI()*$I85/cw)+hCc*COS(2*PI()*$I85/cw))</f>
        <v>0.33239433000715679</v>
      </c>
      <c r="K85">
        <f>fQc*COS(2*PI()*$I85/qbo+$L85)+fQs*SIN(2*PI()*$I85/qbo+$L85)+fCs*SIN(2*PI()*$I85/cw)+fCc*COS(2*PI()*$I85/cw)</f>
        <v>-0.2958573762117146</v>
      </c>
      <c r="L85">
        <f>+QMA*COS(2*PI()*$I85/QM+QMP)</f>
        <v>-1.1958844210614228</v>
      </c>
      <c r="P85">
        <f t="shared" si="9"/>
        <v>0</v>
      </c>
    </row>
    <row r="86" spans="1:16" x14ac:dyDescent="0.25">
      <c r="A86" s="1"/>
      <c r="B86" t="s">
        <v>99</v>
      </c>
      <c r="C86" t="s">
        <v>24</v>
      </c>
      <c r="D86" s="3">
        <v>3.1666666666666665</v>
      </c>
      <c r="E86" s="5">
        <f t="shared" si="5"/>
        <v>1725</v>
      </c>
      <c r="F86">
        <v>-1.22801</v>
      </c>
      <c r="G86">
        <f t="shared" si="6"/>
        <v>4.0070200000000007</v>
      </c>
      <c r="H86">
        <f t="shared" si="7"/>
        <v>4.0070200000000007</v>
      </c>
      <c r="I86" s="5">
        <f t="shared" si="8"/>
        <v>73</v>
      </c>
      <c r="J86">
        <f>+H86+CF*F86*(1+($I86-1850)*slope/1000)+F86*hQc*COS(2*PI()*$I86/qbo+$L86)+F86*hQs*SIN(2*PI()*$I86/qbo+$L86)+F86*hCs*SIN(2*PI()*$I86/cw)+F86*hCc*COS(2*PI()*$I86/cw) +mix*F86*(hQc*COS(2*PI()*$I86/qbo+$L86)+hQs*SIN(2*PI()*$I86/qbo+$L86))*(hCs*SIN(2*PI()*$I86/cw)+hCc*COS(2*PI()*$I86/cw))</f>
        <v>-12.218398760802121</v>
      </c>
      <c r="K86">
        <f>fQc*COS(2*PI()*$I86/qbo+$L86)+fQs*SIN(2*PI()*$I86/qbo+$L86)+fCs*SIN(2*PI()*$I86/cw)+fCc*COS(2*PI()*$I86/cw)</f>
        <v>-0.47765362129954486</v>
      </c>
      <c r="L86">
        <f>+QMA*COS(2*PI()*$I86/QM+QMP)</f>
        <v>-1.1270959122565813</v>
      </c>
      <c r="P86">
        <f t="shared" si="9"/>
        <v>1</v>
      </c>
    </row>
    <row r="87" spans="1:16" x14ac:dyDescent="0.25">
      <c r="A87" s="1"/>
      <c r="B87" t="s">
        <v>100</v>
      </c>
      <c r="C87" t="s">
        <v>24</v>
      </c>
      <c r="D87" s="3">
        <v>3.2083333333333335</v>
      </c>
      <c r="E87" s="5">
        <f t="shared" si="5"/>
        <v>1726</v>
      </c>
      <c r="F87">
        <v>1.3270900000000001</v>
      </c>
      <c r="G87">
        <f t="shared" si="6"/>
        <v>-2.7964900000000004</v>
      </c>
      <c r="H87">
        <f t="shared" si="7"/>
        <v>-2.7964900000000004</v>
      </c>
      <c r="I87" s="5">
        <f t="shared" si="8"/>
        <v>74</v>
      </c>
      <c r="J87">
        <f>+H87+CF*F87*(1+($I87-1850)*slope/1000)+F87*hQc*COS(2*PI()*$I87/qbo+$L87)+F87*hQs*SIN(2*PI()*$I87/qbo+$L87)+F87*hCs*SIN(2*PI()*$I87/cw)+F87*hCc*COS(2*PI()*$I87/cw) +mix*F87*(hQc*COS(2*PI()*$I87/qbo+$L87)+hQs*SIN(2*PI()*$I87/qbo+$L87))*(hCs*SIN(2*PI()*$I87/cw)+hCc*COS(2*PI()*$I87/cw))</f>
        <v>16.100200378223523</v>
      </c>
      <c r="K87">
        <f>fQc*COS(2*PI()*$I87/qbo+$L87)+fQs*SIN(2*PI()*$I87/qbo+$L87)+fCs*SIN(2*PI()*$I87/cw)+fCc*COS(2*PI()*$I87/cw)</f>
        <v>-0.37143778960683166</v>
      </c>
      <c r="L87">
        <f>+QMA*COS(2*PI()*$I87/QM+QMP)</f>
        <v>-1.0390655043110721</v>
      </c>
      <c r="P87">
        <f t="shared" si="9"/>
        <v>0</v>
      </c>
    </row>
    <row r="88" spans="1:16" x14ac:dyDescent="0.25">
      <c r="A88" s="1"/>
      <c r="B88" t="s">
        <v>101</v>
      </c>
      <c r="C88" t="s">
        <v>24</v>
      </c>
      <c r="D88" s="3">
        <v>3.25</v>
      </c>
      <c r="E88" s="5">
        <f t="shared" si="5"/>
        <v>1727</v>
      </c>
      <c r="F88">
        <v>1.0857000000000001</v>
      </c>
      <c r="G88">
        <f t="shared" si="6"/>
        <v>-1.32742</v>
      </c>
      <c r="H88">
        <f t="shared" si="7"/>
        <v>-1.32742</v>
      </c>
      <c r="I88" s="5">
        <f t="shared" si="8"/>
        <v>75</v>
      </c>
      <c r="J88">
        <f>+H88+CF*F88*(1+($I88-1850)*slope/1000)+F88*hQc*COS(2*PI()*$I88/qbo+$L88)+F88*hQs*SIN(2*PI()*$I88/qbo+$L88)+F88*hCs*SIN(2*PI()*$I88/cw)+F88*hCc*COS(2*PI()*$I88/cw) +mix*F88*(hQc*COS(2*PI()*$I88/qbo+$L88)+hQs*SIN(2*PI()*$I88/qbo+$L88))*(hCs*SIN(2*PI()*$I88/cw)+hCc*COS(2*PI()*$I88/cw))</f>
        <v>21.227797930638218</v>
      </c>
      <c r="K88">
        <f>fQc*COS(2*PI()*$I88/qbo+$L88)+fQs*SIN(2*PI()*$I88/qbo+$L88)+fCs*SIN(2*PI()*$I88/cw)+fCc*COS(2*PI()*$I88/cw)</f>
        <v>0.82595313674500037</v>
      </c>
      <c r="L88">
        <f>+QMA*COS(2*PI()*$I88/QM+QMP)</f>
        <v>-0.93329606154423239</v>
      </c>
      <c r="P88">
        <f t="shared" si="9"/>
        <v>1</v>
      </c>
    </row>
    <row r="89" spans="1:16" x14ac:dyDescent="0.25">
      <c r="A89" s="1"/>
      <c r="B89" t="s">
        <v>102</v>
      </c>
      <c r="C89" t="s">
        <v>24</v>
      </c>
      <c r="D89" s="3">
        <v>3.2916666666666665</v>
      </c>
      <c r="E89" s="5">
        <f t="shared" si="5"/>
        <v>1728</v>
      </c>
      <c r="F89">
        <v>-0.48310999999999998</v>
      </c>
      <c r="G89">
        <f t="shared" si="6"/>
        <v>1.4823</v>
      </c>
      <c r="H89">
        <f t="shared" si="7"/>
        <v>1.4823</v>
      </c>
      <c r="I89" s="5">
        <f t="shared" si="8"/>
        <v>76</v>
      </c>
      <c r="J89">
        <f>+H89+CF*F89*(1+($I89-1850)*slope/1000)+F89*hQc*COS(2*PI()*$I89/qbo+$L89)+F89*hQs*SIN(2*PI()*$I89/qbo+$L89)+F89*hCs*SIN(2*PI()*$I89/cw)+F89*hCc*COS(2*PI()*$I89/cw) +mix*F89*(hQc*COS(2*PI()*$I89/qbo+$L89)+hQs*SIN(2*PI()*$I89/qbo+$L89))*(hCs*SIN(2*PI()*$I89/cw)+hCc*COS(2*PI()*$I89/cw))</f>
        <v>-0.77646825864323699</v>
      </c>
      <c r="K89">
        <f>fQc*COS(2*PI()*$I89/qbo+$L89)+fQs*SIN(2*PI()*$I89/qbo+$L89)+fCs*SIN(2*PI()*$I89/cw)+fCc*COS(2*PI()*$I89/cw)</f>
        <v>-9.8183190345698779E-2</v>
      </c>
      <c r="L89">
        <f>+QMA*COS(2*PI()*$I89/QM+QMP)</f>
        <v>-0.81159329093073118</v>
      </c>
      <c r="P89">
        <f t="shared" si="9"/>
        <v>1</v>
      </c>
    </row>
    <row r="90" spans="1:16" x14ac:dyDescent="0.25">
      <c r="A90" s="1"/>
      <c r="B90" t="s">
        <v>103</v>
      </c>
      <c r="C90" t="s">
        <v>24</v>
      </c>
      <c r="D90" s="3">
        <v>3.3333333333333335</v>
      </c>
      <c r="E90" s="5">
        <f t="shared" si="5"/>
        <v>1729</v>
      </c>
      <c r="F90">
        <v>-0.56962000000000002</v>
      </c>
      <c r="G90">
        <f t="shared" si="6"/>
        <v>5.3220000000000101E-2</v>
      </c>
      <c r="H90">
        <f t="shared" si="7"/>
        <v>5.3220000000000101E-2</v>
      </c>
      <c r="I90" s="5">
        <f t="shared" si="8"/>
        <v>77</v>
      </c>
      <c r="J90">
        <f>+H90+CF*F90*(1+($I90-1850)*slope/1000)+F90*hQc*COS(2*PI()*$I90/qbo+$L90)+F90*hQs*SIN(2*PI()*$I90/qbo+$L90)+F90*hCs*SIN(2*PI()*$I90/cw)+F90*hCc*COS(2*PI()*$I90/cw) +mix*F90*(hQc*COS(2*PI()*$I90/qbo+$L90)+hQs*SIN(2*PI()*$I90/qbo+$L90))*(hCs*SIN(2*PI()*$I90/cw)+hCc*COS(2*PI()*$I90/cw))</f>
        <v>-15.984103095593355</v>
      </c>
      <c r="K90">
        <f>fQc*COS(2*PI()*$I90/qbo+$L90)+fQs*SIN(2*PI()*$I90/qbo+$L90)+fCs*SIN(2*PI()*$I90/cw)+fCc*COS(2*PI()*$I90/cw)</f>
        <v>1.3177475425908798</v>
      </c>
      <c r="L90">
        <f>+QMA*COS(2*PI()*$I90/QM+QMP)</f>
        <v>-0.6760349148824919</v>
      </c>
      <c r="P90">
        <f t="shared" si="9"/>
        <v>0</v>
      </c>
    </row>
    <row r="91" spans="1:16" x14ac:dyDescent="0.25">
      <c r="A91" s="1"/>
      <c r="B91" t="s">
        <v>104</v>
      </c>
      <c r="C91" t="s">
        <v>24</v>
      </c>
      <c r="D91" s="3">
        <v>3.375</v>
      </c>
      <c r="E91" s="5">
        <f t="shared" si="5"/>
        <v>1730</v>
      </c>
      <c r="F91">
        <v>-0.60290999999999995</v>
      </c>
      <c r="G91">
        <f t="shared" si="6"/>
        <v>0.26333999999999985</v>
      </c>
      <c r="H91">
        <f t="shared" si="7"/>
        <v>0.26333999999999985</v>
      </c>
      <c r="I91" s="5">
        <f t="shared" si="8"/>
        <v>78</v>
      </c>
      <c r="J91">
        <f>+H91+CF*F91*(1+($I91-1850)*slope/1000)+F91*hQc*COS(2*PI()*$I91/qbo+$L91)+F91*hQs*SIN(2*PI()*$I91/qbo+$L91)+F91*hCs*SIN(2*PI()*$I91/cw)+F91*hCc*COS(2*PI()*$I91/cw) +mix*F91*(hQc*COS(2*PI()*$I91/qbo+$L91)+hQs*SIN(2*PI()*$I91/qbo+$L91))*(hCs*SIN(2*PI()*$I91/cw)+hCc*COS(2*PI()*$I91/cw))</f>
        <v>-6.3838510237225936</v>
      </c>
      <c r="K91">
        <f>fQc*COS(2*PI()*$I91/qbo+$L91)+fQs*SIN(2*PI()*$I91/qbo+$L91)+fCs*SIN(2*PI()*$I91/cw)+fCc*COS(2*PI()*$I91/cw)</f>
        <v>-0.4912601391601128</v>
      </c>
      <c r="L91">
        <f>+QMA*COS(2*PI()*$I91/QM+QMP)</f>
        <v>-0.52893520015465889</v>
      </c>
      <c r="P91">
        <f t="shared" si="9"/>
        <v>1</v>
      </c>
    </row>
    <row r="92" spans="1:16" x14ac:dyDescent="0.25">
      <c r="A92" s="1"/>
      <c r="B92" t="s">
        <v>105</v>
      </c>
      <c r="C92" t="s">
        <v>24</v>
      </c>
      <c r="D92" s="3">
        <v>3.4166666666666665</v>
      </c>
      <c r="E92" s="5">
        <f t="shared" si="5"/>
        <v>1731</v>
      </c>
      <c r="F92">
        <v>-0.37286000000000002</v>
      </c>
      <c r="G92">
        <f t="shared" si="6"/>
        <v>-0.2749299999999999</v>
      </c>
      <c r="H92">
        <f t="shared" si="7"/>
        <v>-0.2749299999999999</v>
      </c>
      <c r="I92" s="5">
        <f t="shared" si="8"/>
        <v>79</v>
      </c>
      <c r="J92">
        <f>+H92+CF*F92*(1+($I92-1850)*slope/1000)+F92*hQc*COS(2*PI()*$I92/qbo+$L92)+F92*hQs*SIN(2*PI()*$I92/qbo+$L92)+F92*hCs*SIN(2*PI()*$I92/cw)+F92*hCc*COS(2*PI()*$I92/cw) +mix*F92*(hQc*COS(2*PI()*$I92/qbo+$L92)+hQs*SIN(2*PI()*$I92/qbo+$L92))*(hCs*SIN(2*PI()*$I92/cw)+hCc*COS(2*PI()*$I92/cw))</f>
        <v>-2.4260519234583953</v>
      </c>
      <c r="K92">
        <f>fQc*COS(2*PI()*$I92/qbo+$L92)+fQs*SIN(2*PI()*$I92/qbo+$L92)+fCs*SIN(2*PI()*$I92/cw)+fCc*COS(2*PI()*$I92/cw)</f>
        <v>0.53958354161201005</v>
      </c>
      <c r="L92">
        <f>+QMA*COS(2*PI()*$I92/QM+QMP)</f>
        <v>-0.37280544844182095</v>
      </c>
      <c r="P92">
        <f t="shared" si="9"/>
        <v>0</v>
      </c>
    </row>
    <row r="93" spans="1:16" x14ac:dyDescent="0.25">
      <c r="A93" s="1"/>
      <c r="B93" t="s">
        <v>106</v>
      </c>
      <c r="C93" t="s">
        <v>24</v>
      </c>
      <c r="D93" s="3">
        <v>3.4583333333333335</v>
      </c>
      <c r="E93" s="5">
        <f t="shared" si="5"/>
        <v>1732</v>
      </c>
      <c r="F93">
        <v>-0.41774</v>
      </c>
      <c r="G93">
        <f t="shared" si="6"/>
        <v>-1.03712</v>
      </c>
      <c r="H93">
        <f t="shared" si="7"/>
        <v>-1.03712</v>
      </c>
      <c r="I93" s="5">
        <f t="shared" si="8"/>
        <v>80</v>
      </c>
      <c r="J93">
        <f>+H93+CF*F93*(1+($I93-1850)*slope/1000)+F93*hQc*COS(2*PI()*$I93/qbo+$L93)+F93*hQs*SIN(2*PI()*$I93/qbo+$L93)+F93*hCs*SIN(2*PI()*$I93/cw)+F93*hCc*COS(2*PI()*$I93/cw) +mix*F93*(hQc*COS(2*PI()*$I93/qbo+$L93)+hQs*SIN(2*PI()*$I93/qbo+$L93))*(hCs*SIN(2*PI()*$I93/cw)+hCc*COS(2*PI()*$I93/cw))</f>
        <v>-10.836350692757893</v>
      </c>
      <c r="K93">
        <f>fQc*COS(2*PI()*$I93/qbo+$L93)+fQs*SIN(2*PI()*$I93/qbo+$L93)+fCs*SIN(2*PI()*$I93/cw)+fCc*COS(2*PI()*$I93/cw)</f>
        <v>-1.0513400582555945</v>
      </c>
      <c r="L93">
        <f>+QMA*COS(2*PI()*$I93/QM+QMP)</f>
        <v>-0.21031112317317596</v>
      </c>
      <c r="P93">
        <f t="shared" si="9"/>
        <v>1</v>
      </c>
    </row>
    <row r="94" spans="1:16" x14ac:dyDescent="0.25">
      <c r="A94" s="1"/>
      <c r="B94" t="s">
        <v>107</v>
      </c>
      <c r="C94" t="s">
        <v>24</v>
      </c>
      <c r="D94" s="3">
        <v>3.5</v>
      </c>
      <c r="E94" s="5">
        <f t="shared" si="5"/>
        <v>1733</v>
      </c>
      <c r="F94">
        <v>-1.4997400000000001</v>
      </c>
      <c r="G94">
        <f t="shared" si="6"/>
        <v>2.6493099999999998</v>
      </c>
      <c r="H94">
        <f t="shared" si="7"/>
        <v>2.6493099999999998</v>
      </c>
      <c r="I94" s="5">
        <f t="shared" si="8"/>
        <v>81</v>
      </c>
      <c r="J94">
        <f>+H94+CF*F94*(1+($I94-1850)*slope/1000)+F94*hQc*COS(2*PI()*$I94/qbo+$L94)+F94*hQs*SIN(2*PI()*$I94/qbo+$L94)+F94*hCs*SIN(2*PI()*$I94/cw)+F94*hCc*COS(2*PI()*$I94/cw) +mix*F94*(hQc*COS(2*PI()*$I94/qbo+$L94)+hQs*SIN(2*PI()*$I94/qbo+$L94))*(hCs*SIN(2*PI()*$I94/cw)+hCc*COS(2*PI()*$I94/cw))</f>
        <v>0.32246759773982703</v>
      </c>
      <c r="K94">
        <f>fQc*COS(2*PI()*$I94/qbo+$L94)+fQs*SIN(2*PI()*$I94/qbo+$L94)+fCs*SIN(2*PI()*$I94/cw)+fCc*COS(2*PI()*$I94/cw)</f>
        <v>-0.23221936070416041</v>
      </c>
      <c r="L94">
        <f>+QMA*COS(2*PI()*$I94/QM+QMP)</f>
        <v>-4.4226344442448023E-2</v>
      </c>
      <c r="P94">
        <f t="shared" si="9"/>
        <v>0</v>
      </c>
    </row>
    <row r="95" spans="1:16" x14ac:dyDescent="0.25">
      <c r="A95" s="1"/>
      <c r="B95" t="s">
        <v>108</v>
      </c>
      <c r="C95" t="s">
        <v>24</v>
      </c>
      <c r="D95" s="3">
        <v>3.5416666666666665</v>
      </c>
      <c r="E95" s="5">
        <f t="shared" si="5"/>
        <v>1734</v>
      </c>
      <c r="F95">
        <v>6.7570000000000005E-2</v>
      </c>
      <c r="G95">
        <f t="shared" si="6"/>
        <v>-1.6783299999999999</v>
      </c>
      <c r="H95">
        <f t="shared" si="7"/>
        <v>-1.6783299999999999</v>
      </c>
      <c r="I95" s="5">
        <f t="shared" si="8"/>
        <v>82</v>
      </c>
      <c r="J95">
        <f>+H95+CF*F95*(1+($I95-1850)*slope/1000)+F95*hQc*COS(2*PI()*$I95/qbo+$L95)+F95*hQs*SIN(2*PI()*$I95/qbo+$L95)+F95*hCs*SIN(2*PI()*$I95/cw)+F95*hCc*COS(2*PI()*$I95/cw) +mix*F95*(hQc*COS(2*PI()*$I95/qbo+$L95)+hQs*SIN(2*PI()*$I95/qbo+$L95))*(hCs*SIN(2*PI()*$I95/cw)+hCc*COS(2*PI()*$I95/cw))</f>
        <v>-0.65124963511072542</v>
      </c>
      <c r="K95">
        <f>fQc*COS(2*PI()*$I95/qbo+$L95)+fQs*SIN(2*PI()*$I95/qbo+$L95)+fCs*SIN(2*PI()*$I95/cw)+fCc*COS(2*PI()*$I95/cw)</f>
        <v>-0.57258369705861212</v>
      </c>
      <c r="L95">
        <f>+QMA*COS(2*PI()*$I95/QM+QMP)</f>
        <v>0.12261347106009791</v>
      </c>
      <c r="P95">
        <f t="shared" si="9"/>
        <v>1</v>
      </c>
    </row>
    <row r="96" spans="1:16" x14ac:dyDescent="0.25">
      <c r="A96" s="1"/>
      <c r="B96" t="s">
        <v>109</v>
      </c>
      <c r="C96" t="s">
        <v>24</v>
      </c>
      <c r="D96" s="3">
        <v>3.5833333333333335</v>
      </c>
      <c r="E96" s="5">
        <f t="shared" si="5"/>
        <v>1735</v>
      </c>
      <c r="F96">
        <v>-4.3450000000000003E-2</v>
      </c>
      <c r="G96">
        <f t="shared" si="6"/>
        <v>0.40123999999999999</v>
      </c>
      <c r="H96">
        <f t="shared" si="7"/>
        <v>0.40123999999999999</v>
      </c>
      <c r="I96" s="5">
        <f t="shared" si="8"/>
        <v>83</v>
      </c>
      <c r="J96">
        <f>+H96+CF*F96*(1+($I96-1850)*slope/1000)+F96*hQc*COS(2*PI()*$I96/qbo+$L96)+F96*hQs*SIN(2*PI()*$I96/qbo+$L96)+F96*hCs*SIN(2*PI()*$I96/cw)+F96*hCc*COS(2*PI()*$I96/cw) +mix*F96*(hQc*COS(2*PI()*$I96/qbo+$L96)+hQs*SIN(2*PI()*$I96/qbo+$L96))*(hCs*SIN(2*PI()*$I96/cw)+hCc*COS(2*PI()*$I96/cw))</f>
        <v>-0.2072077425167467</v>
      </c>
      <c r="K96">
        <f>fQc*COS(2*PI()*$I96/qbo+$L96)+fQs*SIN(2*PI()*$I96/qbo+$L96)+fCs*SIN(2*PI()*$I96/cw)+fCc*COS(2*PI()*$I96/cw)</f>
        <v>-0.10661777560619723</v>
      </c>
      <c r="L96">
        <f>+QMA*COS(2*PI()*$I96/QM+QMP)</f>
        <v>0.28736001657757498</v>
      </c>
      <c r="P96">
        <f t="shared" si="9"/>
        <v>1</v>
      </c>
    </row>
    <row r="97" spans="1:16" x14ac:dyDescent="0.25">
      <c r="A97" s="1"/>
      <c r="B97" t="s">
        <v>110</v>
      </c>
      <c r="C97" t="s">
        <v>24</v>
      </c>
      <c r="D97" s="3">
        <v>3.625</v>
      </c>
      <c r="E97" s="5">
        <f t="shared" si="5"/>
        <v>1736</v>
      </c>
      <c r="F97">
        <v>0.24676999999999999</v>
      </c>
      <c r="G97">
        <f t="shared" si="6"/>
        <v>0.38614000000000009</v>
      </c>
      <c r="H97">
        <f t="shared" si="7"/>
        <v>0.38614000000000009</v>
      </c>
      <c r="I97" s="5">
        <f t="shared" si="8"/>
        <v>84</v>
      </c>
      <c r="J97">
        <f>+H97+CF*F97*(1+($I97-1850)*slope/1000)+F97*hQc*COS(2*PI()*$I97/qbo+$L97)+F97*hQs*SIN(2*PI()*$I97/qbo+$L97)+F97*hCs*SIN(2*PI()*$I97/cw)+F97*hCc*COS(2*PI()*$I97/cw) +mix*F97*(hQc*COS(2*PI()*$I97/qbo+$L97)+hQs*SIN(2*PI()*$I97/qbo+$L97))*(hCs*SIN(2*PI()*$I97/cw)+hCc*COS(2*PI()*$I97/cw))</f>
        <v>5.0549265982365661</v>
      </c>
      <c r="K97">
        <f>fQc*COS(2*PI()*$I97/qbo+$L97)+fQs*SIN(2*PI()*$I97/qbo+$L97)+fCs*SIN(2*PI()*$I97/cw)+fCc*COS(2*PI()*$I97/cw)</f>
        <v>0.67763364902052892</v>
      </c>
      <c r="L97">
        <f>+QMA*COS(2*PI()*$I97/QM+QMP)</f>
        <v>0.44720072187691051</v>
      </c>
      <c r="P97">
        <f t="shared" si="9"/>
        <v>1</v>
      </c>
    </row>
    <row r="98" spans="1:16" x14ac:dyDescent="0.25">
      <c r="A98" s="1"/>
      <c r="B98" t="s">
        <v>111</v>
      </c>
      <c r="C98" t="s">
        <v>24</v>
      </c>
      <c r="D98" s="3">
        <v>3.6666666666666665</v>
      </c>
      <c r="E98" s="5">
        <f t="shared" si="5"/>
        <v>1737</v>
      </c>
      <c r="F98">
        <v>0.92313000000000001</v>
      </c>
      <c r="G98">
        <f t="shared" si="6"/>
        <v>-0.4811700000000001</v>
      </c>
      <c r="H98">
        <f t="shared" si="7"/>
        <v>-0.4811700000000001</v>
      </c>
      <c r="I98" s="5">
        <f t="shared" si="8"/>
        <v>85</v>
      </c>
      <c r="J98">
        <f>+H98+CF*F98*(1+($I98-1850)*slope/1000)+F98*hQc*COS(2*PI()*$I98/qbo+$L98)+F98*hQs*SIN(2*PI()*$I98/qbo+$L98)+F98*hCs*SIN(2*PI()*$I98/cw)+F98*hCc*COS(2*PI()*$I98/cw) +mix*F98*(hQc*COS(2*PI()*$I98/qbo+$L98)+hQs*SIN(2*PI()*$I98/qbo+$L98))*(hCs*SIN(2*PI()*$I98/cw)+hCc*COS(2*PI()*$I98/cw))</f>
        <v>6.855567078354099</v>
      </c>
      <c r="K98">
        <f>fQc*COS(2*PI()*$I98/qbo+$L98)+fQs*SIN(2*PI()*$I98/qbo+$L98)+fCs*SIN(2*PI()*$I98/cw)+fCc*COS(2*PI()*$I98/cw)</f>
        <v>8.5393412301759952E-2</v>
      </c>
      <c r="L98">
        <f>+QMA*COS(2*PI()*$I98/QM+QMP)</f>
        <v>0.59940676974167084</v>
      </c>
      <c r="P98">
        <f t="shared" si="9"/>
        <v>1</v>
      </c>
    </row>
    <row r="99" spans="1:16" x14ac:dyDescent="0.25">
      <c r="A99" s="1"/>
      <c r="B99" t="s">
        <v>112</v>
      </c>
      <c r="C99" t="s">
        <v>24</v>
      </c>
      <c r="D99" s="3">
        <v>3.7083333333333335</v>
      </c>
      <c r="E99" s="5">
        <f t="shared" si="5"/>
        <v>1738</v>
      </c>
      <c r="F99">
        <v>1.11832</v>
      </c>
      <c r="G99">
        <f t="shared" si="6"/>
        <v>-1.9736899999999999</v>
      </c>
      <c r="H99">
        <f t="shared" si="7"/>
        <v>-1.9736899999999999</v>
      </c>
      <c r="I99" s="5">
        <f t="shared" si="8"/>
        <v>86</v>
      </c>
      <c r="J99">
        <f>+H99+CF*F99*(1+($I99-1850)*slope/1000)+F99*hQc*COS(2*PI()*$I99/qbo+$L99)+F99*hQs*SIN(2*PI()*$I99/qbo+$L99)+F99*hCs*SIN(2*PI()*$I99/cw)+F99*hCc*COS(2*PI()*$I99/cw) +mix*F99*(hQc*COS(2*PI()*$I99/qbo+$L99)+hQs*SIN(2*PI()*$I99/qbo+$L99))*(hCs*SIN(2*PI()*$I99/cw)+hCc*COS(2*PI()*$I99/cw))</f>
        <v>26.257532842335181</v>
      </c>
      <c r="K99">
        <f>fQc*COS(2*PI()*$I99/qbo+$L99)+fQs*SIN(2*PI()*$I99/qbo+$L99)+fCs*SIN(2*PI()*$I99/cw)+fCc*COS(2*PI()*$I99/cw)</f>
        <v>1.1955037492626077</v>
      </c>
      <c r="L99">
        <f>+QMA*COS(2*PI()*$I99/QM+QMP)</f>
        <v>0.74137968262459231</v>
      </c>
      <c r="P99">
        <f t="shared" si="9"/>
        <v>1</v>
      </c>
    </row>
    <row r="100" spans="1:16" x14ac:dyDescent="0.25">
      <c r="A100" s="1"/>
      <c r="B100" t="s">
        <v>113</v>
      </c>
      <c r="C100" t="s">
        <v>24</v>
      </c>
      <c r="D100" s="3">
        <v>3.75</v>
      </c>
      <c r="E100" s="5">
        <f t="shared" si="5"/>
        <v>1739</v>
      </c>
      <c r="F100">
        <v>-0.66017999999999999</v>
      </c>
      <c r="G100">
        <f t="shared" si="6"/>
        <v>2.4390399999999999</v>
      </c>
      <c r="H100">
        <f t="shared" si="7"/>
        <v>2.4390399999999999</v>
      </c>
      <c r="I100" s="5">
        <f t="shared" si="8"/>
        <v>87</v>
      </c>
      <c r="J100">
        <f>+H100+CF*F100*(1+($I100-1850)*slope/1000)+F100*hQc*COS(2*PI()*$I100/qbo+$L100)+F100*hQs*SIN(2*PI()*$I100/qbo+$L100)+F100*hCs*SIN(2*PI()*$I100/cw)+F100*hCc*COS(2*PI()*$I100/cw) +mix*F100*(hQc*COS(2*PI()*$I100/qbo+$L100)+hQs*SIN(2*PI()*$I100/qbo+$L100))*(hCs*SIN(2*PI()*$I100/cw)+hCc*COS(2*PI()*$I100/cw))</f>
        <v>-5.7910193929905738</v>
      </c>
      <c r="K100">
        <f>fQc*COS(2*PI()*$I100/qbo+$L100)+fQs*SIN(2*PI()*$I100/qbo+$L100)+fCs*SIN(2*PI()*$I100/cw)+fCc*COS(2*PI()*$I100/cw)</f>
        <v>-0.55019422954124042</v>
      </c>
      <c r="L100">
        <f>+QMA*COS(2*PI()*$I100/QM+QMP)</f>
        <v>0.87069568412768006</v>
      </c>
      <c r="P100">
        <f t="shared" si="9"/>
        <v>1</v>
      </c>
    </row>
    <row r="101" spans="1:16" x14ac:dyDescent="0.25">
      <c r="A101" s="1"/>
      <c r="B101" t="s">
        <v>114</v>
      </c>
      <c r="C101" t="s">
        <v>24</v>
      </c>
      <c r="D101" s="3">
        <v>3.7916666666666665</v>
      </c>
      <c r="E101" s="5">
        <f t="shared" si="5"/>
        <v>1740</v>
      </c>
      <c r="F101">
        <v>3.6000000000000002E-4</v>
      </c>
      <c r="G101">
        <f t="shared" si="6"/>
        <v>-0.43651000000000001</v>
      </c>
      <c r="H101">
        <f t="shared" si="7"/>
        <v>-0.43651000000000001</v>
      </c>
      <c r="I101" s="5">
        <f t="shared" si="8"/>
        <v>88</v>
      </c>
      <c r="J101">
        <f>+H101+CF*F101*(1+($I101-1850)*slope/1000)+F101*hQc*COS(2*PI()*$I101/qbo+$L101)+F101*hQs*SIN(2*PI()*$I101/qbo+$L101)+F101*hCs*SIN(2*PI()*$I101/cw)+F101*hCc*COS(2*PI()*$I101/cw) +mix*F101*(hQc*COS(2*PI()*$I101/qbo+$L101)+hQs*SIN(2*PI()*$I101/qbo+$L101))*(hCs*SIN(2*PI()*$I101/cw)+hCc*COS(2*PI()*$I101/cw))</f>
        <v>-0.43532712760814513</v>
      </c>
      <c r="K101">
        <f>fQc*COS(2*PI()*$I101/qbo+$L101)+fQs*SIN(2*PI()*$I101/qbo+$L101)+fCs*SIN(2*PI()*$I101/cw)+fCc*COS(2*PI()*$I101/cw)</f>
        <v>0.54375326528211976</v>
      </c>
      <c r="L101">
        <f>+QMA*COS(2*PI()*$I101/QM+QMP)</f>
        <v>0.9851470779660535</v>
      </c>
      <c r="P101">
        <f t="shared" si="9"/>
        <v>0</v>
      </c>
    </row>
    <row r="102" spans="1:16" x14ac:dyDescent="0.25">
      <c r="A102" s="1"/>
      <c r="B102" t="s">
        <v>115</v>
      </c>
      <c r="C102" t="s">
        <v>24</v>
      </c>
      <c r="D102" s="3">
        <v>3.8333333333333335</v>
      </c>
      <c r="E102" s="5">
        <f t="shared" si="5"/>
        <v>1741</v>
      </c>
      <c r="F102">
        <v>0.22439000000000001</v>
      </c>
      <c r="G102">
        <f t="shared" si="6"/>
        <v>-2.0484300000000002</v>
      </c>
      <c r="H102">
        <f t="shared" si="7"/>
        <v>-2.0484300000000002</v>
      </c>
      <c r="I102" s="5">
        <f t="shared" si="8"/>
        <v>89</v>
      </c>
      <c r="J102">
        <f>+H102+CF*F102*(1+($I102-1850)*slope/1000)+F102*hQc*COS(2*PI()*$I102/qbo+$L102)+F102*hQs*SIN(2*PI()*$I102/qbo+$L102)+F102*hCs*SIN(2*PI()*$I102/cw)+F102*hCc*COS(2*PI()*$I102/cw) +mix*F102*(hQc*COS(2*PI()*$I102/qbo+$L102)+hQs*SIN(2*PI()*$I102/qbo+$L102))*(hCs*SIN(2*PI()*$I102/cw)+hCc*COS(2*PI()*$I102/cw))</f>
        <v>3.748494372645323</v>
      </c>
      <c r="K102">
        <f>fQc*COS(2*PI()*$I102/qbo+$L102)+fQs*SIN(2*PI()*$I102/qbo+$L102)+fCs*SIN(2*PI()*$I102/cw)+fCc*COS(2*PI()*$I102/cw)</f>
        <v>-1.1944890605138565</v>
      </c>
      <c r="L102">
        <f>+QMA*COS(2*PI()*$I102/QM+QMP)</f>
        <v>1.0827799379895062</v>
      </c>
      <c r="P102">
        <f t="shared" si="9"/>
        <v>0</v>
      </c>
    </row>
    <row r="103" spans="1:16" x14ac:dyDescent="0.25">
      <c r="A103" s="1"/>
      <c r="B103" t="s">
        <v>116</v>
      </c>
      <c r="C103" t="s">
        <v>24</v>
      </c>
      <c r="D103" s="3">
        <v>3.875</v>
      </c>
      <c r="E103" s="5">
        <f t="shared" si="5"/>
        <v>1742</v>
      </c>
      <c r="F103">
        <v>-1.6000099999999999</v>
      </c>
      <c r="G103">
        <f t="shared" si="6"/>
        <v>2.9113899999999999</v>
      </c>
      <c r="H103">
        <f t="shared" si="7"/>
        <v>2.9113899999999999</v>
      </c>
      <c r="I103" s="5">
        <f t="shared" si="8"/>
        <v>90</v>
      </c>
      <c r="J103">
        <f>+H103+CF*F103*(1+($I103-1850)*slope/1000)+F103*hQc*COS(2*PI()*$I103/qbo+$L103)+F103*hQs*SIN(2*PI()*$I103/qbo+$L103)+F103*hCs*SIN(2*PI()*$I103/cw)+F103*hCc*COS(2*PI()*$I103/cw) +mix*F103*(hQc*COS(2*PI()*$I103/qbo+$L103)+hQs*SIN(2*PI()*$I103/qbo+$L103))*(hCs*SIN(2*PI()*$I103/cw)+hCc*COS(2*PI()*$I103/cw))</f>
        <v>2.8631019796577313</v>
      </c>
      <c r="K103">
        <f>fQc*COS(2*PI()*$I103/qbo+$L103)+fQs*SIN(2*PI()*$I103/qbo+$L103)+fCs*SIN(2*PI()*$I103/cw)+fCc*COS(2*PI()*$I103/cw)</f>
        <v>-0.12946330904140541</v>
      </c>
      <c r="L103">
        <f>+QMA*COS(2*PI()*$I103/QM+QMP)</f>
        <v>1.1619274658138392</v>
      </c>
      <c r="P103">
        <f t="shared" si="9"/>
        <v>0</v>
      </c>
    </row>
    <row r="104" spans="1:16" x14ac:dyDescent="0.25">
      <c r="A104" s="1"/>
      <c r="B104" t="s">
        <v>117</v>
      </c>
      <c r="C104" t="s">
        <v>24</v>
      </c>
      <c r="D104" s="3">
        <v>3.9166666666666665</v>
      </c>
      <c r="E104" s="5">
        <f t="shared" si="5"/>
        <v>1743</v>
      </c>
      <c r="F104">
        <v>-0.51302000000000003</v>
      </c>
      <c r="G104">
        <f t="shared" si="6"/>
        <v>-0.31160999999999994</v>
      </c>
      <c r="H104">
        <f t="shared" si="7"/>
        <v>-0.31160999999999994</v>
      </c>
      <c r="I104" s="5">
        <f t="shared" si="8"/>
        <v>91</v>
      </c>
      <c r="J104">
        <f>+H104+CF*F104*(1+($I104-1850)*slope/1000)+F104*hQc*COS(2*PI()*$I104/qbo+$L104)+F104*hQs*SIN(2*PI()*$I104/qbo+$L104)+F104*hCs*SIN(2*PI()*$I104/cw)+F104*hCc*COS(2*PI()*$I104/cw) +mix*F104*(hQc*COS(2*PI()*$I104/qbo+$L104)+hQs*SIN(2*PI()*$I104/qbo+$L104))*(hCs*SIN(2*PI()*$I104/cw)+hCc*COS(2*PI()*$I104/cw))</f>
        <v>-8.1444539894763182</v>
      </c>
      <c r="K104">
        <f>fQc*COS(2*PI()*$I104/qbo+$L104)+fQs*SIN(2*PI()*$I104/qbo+$L104)+fCs*SIN(2*PI()*$I104/cw)+fCc*COS(2*PI()*$I104/cw)</f>
        <v>-0.54620805325663735</v>
      </c>
      <c r="L104">
        <f>+QMA*COS(2*PI()*$I104/QM+QMP)</f>
        <v>1.2212384465769739</v>
      </c>
      <c r="P104">
        <f t="shared" si="9"/>
        <v>1</v>
      </c>
    </row>
    <row r="105" spans="1:16" x14ac:dyDescent="0.25">
      <c r="A105" s="1"/>
      <c r="B105" t="s">
        <v>118</v>
      </c>
      <c r="C105" t="s">
        <v>24</v>
      </c>
      <c r="D105" s="3">
        <v>3.9583333333333335</v>
      </c>
      <c r="E105" s="5">
        <f t="shared" si="5"/>
        <v>1744</v>
      </c>
      <c r="F105">
        <v>0.26235999999999998</v>
      </c>
      <c r="G105">
        <f t="shared" si="6"/>
        <v>9.7040000000000015E-2</v>
      </c>
      <c r="H105">
        <f t="shared" si="7"/>
        <v>9.7040000000000015E-2</v>
      </c>
      <c r="I105" s="5">
        <f t="shared" si="8"/>
        <v>92</v>
      </c>
      <c r="J105">
        <f>+H105+CF*F105*(1+($I105-1850)*slope/1000)+F105*hQc*COS(2*PI()*$I105/qbo+$L105)+F105*hQs*SIN(2*PI()*$I105/qbo+$L105)+F105*hCs*SIN(2*PI()*$I105/cw)+F105*hCc*COS(2*PI()*$I105/cw) +mix*F105*(hQc*COS(2*PI()*$I105/qbo+$L105)+hQs*SIN(2*PI()*$I105/qbo+$L105))*(hCs*SIN(2*PI()*$I105/cw)+hCc*COS(2*PI()*$I105/cw))</f>
        <v>3.788457866934543</v>
      </c>
      <c r="K105">
        <f>fQc*COS(2*PI()*$I105/qbo+$L105)+fQs*SIN(2*PI()*$I105/qbo+$L105)+fCs*SIN(2*PI()*$I105/cw)+fCc*COS(2*PI()*$I105/cw)</f>
        <v>-0.10731494097676897</v>
      </c>
      <c r="L105">
        <f>+QMA*COS(2*PI()*$I105/QM+QMP)</f>
        <v>1.2597003170202141</v>
      </c>
      <c r="P105">
        <f t="shared" si="9"/>
        <v>0</v>
      </c>
    </row>
    <row r="106" spans="1:16" x14ac:dyDescent="0.25">
      <c r="A106" s="1"/>
      <c r="B106" t="s">
        <v>119</v>
      </c>
      <c r="C106" t="s">
        <v>24</v>
      </c>
      <c r="D106" s="3">
        <v>4</v>
      </c>
      <c r="E106" s="5">
        <f t="shared" si="5"/>
        <v>1745</v>
      </c>
      <c r="F106">
        <v>1.1347799999999999</v>
      </c>
      <c r="G106">
        <f t="shared" si="6"/>
        <v>-0.42901999999999996</v>
      </c>
      <c r="H106">
        <f t="shared" si="7"/>
        <v>-0.42901999999999996</v>
      </c>
      <c r="I106" s="5">
        <f t="shared" si="8"/>
        <v>93</v>
      </c>
      <c r="J106">
        <f>+H106+CF*F106*(1+($I106-1850)*slope/1000)+F106*hQc*COS(2*PI()*$I106/qbo+$L106)+F106*hQs*SIN(2*PI()*$I106/qbo+$L106)+F106*hCs*SIN(2*PI()*$I106/cw)+F106*hCc*COS(2*PI()*$I106/cw) +mix*F106*(hQc*COS(2*PI()*$I106/qbo+$L106)+hQs*SIN(2*PI()*$I106/qbo+$L106))*(hCs*SIN(2*PI()*$I106/cw)+hCc*COS(2*PI()*$I106/cw))</f>
        <v>24.331525125213624</v>
      </c>
      <c r="K106">
        <f>fQc*COS(2*PI()*$I106/qbo+$L106)+fQs*SIN(2*PI()*$I106/qbo+$L106)+fCs*SIN(2*PI()*$I106/cw)+fCc*COS(2*PI()*$I106/cw)</f>
        <v>0.88529840945446159</v>
      </c>
      <c r="L106">
        <f>+QMA*COS(2*PI()*$I106/QM+QMP)</f>
        <v>1.2766564520739616</v>
      </c>
      <c r="P106">
        <f t="shared" si="9"/>
        <v>1</v>
      </c>
    </row>
    <row r="107" spans="1:16" x14ac:dyDescent="0.25">
      <c r="A107" s="1"/>
      <c r="B107" t="s">
        <v>120</v>
      </c>
      <c r="C107" t="s">
        <v>24</v>
      </c>
      <c r="D107" s="3">
        <v>4.041666666666667</v>
      </c>
      <c r="E107" s="5">
        <f t="shared" si="5"/>
        <v>1746</v>
      </c>
      <c r="F107">
        <v>1.5781799999999999</v>
      </c>
      <c r="G107">
        <f t="shared" si="6"/>
        <v>-0.21579999999999999</v>
      </c>
      <c r="H107">
        <f t="shared" si="7"/>
        <v>-0.21579999999999999</v>
      </c>
      <c r="I107" s="5">
        <f t="shared" si="8"/>
        <v>94</v>
      </c>
      <c r="J107">
        <f>+H107+CF*F107*(1+($I107-1850)*slope/1000)+F107*hQc*COS(2*PI()*$I107/qbo+$L107)+F107*hQs*SIN(2*PI()*$I107/qbo+$L107)+F107*hCs*SIN(2*PI()*$I107/cw)+F107*hCc*COS(2*PI()*$I107/cw) +mix*F107*(hQc*COS(2*PI()*$I107/qbo+$L107)+hQs*SIN(2*PI()*$I107/qbo+$L107))*(hCs*SIN(2*PI()*$I107/cw)+hCc*COS(2*PI()*$I107/cw))</f>
        <v>6.1780762488879866</v>
      </c>
      <c r="K107">
        <f>fQc*COS(2*PI()*$I107/qbo+$L107)+fQs*SIN(2*PI()*$I107/qbo+$L107)+fCs*SIN(2*PI()*$I107/cw)+fCc*COS(2*PI()*$I107/cw)</f>
        <v>-8.6710103513911813E-2</v>
      </c>
      <c r="L107">
        <f>+QMA*COS(2*PI()*$I107/QM+QMP)</f>
        <v>1.2718173748294874</v>
      </c>
      <c r="P107">
        <f t="shared" si="9"/>
        <v>0</v>
      </c>
    </row>
    <row r="108" spans="1:16" x14ac:dyDescent="0.25">
      <c r="A108" s="1"/>
      <c r="B108" t="s">
        <v>121</v>
      </c>
      <c r="C108" t="s">
        <v>24</v>
      </c>
      <c r="D108" s="3">
        <v>4.083333333333333</v>
      </c>
      <c r="E108" s="5">
        <f t="shared" si="5"/>
        <v>1747</v>
      </c>
      <c r="F108">
        <v>1.8057799999999999</v>
      </c>
      <c r="G108">
        <f t="shared" si="6"/>
        <v>-3.0292000000000003</v>
      </c>
      <c r="H108">
        <f t="shared" si="7"/>
        <v>-3.0292000000000003</v>
      </c>
      <c r="I108" s="5">
        <f t="shared" si="8"/>
        <v>95</v>
      </c>
      <c r="J108">
        <f>+H108+CF*F108*(1+($I108-1850)*slope/1000)+F108*hQc*COS(2*PI()*$I108/qbo+$L108)+F108*hQs*SIN(2*PI()*$I108/qbo+$L108)+F108*hCs*SIN(2*PI()*$I108/cw)+F108*hCc*COS(2*PI()*$I108/cw) +mix*F108*(hQc*COS(2*PI()*$I108/qbo+$L108)+hQs*SIN(2*PI()*$I108/qbo+$L108))*(hCs*SIN(2*PI()*$I108/cw)+hCc*COS(2*PI()*$I108/cw))</f>
        <v>43.612351311591205</v>
      </c>
      <c r="K108">
        <f>fQc*COS(2*PI()*$I108/qbo+$L108)+fQs*SIN(2*PI()*$I108/qbo+$L108)+fCs*SIN(2*PI()*$I108/cw)+fCc*COS(2*PI()*$I108/cw)</f>
        <v>1.2607820486778667</v>
      </c>
      <c r="L108">
        <f>+QMA*COS(2*PI()*$I108/QM+QMP)</f>
        <v>1.2452656985189572</v>
      </c>
      <c r="P108">
        <f t="shared" si="9"/>
        <v>1</v>
      </c>
    </row>
    <row r="109" spans="1:16" x14ac:dyDescent="0.25">
      <c r="A109" s="1"/>
      <c r="B109" t="s">
        <v>122</v>
      </c>
      <c r="C109" t="s">
        <v>24</v>
      </c>
      <c r="D109" s="3">
        <v>4.125</v>
      </c>
      <c r="E109" s="5">
        <f t="shared" si="5"/>
        <v>1748</v>
      </c>
      <c r="F109">
        <v>-0.99582000000000004</v>
      </c>
      <c r="G109">
        <f t="shared" si="6"/>
        <v>4.8936600000000006</v>
      </c>
      <c r="H109">
        <f t="shared" si="7"/>
        <v>4.8936600000000006</v>
      </c>
      <c r="I109" s="5">
        <f t="shared" si="8"/>
        <v>96</v>
      </c>
      <c r="J109">
        <f>+H109+CF*F109*(1+($I109-1850)*slope/1000)+F109*hQc*COS(2*PI()*$I109/qbo+$L109)+F109*hQs*SIN(2*PI()*$I109/qbo+$L109)+F109*hCs*SIN(2*PI()*$I109/cw)+F109*hCc*COS(2*PI()*$I109/cw) +mix*F109*(hQc*COS(2*PI()*$I109/qbo+$L109)+hQs*SIN(2*PI()*$I109/qbo+$L109))*(hCs*SIN(2*PI()*$I109/cw)+hCc*COS(2*PI()*$I109/cw))</f>
        <v>-8.8677677254454768</v>
      </c>
      <c r="K109">
        <f>fQc*COS(2*PI()*$I109/qbo+$L109)+fQs*SIN(2*PI()*$I109/qbo+$L109)+fCs*SIN(2*PI()*$I109/cw)+fCc*COS(2*PI()*$I109/cw)</f>
        <v>-0.51507003665953233</v>
      </c>
      <c r="L109">
        <f>+QMA*COS(2*PI()*$I109/QM+QMP)</f>
        <v>1.1974547161337021</v>
      </c>
      <c r="P109">
        <f t="shared" si="9"/>
        <v>1</v>
      </c>
    </row>
    <row r="110" spans="1:16" x14ac:dyDescent="0.25">
      <c r="A110" s="1"/>
      <c r="B110" t="s">
        <v>123</v>
      </c>
      <c r="C110" t="s">
        <v>24</v>
      </c>
      <c r="D110" s="3">
        <v>4.166666666666667</v>
      </c>
      <c r="E110" s="5">
        <f t="shared" si="5"/>
        <v>1749</v>
      </c>
      <c r="F110">
        <v>1.0962400000000001</v>
      </c>
      <c r="G110">
        <f t="shared" si="6"/>
        <v>-2.4696899999999999</v>
      </c>
      <c r="H110">
        <f t="shared" si="7"/>
        <v>-2.4696899999999999</v>
      </c>
      <c r="I110" s="5">
        <f t="shared" si="8"/>
        <v>97</v>
      </c>
      <c r="J110">
        <f>+H110+CF*F110*(1+($I110-1850)*slope/1000)+F110*hQc*COS(2*PI()*$I110/qbo+$L110)+F110*hQs*SIN(2*PI()*$I110/qbo+$L110)+F110*hCs*SIN(2*PI()*$I110/cw)+F110*hCc*COS(2*PI()*$I110/cw) +mix*F110*(hQc*COS(2*PI()*$I110/qbo+$L110)+hQs*SIN(2*PI()*$I110/qbo+$L110))*(hCs*SIN(2*PI()*$I110/cw)+hCc*COS(2*PI()*$I110/cw))</f>
        <v>4.3823024692580379</v>
      </c>
      <c r="K110">
        <f>fQc*COS(2*PI()*$I110/qbo+$L110)+fQs*SIN(2*PI()*$I110/qbo+$L110)+fCs*SIN(2*PI()*$I110/cw)+fCc*COS(2*PI()*$I110/cw)</f>
        <v>7.9552494620967584E-2</v>
      </c>
      <c r="L110">
        <f>+QMA*COS(2*PI()*$I110/QM+QMP)</f>
        <v>1.1292006617589205</v>
      </c>
      <c r="P110">
        <f t="shared" si="9"/>
        <v>1</v>
      </c>
    </row>
    <row r="111" spans="1:16" x14ac:dyDescent="0.25">
      <c r="A111" s="1"/>
      <c r="B111" t="s">
        <v>124</v>
      </c>
      <c r="C111" t="s">
        <v>24</v>
      </c>
      <c r="D111" s="3">
        <v>4.208333333333333</v>
      </c>
      <c r="E111" s="5">
        <f t="shared" si="5"/>
        <v>1750</v>
      </c>
      <c r="F111">
        <v>0.71860999999999997</v>
      </c>
      <c r="G111">
        <f t="shared" si="6"/>
        <v>-5.4319999999999813E-2</v>
      </c>
      <c r="H111">
        <f t="shared" si="7"/>
        <v>-5.4319999999999813E-2</v>
      </c>
      <c r="I111" s="5">
        <f t="shared" si="8"/>
        <v>98</v>
      </c>
      <c r="J111">
        <f>+H111+CF*F111*(1+($I111-1850)*slope/1000)+F111*hQc*COS(2*PI()*$I111/qbo+$L111)+F111*hQs*SIN(2*PI()*$I111/qbo+$L111)+F111*hCs*SIN(2*PI()*$I111/cw)+F111*hCc*COS(2*PI()*$I111/cw) +mix*F111*(hQc*COS(2*PI()*$I111/qbo+$L111)+hQs*SIN(2*PI()*$I111/qbo+$L111))*(hCs*SIN(2*PI()*$I111/cw)+hCc*COS(2*PI()*$I111/cw))</f>
        <v>7.9929487506969528</v>
      </c>
      <c r="K111">
        <f>fQc*COS(2*PI()*$I111/qbo+$L111)+fQs*SIN(2*PI()*$I111/qbo+$L111)+fCs*SIN(2*PI()*$I111/cw)+fCc*COS(2*PI()*$I111/cw)</f>
        <v>-0.50748987267412882</v>
      </c>
      <c r="L111">
        <f>+QMA*COS(2*PI()*$I111/QM+QMP)</f>
        <v>1.0416687757401251</v>
      </c>
      <c r="P111">
        <f t="shared" si="9"/>
        <v>0</v>
      </c>
    </row>
    <row r="112" spans="1:16" x14ac:dyDescent="0.25">
      <c r="A112" s="1"/>
      <c r="B112" t="s">
        <v>125</v>
      </c>
      <c r="C112" t="s">
        <v>24</v>
      </c>
      <c r="D112" s="3">
        <v>4.25</v>
      </c>
      <c r="E112" s="5">
        <f t="shared" si="5"/>
        <v>1751</v>
      </c>
      <c r="F112">
        <v>0.28666000000000003</v>
      </c>
      <c r="G112">
        <f t="shared" si="6"/>
        <v>-1.7390400000000001</v>
      </c>
      <c r="H112">
        <f t="shared" si="7"/>
        <v>-1.7390400000000001</v>
      </c>
      <c r="I112" s="5">
        <f t="shared" si="8"/>
        <v>99</v>
      </c>
      <c r="J112">
        <f>+H112+CF*F112*(1+($I112-1850)*slope/1000)+F112*hQc*COS(2*PI()*$I112/qbo+$L112)+F112*hQs*SIN(2*PI()*$I112/qbo+$L112)+F112*hCs*SIN(2*PI()*$I112/cw)+F112*hCc*COS(2*PI()*$I112/cw) +mix*F112*(hQc*COS(2*PI()*$I112/qbo+$L112)+hQs*SIN(2*PI()*$I112/qbo+$L112))*(hCs*SIN(2*PI()*$I112/cw)+hCc*COS(2*PI()*$I112/cw))</f>
        <v>3.8165748648607085</v>
      </c>
      <c r="K112">
        <f>fQc*COS(2*PI()*$I112/qbo+$L112)+fQs*SIN(2*PI()*$I112/qbo+$L112)+fCs*SIN(2*PI()*$I112/cw)+fCc*COS(2*PI()*$I112/cw)</f>
        <v>-1.0363887167499959</v>
      </c>
      <c r="L112">
        <f>+QMA*COS(2*PI()*$I112/QM+QMP)</f>
        <v>0.93635341157824281</v>
      </c>
      <c r="P112">
        <f t="shared" si="9"/>
        <v>0</v>
      </c>
    </row>
    <row r="113" spans="1:16" x14ac:dyDescent="0.25">
      <c r="A113" s="1"/>
      <c r="B113" t="s">
        <v>126</v>
      </c>
      <c r="C113" t="s">
        <v>24</v>
      </c>
      <c r="D113" s="3">
        <v>4.291666666666667</v>
      </c>
      <c r="E113" s="5">
        <f t="shared" si="5"/>
        <v>1752</v>
      </c>
      <c r="F113">
        <v>-1.8843300000000001</v>
      </c>
      <c r="G113">
        <f t="shared" si="6"/>
        <v>2.90266</v>
      </c>
      <c r="H113">
        <f t="shared" si="7"/>
        <v>2.90266</v>
      </c>
      <c r="I113" s="5">
        <f t="shared" si="8"/>
        <v>100</v>
      </c>
      <c r="J113">
        <f>+H113+CF*F113*(1+($I113-1850)*slope/1000)+F113*hQc*COS(2*PI()*$I113/qbo+$L113)+F113*hQs*SIN(2*PI()*$I113/qbo+$L113)+F113*hCs*SIN(2*PI()*$I113/cw)+F113*hCc*COS(2*PI()*$I113/cw) +mix*F113*(hQc*COS(2*PI()*$I113/qbo+$L113)+hQs*SIN(2*PI()*$I113/qbo+$L113))*(hCs*SIN(2*PI()*$I113/cw)+hCc*COS(2*PI()*$I113/cw))</f>
        <v>-7.7526773491572634</v>
      </c>
      <c r="K113">
        <f>fQc*COS(2*PI()*$I113/qbo+$L113)+fQs*SIN(2*PI()*$I113/qbo+$L113)+fCs*SIN(2*PI()*$I113/cw)+fCc*COS(2*PI()*$I113/cw)</f>
        <v>0.41847009368930427</v>
      </c>
      <c r="L113">
        <f>+QMA*COS(2*PI()*$I113/QM+QMP)</f>
        <v>0.81505252417057705</v>
      </c>
      <c r="P113">
        <f t="shared" si="9"/>
        <v>0</v>
      </c>
    </row>
    <row r="114" spans="1:16" x14ac:dyDescent="0.25">
      <c r="A114" s="1"/>
      <c r="B114" t="s">
        <v>127</v>
      </c>
      <c r="C114" t="s">
        <v>24</v>
      </c>
      <c r="D114" s="3">
        <v>4.333333333333333</v>
      </c>
      <c r="E114" s="5">
        <f t="shared" si="5"/>
        <v>1753</v>
      </c>
      <c r="F114">
        <v>-1.15266</v>
      </c>
      <c r="G114">
        <f t="shared" si="6"/>
        <v>-0.31825000000000003</v>
      </c>
      <c r="H114">
        <f t="shared" si="7"/>
        <v>-0.31825000000000003</v>
      </c>
      <c r="I114" s="5">
        <f t="shared" si="8"/>
        <v>101</v>
      </c>
      <c r="J114">
        <f>+H114+CF*F114*(1+($I114-1850)*slope/1000)+F114*hQc*COS(2*PI()*$I114/qbo+$L114)+F114*hQs*SIN(2*PI()*$I114/qbo+$L114)+F114*hCs*SIN(2*PI()*$I114/cw)+F114*hCc*COS(2*PI()*$I114/cw) +mix*F114*(hQc*COS(2*PI()*$I114/qbo+$L114)+hQs*SIN(2*PI()*$I114/qbo+$L114))*(hCs*SIN(2*PI()*$I114/cw)+hCc*COS(2*PI()*$I114/cw))</f>
        <v>-12.98656494695933</v>
      </c>
      <c r="K114">
        <f>fQc*COS(2*PI()*$I114/qbo+$L114)+fQs*SIN(2*PI()*$I114/qbo+$L114)+fCs*SIN(2*PI()*$I114/cw)+fCc*COS(2*PI()*$I114/cw)</f>
        <v>-0.63566922207490062</v>
      </c>
      <c r="L114">
        <f>+QMA*COS(2*PI()*$I114/QM+QMP)</f>
        <v>0.67983697493698303</v>
      </c>
      <c r="P114">
        <f t="shared" si="9"/>
        <v>1</v>
      </c>
    </row>
    <row r="115" spans="1:16" x14ac:dyDescent="0.25">
      <c r="A115" s="1"/>
      <c r="B115" t="s">
        <v>128</v>
      </c>
      <c r="C115" t="s">
        <v>24</v>
      </c>
      <c r="D115" s="3">
        <v>4.375</v>
      </c>
      <c r="E115" s="5">
        <f t="shared" si="5"/>
        <v>1754</v>
      </c>
      <c r="F115">
        <v>-0.73924000000000001</v>
      </c>
      <c r="G115">
        <f t="shared" si="6"/>
        <v>-0.72632999999999992</v>
      </c>
      <c r="H115">
        <f t="shared" si="7"/>
        <v>-0.72632999999999992</v>
      </c>
      <c r="I115" s="5">
        <f t="shared" si="8"/>
        <v>102</v>
      </c>
      <c r="J115">
        <f>+H115+CF*F115*(1+($I115-1850)*slope/1000)+F115*hQc*COS(2*PI()*$I115/qbo+$L115)+F115*hQs*SIN(2*PI()*$I115/qbo+$L115)+F115*hCs*SIN(2*PI()*$I115/cw)+F115*hCc*COS(2*PI()*$I115/cw) +mix*F115*(hQc*COS(2*PI()*$I115/qbo+$L115)+hQs*SIN(2*PI()*$I115/qbo+$L115))*(hCs*SIN(2*PI()*$I115/cw)+hCc*COS(2*PI()*$I115/cw))</f>
        <v>-18.970385252830518</v>
      </c>
      <c r="K115">
        <f>fQc*COS(2*PI()*$I115/qbo+$L115)+fQs*SIN(2*PI()*$I115/qbo+$L115)+fCs*SIN(2*PI()*$I115/cw)+fCc*COS(2*PI()*$I115/cw)</f>
        <v>0.96243283546605429</v>
      </c>
      <c r="L115">
        <f>+QMA*COS(2*PI()*$I115/QM+QMP)</f>
        <v>0.53301517785741326</v>
      </c>
      <c r="P115">
        <f t="shared" si="9"/>
        <v>0</v>
      </c>
    </row>
    <row r="116" spans="1:16" x14ac:dyDescent="0.25">
      <c r="A116" s="1"/>
      <c r="B116" t="s">
        <v>129</v>
      </c>
      <c r="C116" t="s">
        <v>24</v>
      </c>
      <c r="D116" s="3">
        <v>4.416666666666667</v>
      </c>
      <c r="E116" s="5">
        <f t="shared" si="5"/>
        <v>1755</v>
      </c>
      <c r="F116">
        <v>-1.0521499999999999</v>
      </c>
      <c r="G116">
        <f t="shared" si="6"/>
        <v>1.1541699999999997</v>
      </c>
      <c r="H116">
        <f t="shared" si="7"/>
        <v>1.1541699999999997</v>
      </c>
      <c r="I116" s="5">
        <f t="shared" si="8"/>
        <v>103</v>
      </c>
      <c r="J116">
        <f>+H116+CF*F116*(1+($I116-1850)*slope/1000)+F116*hQc*COS(2*PI()*$I116/qbo+$L116)+F116*hQs*SIN(2*PI()*$I116/qbo+$L116)+F116*hCs*SIN(2*PI()*$I116/cw)+F116*hCc*COS(2*PI()*$I116/cw) +mix*F116*(hQc*COS(2*PI()*$I116/qbo+$L116)+hQs*SIN(2*PI()*$I116/qbo+$L116))*(hCs*SIN(2*PI()*$I116/cw)+hCc*COS(2*PI()*$I116/cw))</f>
        <v>-13.706554731393338</v>
      </c>
      <c r="K116">
        <f>fQc*COS(2*PI()*$I116/qbo+$L116)+fQs*SIN(2*PI()*$I116/qbo+$L116)+fCs*SIN(2*PI()*$I116/cw)+fCc*COS(2*PI()*$I116/cw)</f>
        <v>0.55279526362273534</v>
      </c>
      <c r="L116">
        <f>+QMA*COS(2*PI()*$I116/QM+QMP)</f>
        <v>0.37709368998734039</v>
      </c>
      <c r="P116">
        <f t="shared" si="9"/>
        <v>0</v>
      </c>
    </row>
    <row r="117" spans="1:16" x14ac:dyDescent="0.25">
      <c r="A117" s="1"/>
      <c r="B117" t="s">
        <v>130</v>
      </c>
      <c r="C117" t="s">
        <v>24</v>
      </c>
      <c r="D117" s="3">
        <v>4.458333333333333</v>
      </c>
      <c r="E117" s="5">
        <f t="shared" si="5"/>
        <v>1756</v>
      </c>
      <c r="F117">
        <v>-0.21088999999999999</v>
      </c>
      <c r="G117">
        <f t="shared" si="6"/>
        <v>-2.3304299999999998</v>
      </c>
      <c r="H117">
        <f t="shared" si="7"/>
        <v>-2.3304299999999998</v>
      </c>
      <c r="I117" s="5">
        <f t="shared" si="8"/>
        <v>104</v>
      </c>
      <c r="J117">
        <f>+H117+CF*F117*(1+($I117-1850)*slope/1000)+F117*hQc*COS(2*PI()*$I117/qbo+$L117)+F117*hQs*SIN(2*PI()*$I117/qbo+$L117)+F117*hCs*SIN(2*PI()*$I117/cw)+F117*hCc*COS(2*PI()*$I117/cw) +mix*F117*(hQc*COS(2*PI()*$I117/qbo+$L117)+hQs*SIN(2*PI()*$I117/qbo+$L117))*(hCs*SIN(2*PI()*$I117/cw)+hCc*COS(2*PI()*$I117/cw))</f>
        <v>-4.7356161214621846</v>
      </c>
      <c r="K117">
        <f>fQc*COS(2*PI()*$I117/qbo+$L117)+fQs*SIN(2*PI()*$I117/qbo+$L117)+fCs*SIN(2*PI()*$I117/cw)+fCc*COS(2*PI()*$I117/cw)</f>
        <v>3.8703167345571617E-2</v>
      </c>
      <c r="L117">
        <f>+QMA*COS(2*PI()*$I117/QM+QMP)</f>
        <v>0.2147344192538764</v>
      </c>
      <c r="P117">
        <f t="shared" si="9"/>
        <v>0</v>
      </c>
    </row>
    <row r="118" spans="1:16" x14ac:dyDescent="0.25">
      <c r="A118" s="1"/>
      <c r="B118" t="s">
        <v>131</v>
      </c>
      <c r="C118" t="s">
        <v>24</v>
      </c>
      <c r="D118" s="3">
        <v>4.5</v>
      </c>
      <c r="E118" s="5">
        <f t="shared" si="5"/>
        <v>1757</v>
      </c>
      <c r="F118">
        <v>-1.7000599999999999</v>
      </c>
      <c r="G118">
        <f t="shared" si="6"/>
        <v>2.5641400000000001</v>
      </c>
      <c r="H118">
        <f t="shared" si="7"/>
        <v>2.5641400000000001</v>
      </c>
      <c r="I118" s="5">
        <f t="shared" si="8"/>
        <v>105</v>
      </c>
      <c r="J118">
        <f>+H118+CF*F118*(1+($I118-1850)*slope/1000)+F118*hQc*COS(2*PI()*$I118/qbo+$L118)+F118*hQs*SIN(2*PI()*$I118/qbo+$L118)+F118*hCs*SIN(2*PI()*$I118/cw)+F118*hCc*COS(2*PI()*$I118/cw) +mix*F118*(hQc*COS(2*PI()*$I118/qbo+$L118)+hQs*SIN(2*PI()*$I118/qbo+$L118))*(hCs*SIN(2*PI()*$I118/cw)+hCc*COS(2*PI()*$I118/cw))</f>
        <v>-17.873466115565453</v>
      </c>
      <c r="K118">
        <f>fQc*COS(2*PI()*$I118/qbo+$L118)+fQs*SIN(2*PI()*$I118/qbo+$L118)+fCs*SIN(2*PI()*$I118/cw)+fCc*COS(2*PI()*$I118/cw)</f>
        <v>0.78852840002352198</v>
      </c>
      <c r="L118">
        <f>+QMA*COS(2*PI()*$I118/QM+QMP)</f>
        <v>4.8709180085627357E-2</v>
      </c>
      <c r="P118">
        <f t="shared" si="9"/>
        <v>0</v>
      </c>
    </row>
    <row r="119" spans="1:16" x14ac:dyDescent="0.25">
      <c r="A119" s="1"/>
      <c r="B119" t="s">
        <v>132</v>
      </c>
      <c r="C119" t="s">
        <v>24</v>
      </c>
      <c r="D119" s="3">
        <v>4.541666666666667</v>
      </c>
      <c r="E119" s="5">
        <f t="shared" si="5"/>
        <v>1758</v>
      </c>
      <c r="F119">
        <v>-0.62509000000000003</v>
      </c>
      <c r="G119">
        <f t="shared" si="6"/>
        <v>-2.9079999999999995E-2</v>
      </c>
      <c r="H119">
        <f t="shared" si="7"/>
        <v>-2.9079999999999995E-2</v>
      </c>
      <c r="I119" s="5">
        <f t="shared" si="8"/>
        <v>106</v>
      </c>
      <c r="J119">
        <f>+H119+CF*F119*(1+($I119-1850)*slope/1000)+F119*hQc*COS(2*PI()*$I119/qbo+$L119)+F119*hQs*SIN(2*PI()*$I119/qbo+$L119)+F119*hCs*SIN(2*PI()*$I119/cw)+F119*hCc*COS(2*PI()*$I119/cw) +mix*F119*(hQc*COS(2*PI()*$I119/qbo+$L119)+hQs*SIN(2*PI()*$I119/qbo+$L119))*(hCs*SIN(2*PI()*$I119/cw)+hCc*COS(2*PI()*$I119/cw))</f>
        <v>-14.77677487655146</v>
      </c>
      <c r="K119">
        <f>fQc*COS(2*PI()*$I119/qbo+$L119)+fQs*SIN(2*PI()*$I119/qbo+$L119)+fCs*SIN(2*PI()*$I119/cw)+fCc*COS(2*PI()*$I119/cw)</f>
        <v>-1.0823139955543513</v>
      </c>
      <c r="L119">
        <f>+QMA*COS(2*PI()*$I119/QM+QMP)</f>
        <v>-0.1181476272927825</v>
      </c>
      <c r="P119">
        <f t="shared" si="9"/>
        <v>1</v>
      </c>
    </row>
    <row r="120" spans="1:16" x14ac:dyDescent="0.25">
      <c r="A120" s="1"/>
      <c r="B120" t="s">
        <v>133</v>
      </c>
      <c r="C120" t="s">
        <v>24</v>
      </c>
      <c r="D120" s="3">
        <v>4.583333333333333</v>
      </c>
      <c r="E120" s="5">
        <f t="shared" si="5"/>
        <v>1759</v>
      </c>
      <c r="F120">
        <v>0.42080000000000001</v>
      </c>
      <c r="G120">
        <f t="shared" si="6"/>
        <v>-1.4132500000000001</v>
      </c>
      <c r="H120">
        <f t="shared" si="7"/>
        <v>-1.4132500000000001</v>
      </c>
      <c r="I120" s="5">
        <f t="shared" si="8"/>
        <v>107</v>
      </c>
      <c r="J120">
        <f>+H120+CF*F120*(1+($I120-1850)*slope/1000)+F120*hQc*COS(2*PI()*$I120/qbo+$L120)+F120*hQs*SIN(2*PI()*$I120/qbo+$L120)+F120*hCs*SIN(2*PI()*$I120/cw)+F120*hCc*COS(2*PI()*$I120/cw) +mix*F120*(hQc*COS(2*PI()*$I120/qbo+$L120)+hQs*SIN(2*PI()*$I120/qbo+$L120))*(hCs*SIN(2*PI()*$I120/cw)+hCc*COS(2*PI()*$I120/cw))</f>
        <v>-1.9473733127409831</v>
      </c>
      <c r="K120">
        <f>fQc*COS(2*PI()*$I120/qbo+$L120)+fQs*SIN(2*PI()*$I120/qbo+$L120)+fCs*SIN(2*PI()*$I120/cw)+fCc*COS(2*PI()*$I120/cw)</f>
        <v>-9.929540685237942E-2</v>
      </c>
      <c r="L120">
        <f>+QMA*COS(2*PI()*$I120/QM+QMP)</f>
        <v>-0.28298740603737554</v>
      </c>
      <c r="P120">
        <f t="shared" si="9"/>
        <v>1</v>
      </c>
    </row>
    <row r="121" spans="1:16" x14ac:dyDescent="0.25">
      <c r="A121" s="1"/>
      <c r="B121" t="s">
        <v>134</v>
      </c>
      <c r="C121" t="s">
        <v>24</v>
      </c>
      <c r="D121" s="3">
        <v>4.625</v>
      </c>
      <c r="E121" s="5">
        <f t="shared" si="5"/>
        <v>1760</v>
      </c>
      <c r="F121">
        <v>5.3440000000000001E-2</v>
      </c>
      <c r="G121">
        <f t="shared" si="6"/>
        <v>-0.51621000000000006</v>
      </c>
      <c r="H121">
        <f t="shared" si="7"/>
        <v>-0.51621000000000006</v>
      </c>
      <c r="I121" s="5">
        <f t="shared" si="8"/>
        <v>108</v>
      </c>
      <c r="J121">
        <f>+H121+CF*F121*(1+($I121-1850)*slope/1000)+F121*hQc*COS(2*PI()*$I121/qbo+$L121)+F121*hQs*SIN(2*PI()*$I121/qbo+$L121)+F121*hCs*SIN(2*PI()*$I121/cw)+F121*hCc*COS(2*PI()*$I121/cw) +mix*F121*(hQc*COS(2*PI()*$I121/qbo+$L121)+hQs*SIN(2*PI()*$I121/qbo+$L121))*(hCs*SIN(2*PI()*$I121/cw)+hCc*COS(2*PI()*$I121/cw))</f>
        <v>0.19554136621147189</v>
      </c>
      <c r="K121">
        <f>fQc*COS(2*PI()*$I121/qbo+$L121)+fQs*SIN(2*PI()*$I121/qbo+$L121)+fCs*SIN(2*PI()*$I121/cw)+fCc*COS(2*PI()*$I121/cw)</f>
        <v>-0.59025713586517903</v>
      </c>
      <c r="L121">
        <f>+QMA*COS(2*PI()*$I121/QM+QMP)</f>
        <v>-0.4429959942276987</v>
      </c>
      <c r="P121">
        <f t="shared" si="9"/>
        <v>0</v>
      </c>
    </row>
    <row r="122" spans="1:16" x14ac:dyDescent="0.25">
      <c r="A122" s="1"/>
      <c r="B122" t="s">
        <v>135</v>
      </c>
      <c r="C122" t="s">
        <v>24</v>
      </c>
      <c r="D122" s="3">
        <v>4.666666666666667</v>
      </c>
      <c r="E122" s="5">
        <f t="shared" si="5"/>
        <v>1761</v>
      </c>
      <c r="F122">
        <v>-0.83013000000000003</v>
      </c>
      <c r="G122">
        <f t="shared" si="6"/>
        <v>2.25312</v>
      </c>
      <c r="H122">
        <f t="shared" si="7"/>
        <v>2.25312</v>
      </c>
      <c r="I122" s="5">
        <f t="shared" si="8"/>
        <v>109</v>
      </c>
      <c r="J122">
        <f>+H122+CF*F122*(1+($I122-1850)*slope/1000)+F122*hQc*COS(2*PI()*$I122/qbo+$L122)+F122*hQs*SIN(2*PI()*$I122/qbo+$L122)+F122*hCs*SIN(2*PI()*$I122/cw)+F122*hCc*COS(2*PI()*$I122/cw) +mix*F122*(hQc*COS(2*PI()*$I122/qbo+$L122)+hQs*SIN(2*PI()*$I122/qbo+$L122))*(hCs*SIN(2*PI()*$I122/cw)+hCc*COS(2*PI()*$I122/cw))</f>
        <v>-10.575225662279649</v>
      </c>
      <c r="K122">
        <f>fQc*COS(2*PI()*$I122/qbo+$L122)+fQs*SIN(2*PI()*$I122/qbo+$L122)+fCs*SIN(2*PI()*$I122/cw)+fCc*COS(2*PI()*$I122/cw)</f>
        <v>-0.65891837486501637</v>
      </c>
      <c r="L122">
        <f>+QMA*COS(2*PI()*$I122/QM+QMP)</f>
        <v>-0.59544170853306522</v>
      </c>
      <c r="P122">
        <f t="shared" si="9"/>
        <v>1</v>
      </c>
    </row>
    <row r="123" spans="1:16" x14ac:dyDescent="0.25">
      <c r="A123" s="1"/>
      <c r="B123" t="s">
        <v>136</v>
      </c>
      <c r="C123" t="s">
        <v>24</v>
      </c>
      <c r="D123" s="3">
        <v>4.708333333333333</v>
      </c>
      <c r="E123" s="5">
        <f t="shared" si="5"/>
        <v>1762</v>
      </c>
      <c r="F123">
        <v>0.53942000000000001</v>
      </c>
      <c r="G123">
        <f t="shared" si="6"/>
        <v>-2.6812800000000001</v>
      </c>
      <c r="H123">
        <f t="shared" si="7"/>
        <v>-2.6812800000000001</v>
      </c>
      <c r="I123" s="5">
        <f t="shared" si="8"/>
        <v>110</v>
      </c>
      <c r="J123">
        <f>+H123+CF*F123*(1+($I123-1850)*slope/1000)+F123*hQc*COS(2*PI()*$I123/qbo+$L123)+F123*hQs*SIN(2*PI()*$I123/qbo+$L123)+F123*hCs*SIN(2*PI()*$I123/cw)+F123*hCc*COS(2*PI()*$I123/cw) +mix*F123*(hQc*COS(2*PI()*$I123/qbo+$L123)+hQs*SIN(2*PI()*$I123/qbo+$L123))*(hCs*SIN(2*PI()*$I123/cw)+hCc*COS(2*PI()*$I123/cw))</f>
        <v>7.7708739061991352</v>
      </c>
      <c r="K123">
        <f>fQc*COS(2*PI()*$I123/qbo+$L123)+fQs*SIN(2*PI()*$I123/qbo+$L123)+fCs*SIN(2*PI()*$I123/cw)+fCc*COS(2*PI()*$I123/cw)</f>
        <v>0.88490117030110638</v>
      </c>
      <c r="L123">
        <f>+QMA*COS(2*PI()*$I123/QM+QMP)</f>
        <v>-0.73772197979569987</v>
      </c>
      <c r="P123">
        <f t="shared" si="9"/>
        <v>1</v>
      </c>
    </row>
    <row r="124" spans="1:16" x14ac:dyDescent="0.25">
      <c r="A124" s="1"/>
      <c r="B124" t="s">
        <v>137</v>
      </c>
      <c r="C124" t="s">
        <v>24</v>
      </c>
      <c r="D124" s="3">
        <v>4.75</v>
      </c>
      <c r="E124" s="5">
        <f t="shared" si="5"/>
        <v>1763</v>
      </c>
      <c r="F124">
        <v>-0.77231000000000005</v>
      </c>
      <c r="G124">
        <f t="shared" si="6"/>
        <v>2.0208200000000001</v>
      </c>
      <c r="H124">
        <f t="shared" si="7"/>
        <v>2.0208200000000001</v>
      </c>
      <c r="I124" s="5">
        <f t="shared" si="8"/>
        <v>111</v>
      </c>
      <c r="J124">
        <f>+H124+CF*F124*(1+($I124-1850)*slope/1000)+F124*hQc*COS(2*PI()*$I124/qbo+$L124)+F124*hQs*SIN(2*PI()*$I124/qbo+$L124)+F124*hCs*SIN(2*PI()*$I124/cw)+F124*hCc*COS(2*PI()*$I124/cw) +mix*F124*(hQc*COS(2*PI()*$I124/qbo+$L124)+hQs*SIN(2*PI()*$I124/qbo+$L124))*(hCs*SIN(2*PI()*$I124/cw)+hCc*COS(2*PI()*$I124/cw))</f>
        <v>-0.34832226754387641</v>
      </c>
      <c r="K124">
        <f>fQc*COS(2*PI()*$I124/qbo+$L124)+fQs*SIN(2*PI()*$I124/qbo+$L124)+fCs*SIN(2*PI()*$I124/cw)+fCc*COS(2*PI()*$I124/cw)</f>
        <v>-0.24328830528584378</v>
      </c>
      <c r="L124">
        <f>+QMA*COS(2*PI()*$I124/QM+QMP)</f>
        <v>-0.86740778436324906</v>
      </c>
      <c r="P124">
        <f t="shared" si="9"/>
        <v>1</v>
      </c>
    </row>
    <row r="125" spans="1:16" x14ac:dyDescent="0.25">
      <c r="A125" s="1"/>
      <c r="B125" t="s">
        <v>138</v>
      </c>
      <c r="C125" t="s">
        <v>24</v>
      </c>
      <c r="D125" s="3">
        <v>4.791666666666667</v>
      </c>
      <c r="E125" s="5">
        <f t="shared" si="5"/>
        <v>1764</v>
      </c>
      <c r="F125">
        <v>-6.3219999999999998E-2</v>
      </c>
      <c r="G125">
        <f t="shared" si="6"/>
        <v>-0.91364000000000001</v>
      </c>
      <c r="H125">
        <f t="shared" si="7"/>
        <v>-0.91364000000000001</v>
      </c>
      <c r="I125" s="5">
        <f t="shared" si="8"/>
        <v>112</v>
      </c>
      <c r="J125">
        <f>+H125+CF*F125*(1+($I125-1850)*slope/1000)+F125*hQc*COS(2*PI()*$I125/qbo+$L125)+F125*hQs*SIN(2*PI()*$I125/qbo+$L125)+F125*hCs*SIN(2*PI()*$I125/cw)+F125*hCc*COS(2*PI()*$I125/cw) +mix*F125*(hQc*COS(2*PI()*$I125/qbo+$L125)+hQs*SIN(2*PI()*$I125/qbo+$L125))*(hCs*SIN(2*PI()*$I125/cw)+hCc*COS(2*PI()*$I125/cw))</f>
        <v>-2.619603070260399</v>
      </c>
      <c r="K125">
        <f>fQc*COS(2*PI()*$I125/qbo+$L125)+fQs*SIN(2*PI()*$I125/qbo+$L125)+fCs*SIN(2*PI()*$I125/cw)+fCc*COS(2*PI()*$I125/cw)</f>
        <v>1.1459433778496861</v>
      </c>
      <c r="L125">
        <f>+QMA*COS(2*PI()*$I125/QM+QMP)</f>
        <v>-0.98228511263428431</v>
      </c>
      <c r="P125">
        <f t="shared" si="9"/>
        <v>0</v>
      </c>
    </row>
    <row r="126" spans="1:16" x14ac:dyDescent="0.25">
      <c r="A126" s="1"/>
      <c r="B126" t="s">
        <v>139</v>
      </c>
      <c r="C126" t="s">
        <v>24</v>
      </c>
      <c r="D126" s="3">
        <v>4.833333333333333</v>
      </c>
      <c r="E126" s="5">
        <f t="shared" si="5"/>
        <v>1765</v>
      </c>
      <c r="F126">
        <v>-0.26777000000000001</v>
      </c>
      <c r="G126">
        <f t="shared" si="6"/>
        <v>1.14693</v>
      </c>
      <c r="H126">
        <f t="shared" si="7"/>
        <v>1.14693</v>
      </c>
      <c r="I126" s="5">
        <f t="shared" si="8"/>
        <v>113</v>
      </c>
      <c r="J126">
        <f>+H126+CF*F126*(1+($I126-1850)*slope/1000)+F126*hQc*COS(2*PI()*$I126/qbo+$L126)+F126*hQs*SIN(2*PI()*$I126/qbo+$L126)+F126*hCs*SIN(2*PI()*$I126/cw)+F126*hCc*COS(2*PI()*$I126/cw) +mix*F126*(hQc*COS(2*PI()*$I126/qbo+$L126)+hQs*SIN(2*PI()*$I126/qbo+$L126))*(hCs*SIN(2*PI()*$I126/cw)+hCc*COS(2*PI()*$I126/cw))</f>
        <v>-2.2869622192017331</v>
      </c>
      <c r="K126">
        <f>fQc*COS(2*PI()*$I126/qbo+$L126)+fQs*SIN(2*PI()*$I126/qbo+$L126)+fCs*SIN(2*PI()*$I126/cw)+fCc*COS(2*PI()*$I126/cw)</f>
        <v>0.22875600017947217</v>
      </c>
      <c r="L126">
        <f>+QMA*COS(2*PI()*$I126/QM+QMP)</f>
        <v>-1.0803927668614803</v>
      </c>
      <c r="P126">
        <f t="shared" si="9"/>
        <v>0</v>
      </c>
    </row>
    <row r="127" spans="1:16" x14ac:dyDescent="0.25">
      <c r="A127" s="1"/>
      <c r="B127" t="s">
        <v>140</v>
      </c>
      <c r="C127" t="s">
        <v>24</v>
      </c>
      <c r="D127" s="3">
        <v>4.875</v>
      </c>
      <c r="E127" s="5">
        <f t="shared" si="5"/>
        <v>1766</v>
      </c>
      <c r="F127">
        <v>0.67461000000000004</v>
      </c>
      <c r="G127">
        <f t="shared" si="6"/>
        <v>-1.22204</v>
      </c>
      <c r="H127">
        <f t="shared" si="7"/>
        <v>-1.22204</v>
      </c>
      <c r="I127" s="5">
        <f t="shared" si="8"/>
        <v>114</v>
      </c>
      <c r="J127">
        <f>+H127+CF*F127*(1+($I127-1850)*slope/1000)+F127*hQc*COS(2*PI()*$I127/qbo+$L127)+F127*hQs*SIN(2*PI()*$I127/qbo+$L127)+F127*hCs*SIN(2*PI()*$I127/cw)+F127*hCc*COS(2*PI()*$I127/cw) +mix*F127*(hQc*COS(2*PI()*$I127/qbo+$L127)+hQs*SIN(2*PI()*$I127/qbo+$L127))*(hCs*SIN(2*PI()*$I127/cw)+hCc*COS(2*PI()*$I127/cw))</f>
        <v>8.2008569211465652</v>
      </c>
      <c r="K127">
        <f>fQc*COS(2*PI()*$I127/qbo+$L127)+fQs*SIN(2*PI()*$I127/qbo+$L127)+fCs*SIN(2*PI()*$I127/cw)+fCc*COS(2*PI()*$I127/cw)</f>
        <v>-0.24154173532379813</v>
      </c>
      <c r="L127">
        <f>+QMA*COS(2*PI()*$I127/QM+QMP)</f>
        <v>-1.160055842924397</v>
      </c>
      <c r="P127">
        <f t="shared" si="9"/>
        <v>0</v>
      </c>
    </row>
    <row r="128" spans="1:16" x14ac:dyDescent="0.25">
      <c r="A128" s="1"/>
      <c r="B128" t="s">
        <v>141</v>
      </c>
      <c r="C128" t="s">
        <v>24</v>
      </c>
      <c r="D128" s="3">
        <v>4.916666666666667</v>
      </c>
      <c r="E128" s="5">
        <f t="shared" si="5"/>
        <v>1767</v>
      </c>
      <c r="F128">
        <v>0.39495000000000002</v>
      </c>
      <c r="G128">
        <f t="shared" si="6"/>
        <v>-0.18498999999999999</v>
      </c>
      <c r="H128">
        <f t="shared" si="7"/>
        <v>-0.18498999999999999</v>
      </c>
      <c r="I128" s="5">
        <f t="shared" si="8"/>
        <v>115</v>
      </c>
      <c r="J128">
        <f>+H128+CF*F128*(1+($I128-1850)*slope/1000)+F128*hQc*COS(2*PI()*$I128/qbo+$L128)+F128*hQs*SIN(2*PI()*$I128/qbo+$L128)+F128*hCs*SIN(2*PI()*$I128/cw)+F128*hCc*COS(2*PI()*$I128/cw) +mix*F128*(hQc*COS(2*PI()*$I128/qbo+$L128)+hQs*SIN(2*PI()*$I128/qbo+$L128))*(hCs*SIN(2*PI()*$I128/cw)+hCc*COS(2*PI()*$I128/cw))</f>
        <v>0.67662651335049384</v>
      </c>
      <c r="K128">
        <f>fQc*COS(2*PI()*$I128/qbo+$L128)+fQs*SIN(2*PI()*$I128/qbo+$L128)+fCs*SIN(2*PI()*$I128/cw)+fCc*COS(2*PI()*$I128/cw)</f>
        <v>0.18664549092209531</v>
      </c>
      <c r="L128">
        <f>+QMA*COS(2*PI()*$I128/QM+QMP)</f>
        <v>-1.2199143244675792</v>
      </c>
      <c r="P128">
        <f t="shared" si="9"/>
        <v>1</v>
      </c>
    </row>
    <row r="129" spans="1:16" x14ac:dyDescent="0.25">
      <c r="A129" s="1"/>
      <c r="B129" t="s">
        <v>142</v>
      </c>
      <c r="C129" t="s">
        <v>24</v>
      </c>
      <c r="D129" s="3">
        <v>4.958333333333333</v>
      </c>
      <c r="E129" s="5">
        <f t="shared" si="5"/>
        <v>1768</v>
      </c>
      <c r="F129">
        <v>-6.9699999999999998E-2</v>
      </c>
      <c r="G129">
        <f t="shared" si="6"/>
        <v>0.86162000000000005</v>
      </c>
      <c r="H129">
        <f t="shared" si="7"/>
        <v>0.86162000000000005</v>
      </c>
      <c r="I129" s="5">
        <f t="shared" si="8"/>
        <v>116</v>
      </c>
      <c r="J129">
        <f>+H129+CF*F129*(1+($I129-1850)*slope/1000)+F129*hQc*COS(2*PI()*$I129/qbo+$L129)+F129*hQs*SIN(2*PI()*$I129/qbo+$L129)+F129*hCs*SIN(2*PI()*$I129/cw)+F129*hCc*COS(2*PI()*$I129/cw) +mix*F129*(hQc*COS(2*PI()*$I129/qbo+$L129)+hQs*SIN(2*PI()*$I129/qbo+$L129))*(hCs*SIN(2*PI()*$I129/cw)+hCc*COS(2*PI()*$I129/cw))</f>
        <v>-1.0411339918406681</v>
      </c>
      <c r="K129">
        <f>fQc*COS(2*PI()*$I129/qbo+$L129)+fQs*SIN(2*PI()*$I129/qbo+$L129)+fCs*SIN(2*PI()*$I129/cw)+fCc*COS(2*PI()*$I129/cw)</f>
        <v>-1.3516001919324849</v>
      </c>
      <c r="L129">
        <f>+QMA*COS(2*PI()*$I129/QM+QMP)</f>
        <v>-1.2589463012418234</v>
      </c>
      <c r="P129">
        <f t="shared" si="9"/>
        <v>1</v>
      </c>
    </row>
    <row r="130" spans="1:16" x14ac:dyDescent="0.25">
      <c r="A130" s="1"/>
      <c r="B130" t="s">
        <v>143</v>
      </c>
      <c r="C130" t="s">
        <v>24</v>
      </c>
      <c r="D130" s="3">
        <v>5</v>
      </c>
      <c r="E130" s="5">
        <f t="shared" si="5"/>
        <v>1769</v>
      </c>
      <c r="F130">
        <v>0.32727000000000001</v>
      </c>
      <c r="G130">
        <f t="shared" si="6"/>
        <v>0.12131999999999993</v>
      </c>
      <c r="H130">
        <f t="shared" si="7"/>
        <v>0.12131999999999993</v>
      </c>
      <c r="I130" s="5">
        <f t="shared" si="8"/>
        <v>117</v>
      </c>
      <c r="J130">
        <f>+H130+CF*F130*(1+($I130-1850)*slope/1000)+F130*hQc*COS(2*PI()*$I130/qbo+$L130)+F130*hQs*SIN(2*PI()*$I130/qbo+$L130)+F130*hCs*SIN(2*PI()*$I130/cw)+F130*hCc*COS(2*PI()*$I130/cw) +mix*F130*(hQc*COS(2*PI()*$I130/qbo+$L130)+hQs*SIN(2*PI()*$I130/qbo+$L130))*(hCs*SIN(2*PI()*$I130/cw)+hCc*COS(2*PI()*$I130/cw))</f>
        <v>-0.58999971274767393</v>
      </c>
      <c r="K130">
        <f>fQc*COS(2*PI()*$I130/qbo+$L130)+fQs*SIN(2*PI()*$I130/qbo+$L130)+fCs*SIN(2*PI()*$I130/cw)+fCc*COS(2*PI()*$I130/cw)</f>
        <v>0.22627894877969462</v>
      </c>
      <c r="L130">
        <f>+QMA*COS(2*PI()*$I130/QM+QMP)</f>
        <v>-1.276485415262701</v>
      </c>
      <c r="P130">
        <f t="shared" si="9"/>
        <v>0</v>
      </c>
    </row>
    <row r="131" spans="1:16" x14ac:dyDescent="0.25">
      <c r="A131" s="1"/>
      <c r="B131" t="s">
        <v>144</v>
      </c>
      <c r="C131" t="s">
        <v>24</v>
      </c>
      <c r="D131" s="3">
        <v>5.041666666666667</v>
      </c>
      <c r="E131" s="5">
        <f t="shared" si="5"/>
        <v>1770</v>
      </c>
      <c r="F131">
        <v>0.84555999999999998</v>
      </c>
      <c r="G131">
        <f t="shared" si="6"/>
        <v>-0.67840999999999985</v>
      </c>
      <c r="H131">
        <f t="shared" si="7"/>
        <v>-0.67840999999999985</v>
      </c>
      <c r="I131" s="5">
        <f t="shared" si="8"/>
        <v>118</v>
      </c>
      <c r="J131">
        <f>+H131+CF*F131*(1+($I131-1850)*slope/1000)+F131*hQc*COS(2*PI()*$I131/qbo+$L131)+F131*hQs*SIN(2*PI()*$I131/qbo+$L131)+F131*hCs*SIN(2*PI()*$I131/cw)+F131*hCc*COS(2*PI()*$I131/cw) +mix*F131*(hQc*COS(2*PI()*$I131/qbo+$L131)+hQs*SIN(2*PI()*$I131/qbo+$L131))*(hCs*SIN(2*PI()*$I131/cw)+hCc*COS(2*PI()*$I131/cw))</f>
        <v>13.082745092518563</v>
      </c>
      <c r="K131">
        <f>fQc*COS(2*PI()*$I131/qbo+$L131)+fQs*SIN(2*PI()*$I131/qbo+$L131)+fCs*SIN(2*PI()*$I131/cw)+fCc*COS(2*PI()*$I131/cw)</f>
        <v>-0.75331139552674375</v>
      </c>
      <c r="L131">
        <f>+QMA*COS(2*PI()*$I131/QM+QMP)</f>
        <v>-1.2722322369436645</v>
      </c>
      <c r="P131">
        <f t="shared" si="9"/>
        <v>0</v>
      </c>
    </row>
    <row r="132" spans="1:16" x14ac:dyDescent="0.25">
      <c r="A132" s="1"/>
      <c r="B132" t="s">
        <v>145</v>
      </c>
      <c r="C132" t="s">
        <v>24</v>
      </c>
      <c r="D132" s="3">
        <v>5.083333333333333</v>
      </c>
      <c r="E132" s="5">
        <f t="shared" si="5"/>
        <v>1771</v>
      </c>
      <c r="F132">
        <v>0.68544000000000005</v>
      </c>
      <c r="G132">
        <f t="shared" si="6"/>
        <v>-1.19834</v>
      </c>
      <c r="H132">
        <f t="shared" si="7"/>
        <v>-1.19834</v>
      </c>
      <c r="I132" s="5">
        <f t="shared" si="8"/>
        <v>119</v>
      </c>
      <c r="J132">
        <f>+H132+CF*F132*(1+($I132-1850)*slope/1000)+F132*hQc*COS(2*PI()*$I132/qbo+$L132)+F132*hQs*SIN(2*PI()*$I132/qbo+$L132)+F132*hCs*SIN(2*PI()*$I132/cw)+F132*hCc*COS(2*PI()*$I132/cw) +mix*F132*(hQc*COS(2*PI()*$I132/qbo+$L132)+hQs*SIN(2*PI()*$I132/qbo+$L132))*(hCs*SIN(2*PI()*$I132/cw)+hCc*COS(2*PI()*$I132/cw))</f>
        <v>11.233604592955572</v>
      </c>
      <c r="K132">
        <f>fQc*COS(2*PI()*$I132/qbo+$L132)+fQs*SIN(2*PI()*$I132/qbo+$L132)+fCs*SIN(2*PI()*$I132/cw)+fCc*COS(2*PI()*$I132/cw)</f>
        <v>0.53531705583896316</v>
      </c>
      <c r="L132">
        <f>+QMA*COS(2*PI()*$I132/QM+QMP)</f>
        <v>-1.2462593769892261</v>
      </c>
      <c r="P132">
        <f t="shared" si="9"/>
        <v>1</v>
      </c>
    </row>
    <row r="133" spans="1:16" x14ac:dyDescent="0.25">
      <c r="A133" s="1"/>
      <c r="B133" t="s">
        <v>146</v>
      </c>
      <c r="C133" t="s">
        <v>24</v>
      </c>
      <c r="D133" s="3">
        <v>5.125</v>
      </c>
      <c r="E133" s="5">
        <f t="shared" si="5"/>
        <v>1772</v>
      </c>
      <c r="F133">
        <v>-0.67301999999999995</v>
      </c>
      <c r="G133">
        <f t="shared" si="6"/>
        <v>0.61890999999999985</v>
      </c>
      <c r="H133">
        <f t="shared" si="7"/>
        <v>0.61890999999999985</v>
      </c>
      <c r="I133" s="5">
        <f t="shared" si="8"/>
        <v>120</v>
      </c>
      <c r="J133">
        <f>+H133+CF*F133*(1+($I133-1850)*slope/1000)+F133*hQc*COS(2*PI()*$I133/qbo+$L133)+F133*hQs*SIN(2*PI()*$I133/qbo+$L133)+F133*hCs*SIN(2*PI()*$I133/cw)+F133*hCc*COS(2*PI()*$I133/cw) +mix*F133*(hQc*COS(2*PI()*$I133/qbo+$L133)+hQs*SIN(2*PI()*$I133/qbo+$L133))*(hCs*SIN(2*PI()*$I133/cw)+hCc*COS(2*PI()*$I133/cw))</f>
        <v>-9.6675609086001124</v>
      </c>
      <c r="K133">
        <f>fQc*COS(2*PI()*$I133/qbo+$L133)+fQs*SIN(2*PI()*$I133/qbo+$L133)+fCs*SIN(2*PI()*$I133/cw)+fCc*COS(2*PI()*$I133/cw)</f>
        <v>0.56445828654953734</v>
      </c>
      <c r="L133">
        <f>+QMA*COS(2*PI()*$I133/QM+QMP)</f>
        <v>-1.1990102467774257</v>
      </c>
      <c r="P133">
        <f t="shared" si="9"/>
        <v>0</v>
      </c>
    </row>
    <row r="134" spans="1:16" x14ac:dyDescent="0.25">
      <c r="A134" s="1"/>
      <c r="B134" t="s">
        <v>147</v>
      </c>
      <c r="C134" t="s">
        <v>24</v>
      </c>
      <c r="D134" s="3">
        <v>5.166666666666667</v>
      </c>
      <c r="E134" s="5">
        <f t="shared" si="5"/>
        <v>1773</v>
      </c>
      <c r="F134">
        <v>-1.4125700000000001</v>
      </c>
      <c r="G134">
        <f t="shared" si="6"/>
        <v>1.9438000000000002</v>
      </c>
      <c r="H134">
        <f t="shared" si="7"/>
        <v>1.9438000000000002</v>
      </c>
      <c r="I134" s="5">
        <f t="shared" si="8"/>
        <v>121</v>
      </c>
      <c r="J134">
        <f>+H134+CF*F134*(1+($I134-1850)*slope/1000)+F134*hQc*COS(2*PI()*$I134/qbo+$L134)+F134*hQs*SIN(2*PI()*$I134/qbo+$L134)+F134*hCs*SIN(2*PI()*$I134/cw)+F134*hCc*COS(2*PI()*$I134/cw) +mix*F134*(hQc*COS(2*PI()*$I134/qbo+$L134)+hQs*SIN(2*PI()*$I134/qbo+$L134))*(hCs*SIN(2*PI()*$I134/cw)+hCc*COS(2*PI()*$I134/cw))</f>
        <v>-14.552410354657217</v>
      </c>
      <c r="K134">
        <f>fQc*COS(2*PI()*$I134/qbo+$L134)+fQs*SIN(2*PI()*$I134/qbo+$L134)+fCs*SIN(2*PI()*$I134/cw)+fCc*COS(2*PI()*$I134/cw)</f>
        <v>0.26910952423128376</v>
      </c>
      <c r="L134">
        <f>+QMA*COS(2*PI()*$I134/QM+QMP)</f>
        <v>-1.1312914883944742</v>
      </c>
      <c r="P134">
        <f t="shared" si="9"/>
        <v>0</v>
      </c>
    </row>
    <row r="135" spans="1:16" x14ac:dyDescent="0.25">
      <c r="A135" s="1"/>
      <c r="B135" t="s">
        <v>148</v>
      </c>
      <c r="C135" t="s">
        <v>24</v>
      </c>
      <c r="D135" s="3">
        <v>5.208333333333333</v>
      </c>
      <c r="E135" s="5">
        <f t="shared" si="5"/>
        <v>1774</v>
      </c>
      <c r="F135">
        <v>-0.20832000000000001</v>
      </c>
      <c r="G135">
        <f t="shared" si="6"/>
        <v>-1.0641700000000001</v>
      </c>
      <c r="H135">
        <f t="shared" si="7"/>
        <v>-1.0641700000000001</v>
      </c>
      <c r="I135" s="5">
        <f t="shared" si="8"/>
        <v>122</v>
      </c>
      <c r="J135">
        <f>+H135+CF*F135*(1+($I135-1850)*slope/1000)+F135*hQc*COS(2*PI()*$I135/qbo+$L135)+F135*hQs*SIN(2*PI()*$I135/qbo+$L135)+F135*hCs*SIN(2*PI()*$I135/cw)+F135*hCc*COS(2*PI()*$I135/cw) +mix*F135*(hQc*COS(2*PI()*$I135/qbo+$L135)+hQs*SIN(2*PI()*$I135/qbo+$L135))*(hCs*SIN(2*PI()*$I135/cw)+hCc*COS(2*PI()*$I135/cw))</f>
        <v>-4.9215882355674685</v>
      </c>
      <c r="K135">
        <f>fQc*COS(2*PI()*$I135/qbo+$L135)+fQs*SIN(2*PI()*$I135/qbo+$L135)+fCs*SIN(2*PI()*$I135/cw)+fCc*COS(2*PI()*$I135/cw)</f>
        <v>0.89927030703149224</v>
      </c>
      <c r="L135">
        <f>+QMA*COS(2*PI()*$I135/QM+QMP)</f>
        <v>-1.0442592035567935</v>
      </c>
      <c r="P135">
        <f t="shared" si="9"/>
        <v>0</v>
      </c>
    </row>
    <row r="136" spans="1:16" x14ac:dyDescent="0.25">
      <c r="A136" s="1"/>
      <c r="B136" t="s">
        <v>149</v>
      </c>
      <c r="C136" t="s">
        <v>24</v>
      </c>
      <c r="D136" s="3">
        <v>5.25</v>
      </c>
      <c r="E136" s="5">
        <f t="shared" si="5"/>
        <v>1775</v>
      </c>
      <c r="F136">
        <v>-6.8239999999999995E-2</v>
      </c>
      <c r="G136">
        <f t="shared" si="6"/>
        <v>-0.52205999999999997</v>
      </c>
      <c r="H136">
        <f t="shared" si="7"/>
        <v>-0.52205999999999997</v>
      </c>
      <c r="I136" s="5">
        <f t="shared" si="8"/>
        <v>123</v>
      </c>
      <c r="J136">
        <f>+H136+CF*F136*(1+($I136-1850)*slope/1000)+F136*hQc*COS(2*PI()*$I136/qbo+$L136)+F136*hQs*SIN(2*PI()*$I136/qbo+$L136)+F136*hCs*SIN(2*PI()*$I136/cw)+F136*hCc*COS(2*PI()*$I136/cw) +mix*F136*(hQc*COS(2*PI()*$I136/qbo+$L136)+hQs*SIN(2*PI()*$I136/qbo+$L136))*(hCs*SIN(2*PI()*$I136/cw)+hCc*COS(2*PI()*$I136/cw))</f>
        <v>-1.7117326569482587</v>
      </c>
      <c r="K136">
        <f>fQc*COS(2*PI()*$I136/qbo+$L136)+fQs*SIN(2*PI()*$I136/qbo+$L136)+fCs*SIN(2*PI()*$I136/cw)+fCc*COS(2*PI()*$I136/cw)</f>
        <v>-0.77308267990014623</v>
      </c>
      <c r="L136">
        <f>+QMA*COS(2*PI()*$I136/QM+QMP)</f>
        <v>-0.93939921652177172</v>
      </c>
      <c r="P136">
        <f t="shared" si="9"/>
        <v>1</v>
      </c>
    </row>
    <row r="137" spans="1:16" x14ac:dyDescent="0.25">
      <c r="A137" s="1"/>
      <c r="B137" t="s">
        <v>150</v>
      </c>
      <c r="C137" t="s">
        <v>24</v>
      </c>
      <c r="D137" s="3">
        <v>5.291666666666667</v>
      </c>
      <c r="E137" s="5">
        <f t="shared" si="5"/>
        <v>1776</v>
      </c>
      <c r="F137">
        <v>-0.45022000000000001</v>
      </c>
      <c r="G137">
        <f t="shared" si="6"/>
        <v>0.28513000000000005</v>
      </c>
      <c r="H137">
        <f t="shared" si="7"/>
        <v>0.28513000000000005</v>
      </c>
      <c r="I137" s="5">
        <f t="shared" si="8"/>
        <v>124</v>
      </c>
      <c r="J137">
        <f>+H137+CF*F137*(1+($I137-1850)*slope/1000)+F137*hQc*COS(2*PI()*$I137/qbo+$L137)+F137*hQs*SIN(2*PI()*$I137/qbo+$L137)+F137*hCs*SIN(2*PI()*$I137/cw)+F137*hCc*COS(2*PI()*$I137/cw) +mix*F137*(hQc*COS(2*PI()*$I137/qbo+$L137)+hQs*SIN(2*PI()*$I137/qbo+$L137))*(hCs*SIN(2*PI()*$I137/cw)+hCc*COS(2*PI()*$I137/cw))</f>
        <v>1.7228228676390929</v>
      </c>
      <c r="K137">
        <f>fQc*COS(2*PI()*$I137/qbo+$L137)+fQs*SIN(2*PI()*$I137/qbo+$L137)+fCs*SIN(2*PI()*$I137/cw)+fCc*COS(2*PI()*$I137/cw)</f>
        <v>0.32617555425869649</v>
      </c>
      <c r="L137">
        <f>+QMA*COS(2*PI()*$I137/QM+QMP)</f>
        <v>-0.81850170794082944</v>
      </c>
      <c r="P137">
        <f t="shared" si="9"/>
        <v>1</v>
      </c>
    </row>
    <row r="138" spans="1:16" x14ac:dyDescent="0.25">
      <c r="A138" s="1"/>
      <c r="B138" t="s">
        <v>151</v>
      </c>
      <c r="C138" t="s">
        <v>24</v>
      </c>
      <c r="D138" s="3">
        <v>5.333333333333333</v>
      </c>
      <c r="E138" s="5">
        <f t="shared" si="5"/>
        <v>1777</v>
      </c>
      <c r="F138">
        <v>-0.54706999999999995</v>
      </c>
      <c r="G138">
        <f t="shared" si="6"/>
        <v>-0.23581000000000013</v>
      </c>
      <c r="H138">
        <f t="shared" si="7"/>
        <v>-0.23581000000000013</v>
      </c>
      <c r="I138" s="5">
        <f t="shared" si="8"/>
        <v>125</v>
      </c>
      <c r="J138">
        <f>+H138+CF*F138*(1+($I138-1850)*slope/1000)+F138*hQc*COS(2*PI()*$I138/qbo+$L138)+F138*hQs*SIN(2*PI()*$I138/qbo+$L138)+F138*hCs*SIN(2*PI()*$I138/cw)+F138*hCc*COS(2*PI()*$I138/cw) +mix*F138*(hQc*COS(2*PI()*$I138/qbo+$L138)+hQs*SIN(2*PI()*$I138/qbo+$L138))*(hCs*SIN(2*PI()*$I138/cw)+hCc*COS(2*PI()*$I138/cw))</f>
        <v>-15.368640677613341</v>
      </c>
      <c r="K138">
        <f>fQc*COS(2*PI()*$I138/qbo+$L138)+fQs*SIN(2*PI()*$I138/qbo+$L138)+fCs*SIN(2*PI()*$I138/cw)+fCc*COS(2*PI()*$I138/cw)</f>
        <v>-1.346738857976197</v>
      </c>
      <c r="L138">
        <f>+QMA*COS(2*PI()*$I138/QM+QMP)</f>
        <v>-0.68363065270836154</v>
      </c>
      <c r="P138">
        <f t="shared" si="9"/>
        <v>1</v>
      </c>
    </row>
    <row r="139" spans="1:16" x14ac:dyDescent="0.25">
      <c r="A139" s="1"/>
      <c r="B139" t="s">
        <v>152</v>
      </c>
      <c r="C139" t="s">
        <v>24</v>
      </c>
      <c r="D139" s="3">
        <v>5.375</v>
      </c>
      <c r="E139" s="5">
        <f t="shared" si="5"/>
        <v>1778</v>
      </c>
      <c r="F139">
        <v>-0.87973000000000001</v>
      </c>
      <c r="G139">
        <f t="shared" si="6"/>
        <v>0.59026000000000012</v>
      </c>
      <c r="H139">
        <f t="shared" si="7"/>
        <v>0.59026000000000012</v>
      </c>
      <c r="I139" s="5">
        <f t="shared" si="8"/>
        <v>126</v>
      </c>
      <c r="J139">
        <f>+H139+CF*F139*(1+($I139-1850)*slope/1000)+F139*hQc*COS(2*PI()*$I139/qbo+$L139)+F139*hQs*SIN(2*PI()*$I139/qbo+$L139)+F139*hCs*SIN(2*PI()*$I139/cw)+F139*hCc*COS(2*PI()*$I139/cw) +mix*F139*(hQc*COS(2*PI()*$I139/qbo+$L139)+hQs*SIN(2*PI()*$I139/qbo+$L139))*(hCs*SIN(2*PI()*$I139/cw)+hCc*COS(2*PI()*$I139/cw))</f>
        <v>9.7966812032879602E-2</v>
      </c>
      <c r="K139">
        <f>fQc*COS(2*PI()*$I139/qbo+$L139)+fQs*SIN(2*PI()*$I139/qbo+$L139)+fCs*SIN(2*PI()*$I139/cw)+fCc*COS(2*PI()*$I139/cw)</f>
        <v>0.16128782117835574</v>
      </c>
      <c r="L139">
        <f>+QMA*COS(2*PI()*$I139/QM+QMP)</f>
        <v>-0.53708858356674816</v>
      </c>
      <c r="P139">
        <f t="shared" si="9"/>
        <v>1</v>
      </c>
    </row>
    <row r="140" spans="1:16" x14ac:dyDescent="0.25">
      <c r="A140" s="1"/>
      <c r="B140" t="s">
        <v>153</v>
      </c>
      <c r="C140" t="s">
        <v>24</v>
      </c>
      <c r="D140" s="3">
        <v>5.416666666666667</v>
      </c>
      <c r="E140" s="5">
        <f t="shared" si="5"/>
        <v>1779</v>
      </c>
      <c r="F140">
        <v>-0.62212999999999996</v>
      </c>
      <c r="G140">
        <f t="shared" si="6"/>
        <v>0.30409999999999993</v>
      </c>
      <c r="H140">
        <f t="shared" si="7"/>
        <v>0.30409999999999993</v>
      </c>
      <c r="I140" s="5">
        <f t="shared" si="8"/>
        <v>127</v>
      </c>
      <c r="J140">
        <f>+H140+CF*F140*(1+($I140-1850)*slope/1000)+F140*hQc*COS(2*PI()*$I140/qbo+$L140)+F140*hQs*SIN(2*PI()*$I140/qbo+$L140)+F140*hCs*SIN(2*PI()*$I140/cw)+F140*hCc*COS(2*PI()*$I140/cw) +mix*F140*(hQc*COS(2*PI()*$I140/qbo+$L140)+hQs*SIN(2*PI()*$I140/qbo+$L140))*(hCs*SIN(2*PI()*$I140/cw)+hCc*COS(2*PI()*$I140/cw))</f>
        <v>-8.9167151079697948</v>
      </c>
      <c r="K140">
        <f>fQc*COS(2*PI()*$I140/qbo+$L140)+fQs*SIN(2*PI()*$I140/qbo+$L140)+fCs*SIN(2*PI()*$I140/cw)+fCc*COS(2*PI()*$I140/cw)</f>
        <v>-0.58917101925686477</v>
      </c>
      <c r="L140">
        <f>+QMA*COS(2*PI()*$I140/QM+QMP)</f>
        <v>-0.38137728202689142</v>
      </c>
      <c r="P140">
        <f t="shared" si="9"/>
        <v>1</v>
      </c>
    </row>
    <row r="141" spans="1:16" x14ac:dyDescent="0.25">
      <c r="A141" s="1"/>
      <c r="B141" t="s">
        <v>154</v>
      </c>
      <c r="C141" t="s">
        <v>24</v>
      </c>
      <c r="D141" s="3">
        <v>5.458333333333333</v>
      </c>
      <c r="E141" s="5">
        <f t="shared" ref="E141:E204" si="10">+E140+1</f>
        <v>1780</v>
      </c>
      <c r="F141">
        <v>-6.0429999999999998E-2</v>
      </c>
      <c r="G141">
        <f t="shared" ref="G141:G204" si="11">+(F142-F141)-(F141-F140)</f>
        <v>-1.3107199999999999</v>
      </c>
      <c r="H141">
        <f t="shared" ref="H141:H204" si="12">+G141</f>
        <v>-1.3107199999999999</v>
      </c>
      <c r="I141" s="5">
        <f t="shared" si="8"/>
        <v>128</v>
      </c>
      <c r="J141">
        <f>+H141+CF*F141*(1+($I141-1850)*slope/1000)+F141*hQc*COS(2*PI()*$I141/qbo+$L141)+F141*hQs*SIN(2*PI()*$I141/qbo+$L141)+F141*hCs*SIN(2*PI()*$I141/cw)+F141*hCc*COS(2*PI()*$I141/cw) +mix*F141*(hQc*COS(2*PI()*$I141/qbo+$L141)+hQs*SIN(2*PI()*$I141/qbo+$L141))*(hCs*SIN(2*PI()*$I141/cw)+hCc*COS(2*PI()*$I141/cw))</f>
        <v>-2.4443183236579835</v>
      </c>
      <c r="K141">
        <f>fQc*COS(2*PI()*$I141/qbo+$L141)+fQs*SIN(2*PI()*$I141/qbo+$L141)+fCs*SIN(2*PI()*$I141/cw)+fCc*COS(2*PI()*$I141/cw)</f>
        <v>0.57074906118160595</v>
      </c>
      <c r="L141">
        <f>+QMA*COS(2*PI()*$I141/QM+QMP)</f>
        <v>-0.21915506769292217</v>
      </c>
      <c r="P141">
        <f t="shared" si="9"/>
        <v>0</v>
      </c>
    </row>
    <row r="142" spans="1:16" x14ac:dyDescent="0.25">
      <c r="A142" s="1"/>
      <c r="B142" t="s">
        <v>155</v>
      </c>
      <c r="C142" t="s">
        <v>24</v>
      </c>
      <c r="D142" s="3">
        <v>5.5</v>
      </c>
      <c r="E142" s="5">
        <f t="shared" si="10"/>
        <v>1781</v>
      </c>
      <c r="F142">
        <v>-0.80945</v>
      </c>
      <c r="G142">
        <f t="shared" si="11"/>
        <v>0.48418000000000005</v>
      </c>
      <c r="H142">
        <f t="shared" si="12"/>
        <v>0.48418000000000005</v>
      </c>
      <c r="I142" s="5">
        <f t="shared" ref="I142:I205" si="13">+E142-1652</f>
        <v>129</v>
      </c>
      <c r="J142">
        <f>+H142+CF*F142*(1+($I142-1850)*slope/1000)+F142*hQc*COS(2*PI()*$I142/qbo+$L142)+F142*hQs*SIN(2*PI()*$I142/qbo+$L142)+F142*hCs*SIN(2*PI()*$I142/cw)+F142*hCc*COS(2*PI()*$I142/cw) +mix*F142*(hQc*COS(2*PI()*$I142/qbo+$L142)+hQs*SIN(2*PI()*$I142/qbo+$L142))*(hCs*SIN(2*PI()*$I142/cw)+hCc*COS(2*PI()*$I142/cw))</f>
        <v>-10.933941010289013</v>
      </c>
      <c r="K142">
        <f>fQc*COS(2*PI()*$I142/qbo+$L142)+fQs*SIN(2*PI()*$I142/qbo+$L142)+fCs*SIN(2*PI()*$I142/cw)+fCc*COS(2*PI()*$I142/cw)</f>
        <v>0.52797351931386904</v>
      </c>
      <c r="L142">
        <f>+QMA*COS(2*PI()*$I142/QM+QMP)</f>
        <v>-5.3191415152269696E-2</v>
      </c>
      <c r="P142">
        <f t="shared" ref="P142:P205" si="14">+IF(J142*K142&gt;0,1, 0)</f>
        <v>0</v>
      </c>
    </row>
    <row r="143" spans="1:16" x14ac:dyDescent="0.25">
      <c r="A143" s="1"/>
      <c r="B143" t="s">
        <v>156</v>
      </c>
      <c r="C143" t="s">
        <v>24</v>
      </c>
      <c r="D143" s="3">
        <v>5.541666666666667</v>
      </c>
      <c r="E143" s="5">
        <f t="shared" si="10"/>
        <v>1782</v>
      </c>
      <c r="F143">
        <v>-1.07429</v>
      </c>
      <c r="G143">
        <f t="shared" si="11"/>
        <v>2.16337</v>
      </c>
      <c r="H143">
        <f t="shared" si="12"/>
        <v>2.16337</v>
      </c>
      <c r="I143" s="5">
        <f t="shared" si="13"/>
        <v>130</v>
      </c>
      <c r="J143">
        <f>+H143+CF*F143*(1+($I143-1850)*slope/1000)+F143*hQc*COS(2*PI()*$I143/qbo+$L143)+F143*hQs*SIN(2*PI()*$I143/qbo+$L143)+F143*hCs*SIN(2*PI()*$I143/cw)+F143*hCc*COS(2*PI()*$I143/cw) +mix*F143*(hQc*COS(2*PI()*$I143/qbo+$L143)+hQs*SIN(2*PI()*$I143/qbo+$L143))*(hCs*SIN(2*PI()*$I143/cw)+hCc*COS(2*PI()*$I143/cw))</f>
        <v>-12.809417295145234</v>
      </c>
      <c r="K143">
        <f>fQc*COS(2*PI()*$I143/qbo+$L143)+fQs*SIN(2*PI()*$I143/qbo+$L143)+fCs*SIN(2*PI()*$I143/cw)+fCc*COS(2*PI()*$I143/cw)</f>
        <v>0.37948656295583816</v>
      </c>
      <c r="L143">
        <f>+QMA*COS(2*PI()*$I143/QM+QMP)</f>
        <v>0.11368032678377883</v>
      </c>
      <c r="P143">
        <f t="shared" si="14"/>
        <v>0</v>
      </c>
    </row>
    <row r="144" spans="1:16" x14ac:dyDescent="0.25">
      <c r="A144" s="1"/>
      <c r="B144" t="s">
        <v>157</v>
      </c>
      <c r="C144" t="s">
        <v>24</v>
      </c>
      <c r="D144" s="3">
        <v>5.583333333333333</v>
      </c>
      <c r="E144" s="5">
        <f t="shared" si="10"/>
        <v>1783</v>
      </c>
      <c r="F144">
        <v>0.82423999999999997</v>
      </c>
      <c r="G144">
        <f t="shared" si="11"/>
        <v>-1.2054200000000002</v>
      </c>
      <c r="H144">
        <f t="shared" si="12"/>
        <v>-1.2054200000000002</v>
      </c>
      <c r="I144" s="5">
        <f t="shared" si="13"/>
        <v>131</v>
      </c>
      <c r="J144">
        <f>+H144+CF*F144*(1+($I144-1850)*slope/1000)+F144*hQc*COS(2*PI()*$I144/qbo+$L144)+F144*hQs*SIN(2*PI()*$I144/qbo+$L144)+F144*hCs*SIN(2*PI()*$I144/cw)+F144*hCc*COS(2*PI()*$I144/cw) +mix*F144*(hQc*COS(2*PI()*$I144/qbo+$L144)+hQs*SIN(2*PI()*$I144/qbo+$L144))*(hCs*SIN(2*PI()*$I144/cw)+hCc*COS(2*PI()*$I144/cw))</f>
        <v>12.127999716388643</v>
      </c>
      <c r="K144">
        <f>fQc*COS(2*PI()*$I144/qbo+$L144)+fQs*SIN(2*PI()*$I144/qbo+$L144)+fCs*SIN(2*PI()*$I144/cw)+fCc*COS(2*PI()*$I144/cw)</f>
        <v>0.6851592912869926</v>
      </c>
      <c r="L144">
        <f>+QMA*COS(2*PI()*$I144/QM+QMP)</f>
        <v>0.27861130630691328</v>
      </c>
      <c r="P144">
        <f t="shared" si="14"/>
        <v>1</v>
      </c>
    </row>
    <row r="145" spans="1:16" x14ac:dyDescent="0.25">
      <c r="A145" s="1"/>
      <c r="B145" t="s">
        <v>158</v>
      </c>
      <c r="C145" t="s">
        <v>24</v>
      </c>
      <c r="D145" s="3">
        <v>5.625</v>
      </c>
      <c r="E145" s="5">
        <f t="shared" si="10"/>
        <v>1784</v>
      </c>
      <c r="F145">
        <v>1.51735</v>
      </c>
      <c r="G145">
        <f t="shared" si="11"/>
        <v>-2.7677499999999999</v>
      </c>
      <c r="H145">
        <f t="shared" si="12"/>
        <v>-2.7677499999999999</v>
      </c>
      <c r="I145" s="5">
        <f t="shared" si="13"/>
        <v>132</v>
      </c>
      <c r="J145">
        <f>+H145+CF*F145*(1+($I145-1850)*slope/1000)+F145*hQc*COS(2*PI()*$I145/qbo+$L145)+F145*hQs*SIN(2*PI()*$I145/qbo+$L145)+F145*hCs*SIN(2*PI()*$I145/cw)+F145*hCc*COS(2*PI()*$I145/cw) +mix*F145*(hQc*COS(2*PI()*$I145/qbo+$L145)+hQs*SIN(2*PI()*$I145/qbo+$L145))*(hCs*SIN(2*PI()*$I145/cw)+hCc*COS(2*PI()*$I145/cw))</f>
        <v>23.41707379571691</v>
      </c>
      <c r="K145">
        <f>fQc*COS(2*PI()*$I145/qbo+$L145)+fQs*SIN(2*PI()*$I145/qbo+$L145)+fCs*SIN(2*PI()*$I145/cw)+fCc*COS(2*PI()*$I145/cw)</f>
        <v>-0.71292381618624723</v>
      </c>
      <c r="L145">
        <f>+QMA*COS(2*PI()*$I145/QM+QMP)</f>
        <v>0.43878580450746985</v>
      </c>
      <c r="P145">
        <f t="shared" si="14"/>
        <v>0</v>
      </c>
    </row>
    <row r="146" spans="1:16" x14ac:dyDescent="0.25">
      <c r="A146" s="1"/>
      <c r="B146" t="s">
        <v>159</v>
      </c>
      <c r="C146" t="s">
        <v>24</v>
      </c>
      <c r="D146" s="3">
        <v>5.666666666666667</v>
      </c>
      <c r="E146" s="5">
        <f t="shared" si="10"/>
        <v>1785</v>
      </c>
      <c r="F146">
        <v>-0.55728999999999995</v>
      </c>
      <c r="G146">
        <f t="shared" si="11"/>
        <v>1.5596000000000001</v>
      </c>
      <c r="H146">
        <f t="shared" si="12"/>
        <v>1.5596000000000001</v>
      </c>
      <c r="I146" s="5">
        <f t="shared" si="13"/>
        <v>133</v>
      </c>
      <c r="J146">
        <f>+H146+CF*F146*(1+($I146-1850)*slope/1000)+F146*hQc*COS(2*PI()*$I146/qbo+$L146)+F146*hQs*SIN(2*PI()*$I146/qbo+$L146)+F146*hCs*SIN(2*PI()*$I146/cw)+F146*hCc*COS(2*PI()*$I146/cw) +mix*F146*(hQc*COS(2*PI()*$I146/qbo+$L146)+hQs*SIN(2*PI()*$I146/qbo+$L146))*(hCs*SIN(2*PI()*$I146/cw)+hCc*COS(2*PI()*$I146/cw))</f>
        <v>3.0721755720485762</v>
      </c>
      <c r="K146">
        <f>fQc*COS(2*PI()*$I146/qbo+$L146)+fQs*SIN(2*PI()*$I146/qbo+$L146)+fCs*SIN(2*PI()*$I146/cw)+fCc*COS(2*PI()*$I146/cw)</f>
        <v>0.22153837789882957</v>
      </c>
      <c r="L146">
        <f>+QMA*COS(2*PI()*$I146/QM+QMP)</f>
        <v>0.59146930562172673</v>
      </c>
      <c r="P146">
        <f t="shared" si="14"/>
        <v>1</v>
      </c>
    </row>
    <row r="147" spans="1:16" x14ac:dyDescent="0.25">
      <c r="A147" s="1"/>
      <c r="B147" t="s">
        <v>160</v>
      </c>
      <c r="C147" t="s">
        <v>24</v>
      </c>
      <c r="D147" s="3">
        <v>5.708333333333333</v>
      </c>
      <c r="E147" s="5">
        <f t="shared" si="10"/>
        <v>1786</v>
      </c>
      <c r="F147">
        <v>-1.07233</v>
      </c>
      <c r="G147">
        <f t="shared" si="11"/>
        <v>1.5132400000000001</v>
      </c>
      <c r="H147">
        <f t="shared" si="12"/>
        <v>1.5132400000000001</v>
      </c>
      <c r="I147" s="5">
        <f t="shared" si="13"/>
        <v>134</v>
      </c>
      <c r="J147">
        <f>+H147+CF*F147*(1+($I147-1850)*slope/1000)+F147*hQc*COS(2*PI()*$I147/qbo+$L147)+F147*hQs*SIN(2*PI()*$I147/qbo+$L147)+F147*hCs*SIN(2*PI()*$I147/cw)+F147*hCc*COS(2*PI()*$I147/cw) +mix*F147*(hQc*COS(2*PI()*$I147/qbo+$L147)+hQs*SIN(2*PI()*$I147/qbo+$L147))*(hCs*SIN(2*PI()*$I147/cw)+hCc*COS(2*PI()*$I147/cw))</f>
        <v>-27.898089142326832</v>
      </c>
      <c r="K147">
        <f>fQc*COS(2*PI()*$I147/qbo+$L147)+fQs*SIN(2*PI()*$I147/qbo+$L147)+fCs*SIN(2*PI()*$I147/cw)+fCc*COS(2*PI()*$I147/cw)</f>
        <v>-1.3724022590167673</v>
      </c>
      <c r="L147">
        <f>+QMA*COS(2*PI()*$I147/QM+QMP)</f>
        <v>0.73405518097067712</v>
      </c>
      <c r="P147">
        <f t="shared" si="14"/>
        <v>1</v>
      </c>
    </row>
    <row r="148" spans="1:16" x14ac:dyDescent="0.25">
      <c r="A148" s="1"/>
      <c r="B148" t="s">
        <v>161</v>
      </c>
      <c r="C148" t="s">
        <v>24</v>
      </c>
      <c r="D148" s="3">
        <v>5.75</v>
      </c>
      <c r="E148" s="5">
        <f t="shared" si="10"/>
        <v>1787</v>
      </c>
      <c r="F148">
        <v>-7.4130000000000001E-2</v>
      </c>
      <c r="G148">
        <f t="shared" si="11"/>
        <v>-0.81238999999999995</v>
      </c>
      <c r="H148">
        <f t="shared" si="12"/>
        <v>-0.81238999999999995</v>
      </c>
      <c r="I148" s="5">
        <f t="shared" si="13"/>
        <v>135</v>
      </c>
      <c r="J148">
        <f>+H148+CF*F148*(1+($I148-1850)*slope/1000)+F148*hQc*COS(2*PI()*$I148/qbo+$L148)+F148*hQs*SIN(2*PI()*$I148/qbo+$L148)+F148*hCs*SIN(2*PI()*$I148/cw)+F148*hCc*COS(2*PI()*$I148/cw) +mix*F148*(hQc*COS(2*PI()*$I148/qbo+$L148)+hQs*SIN(2*PI()*$I148/qbo+$L148))*(hCs*SIN(2*PI()*$I148/cw)+hCc*COS(2*PI()*$I148/cw))</f>
        <v>-0.86480273394974383</v>
      </c>
      <c r="K148">
        <f>fQc*COS(2*PI()*$I148/qbo+$L148)+fQs*SIN(2*PI()*$I148/qbo+$L148)+fCs*SIN(2*PI()*$I148/cw)+fCc*COS(2*PI()*$I148/cw)</f>
        <v>0.31423809061395724</v>
      </c>
      <c r="L148">
        <f>+QMA*COS(2*PI()*$I148/QM+QMP)</f>
        <v>0.86410918959708505</v>
      </c>
      <c r="P148">
        <f t="shared" si="14"/>
        <v>0</v>
      </c>
    </row>
    <row r="149" spans="1:16" x14ac:dyDescent="0.25">
      <c r="A149" s="1"/>
      <c r="B149" t="s">
        <v>162</v>
      </c>
      <c r="C149" t="s">
        <v>24</v>
      </c>
      <c r="D149" s="3">
        <v>5.791666666666667</v>
      </c>
      <c r="E149" s="5">
        <f t="shared" si="10"/>
        <v>1788</v>
      </c>
      <c r="F149">
        <v>0.11168</v>
      </c>
      <c r="G149">
        <f t="shared" si="11"/>
        <v>-1.2239200000000001</v>
      </c>
      <c r="H149">
        <f t="shared" si="12"/>
        <v>-1.2239200000000001</v>
      </c>
      <c r="I149" s="5">
        <f t="shared" si="13"/>
        <v>136</v>
      </c>
      <c r="J149">
        <f>+H149+CF*F149*(1+($I149-1850)*slope/1000)+F149*hQc*COS(2*PI()*$I149/qbo+$L149)+F149*hQs*SIN(2*PI()*$I149/qbo+$L149)+F149*hCs*SIN(2*PI()*$I149/cw)+F149*hCc*COS(2*PI()*$I149/cw) +mix*F149*(hQc*COS(2*PI()*$I149/qbo+$L149)+hQs*SIN(2*PI()*$I149/qbo+$L149))*(hCs*SIN(2*PI()*$I149/cw)+hCc*COS(2*PI()*$I149/cw))</f>
        <v>0.33018171090128989</v>
      </c>
      <c r="K149">
        <f>fQc*COS(2*PI()*$I149/qbo+$L149)+fQs*SIN(2*PI()*$I149/qbo+$L149)+fCs*SIN(2*PI()*$I149/cw)+fCc*COS(2*PI()*$I149/cw)</f>
        <v>-0.67773779100043774</v>
      </c>
      <c r="L149">
        <f>+QMA*COS(2*PI()*$I149/QM+QMP)</f>
        <v>0.97941103588137424</v>
      </c>
      <c r="P149">
        <f t="shared" si="14"/>
        <v>0</v>
      </c>
    </row>
    <row r="150" spans="1:16" x14ac:dyDescent="0.25">
      <c r="A150" s="1"/>
      <c r="B150" t="s">
        <v>163</v>
      </c>
      <c r="C150" t="s">
        <v>24</v>
      </c>
      <c r="D150" s="3">
        <v>5.833333333333333</v>
      </c>
      <c r="E150" s="5">
        <f t="shared" si="10"/>
        <v>1789</v>
      </c>
      <c r="F150">
        <v>-0.92642999999999998</v>
      </c>
      <c r="G150">
        <f t="shared" si="11"/>
        <v>0.5069800000000001</v>
      </c>
      <c r="H150">
        <f t="shared" si="12"/>
        <v>0.5069800000000001</v>
      </c>
      <c r="I150" s="5">
        <f t="shared" si="13"/>
        <v>137</v>
      </c>
      <c r="J150">
        <f>+H150+CF*F150*(1+($I150-1850)*slope/1000)+F150*hQc*COS(2*PI()*$I150/qbo+$L150)+F150*hQs*SIN(2*PI()*$I150/qbo+$L150)+F150*hCs*SIN(2*PI()*$I150/cw)+F150*hCc*COS(2*PI()*$I150/cw) +mix*F150*(hQc*COS(2*PI()*$I150/qbo+$L150)+hQs*SIN(2*PI()*$I150/qbo+$L150))*(hCs*SIN(2*PI()*$I150/cw)+hCc*COS(2*PI()*$I150/cw))</f>
        <v>-19.359811461668578</v>
      </c>
      <c r="K150">
        <f>fQc*COS(2*PI()*$I150/qbo+$L150)+fQs*SIN(2*PI()*$I150/qbo+$L150)+fCs*SIN(2*PI()*$I150/cw)+fCc*COS(2*PI()*$I150/cw)</f>
        <v>0.78800757492762052</v>
      </c>
      <c r="L150">
        <f>+QMA*COS(2*PI()*$I150/QM+QMP)</f>
        <v>1.0779922746603463</v>
      </c>
      <c r="P150">
        <f t="shared" si="14"/>
        <v>0</v>
      </c>
    </row>
    <row r="151" spans="1:16" x14ac:dyDescent="0.25">
      <c r="A151" s="1"/>
      <c r="B151" t="s">
        <v>164</v>
      </c>
      <c r="C151" t="s">
        <v>24</v>
      </c>
      <c r="D151" s="3">
        <v>5.875</v>
      </c>
      <c r="E151" s="5">
        <f t="shared" si="10"/>
        <v>1790</v>
      </c>
      <c r="F151">
        <v>-1.45756</v>
      </c>
      <c r="G151">
        <f t="shared" si="11"/>
        <v>3.2947699999999998</v>
      </c>
      <c r="H151">
        <f t="shared" si="12"/>
        <v>3.2947699999999998</v>
      </c>
      <c r="I151" s="5">
        <f t="shared" si="13"/>
        <v>138</v>
      </c>
      <c r="J151">
        <f>+H151+CF*F151*(1+($I151-1850)*slope/1000)+F151*hQc*COS(2*PI()*$I151/qbo+$L151)+F151*hQs*SIN(2*PI()*$I151/qbo+$L151)+F151*hCs*SIN(2*PI()*$I151/cw)+F151*hCc*COS(2*PI()*$I151/cw) +mix*F151*(hQc*COS(2*PI()*$I151/qbo+$L151)+hQs*SIN(2*PI()*$I151/qbo+$L151))*(hCs*SIN(2*PI()*$I151/cw)+hCc*COS(2*PI()*$I151/cw))</f>
        <v>-14.132933475704951</v>
      </c>
      <c r="K151">
        <f>fQc*COS(2*PI()*$I151/qbo+$L151)+fQs*SIN(2*PI()*$I151/qbo+$L151)+fCs*SIN(2*PI()*$I151/cw)+fCc*COS(2*PI()*$I151/cw)</f>
        <v>0.43468472579171286</v>
      </c>
      <c r="L151">
        <f>+QMA*COS(2*PI()*$I151/QM+QMP)</f>
        <v>1.1581699167286326</v>
      </c>
      <c r="P151">
        <f t="shared" si="14"/>
        <v>0</v>
      </c>
    </row>
    <row r="152" spans="1:16" x14ac:dyDescent="0.25">
      <c r="A152" s="1"/>
      <c r="B152" t="s">
        <v>165</v>
      </c>
      <c r="C152" t="s">
        <v>24</v>
      </c>
      <c r="D152" s="3">
        <v>5.916666666666667</v>
      </c>
      <c r="E152" s="5">
        <f t="shared" si="10"/>
        <v>1791</v>
      </c>
      <c r="F152">
        <v>1.3060799999999999</v>
      </c>
      <c r="G152">
        <f t="shared" si="11"/>
        <v>-1.8857299999999995</v>
      </c>
      <c r="H152">
        <f t="shared" si="12"/>
        <v>-1.8857299999999995</v>
      </c>
      <c r="I152" s="5">
        <f t="shared" si="13"/>
        <v>139</v>
      </c>
      <c r="J152">
        <f>+H152+CF*F152*(1+($I152-1850)*slope/1000)+F152*hQc*COS(2*PI()*$I152/qbo+$L152)+F152*hQs*SIN(2*PI()*$I152/qbo+$L152)+F152*hCs*SIN(2*PI()*$I152/cw)+F152*hCc*COS(2*PI()*$I152/cw) +mix*F152*(hQc*COS(2*PI()*$I152/qbo+$L152)+hQs*SIN(2*PI()*$I152/qbo+$L152))*(hCs*SIN(2*PI()*$I152/cw)+hCc*COS(2*PI()*$I152/cw))</f>
        <v>16.817526781384245</v>
      </c>
      <c r="K152">
        <f>fQc*COS(2*PI()*$I152/qbo+$L152)+fQs*SIN(2*PI()*$I152/qbo+$L152)+fCs*SIN(2*PI()*$I152/cw)+fCc*COS(2*PI()*$I152/cw)</f>
        <v>0.38183065613544842</v>
      </c>
      <c r="L152">
        <f>+QMA*COS(2*PI()*$I152/QM+QMP)</f>
        <v>1.2185751610061863</v>
      </c>
      <c r="P152">
        <f t="shared" si="14"/>
        <v>1</v>
      </c>
    </row>
    <row r="153" spans="1:16" x14ac:dyDescent="0.25">
      <c r="A153" s="1"/>
      <c r="B153" t="s">
        <v>166</v>
      </c>
      <c r="C153" t="s">
        <v>24</v>
      </c>
      <c r="D153" s="3">
        <v>5.958333333333333</v>
      </c>
      <c r="E153" s="5">
        <f t="shared" si="10"/>
        <v>1792</v>
      </c>
      <c r="F153">
        <v>2.1839900000000001</v>
      </c>
      <c r="G153">
        <f t="shared" si="11"/>
        <v>-1.3871000000000002</v>
      </c>
      <c r="H153">
        <f t="shared" si="12"/>
        <v>-1.3871000000000002</v>
      </c>
      <c r="I153" s="5">
        <f t="shared" si="13"/>
        <v>140</v>
      </c>
      <c r="J153">
        <f>+H153+CF*F153*(1+($I153-1850)*slope/1000)+F153*hQc*COS(2*PI()*$I153/qbo+$L153)+F153*hQs*SIN(2*PI()*$I153/qbo+$L153)+F153*hCs*SIN(2*PI()*$I153/cw)+F153*hCc*COS(2*PI()*$I153/cw) +mix*F153*(hQc*COS(2*PI()*$I153/qbo+$L153)+hQs*SIN(2*PI()*$I153/qbo+$L153))*(hCs*SIN(2*PI()*$I153/cw)+hCc*COS(2*PI()*$I153/cw))</f>
        <v>31.82832437073289</v>
      </c>
      <c r="K153">
        <f>fQc*COS(2*PI()*$I153/qbo+$L153)+fQs*SIN(2*PI()*$I153/qbo+$L153)+fCs*SIN(2*PI()*$I153/cw)+fCc*COS(2*PI()*$I153/cw)</f>
        <v>0.67651252735363754</v>
      </c>
      <c r="L153">
        <f>+QMA*COS(2*PI()*$I153/QM+QMP)</f>
        <v>1.2581767628532921</v>
      </c>
      <c r="P153">
        <f t="shared" si="14"/>
        <v>1</v>
      </c>
    </row>
    <row r="154" spans="1:16" x14ac:dyDescent="0.25">
      <c r="A154" s="1"/>
      <c r="B154" t="s">
        <v>167</v>
      </c>
      <c r="C154" t="s">
        <v>24</v>
      </c>
      <c r="D154" s="3">
        <v>6</v>
      </c>
      <c r="E154" s="5">
        <f t="shared" si="10"/>
        <v>1793</v>
      </c>
      <c r="F154">
        <v>1.6748000000000001</v>
      </c>
      <c r="G154">
        <f t="shared" si="11"/>
        <v>-0.90332000000000012</v>
      </c>
      <c r="H154">
        <f t="shared" si="12"/>
        <v>-0.90332000000000012</v>
      </c>
      <c r="I154" s="5">
        <f t="shared" si="13"/>
        <v>141</v>
      </c>
      <c r="J154">
        <f>+H154+CF*F154*(1+($I154-1850)*slope/1000)+F154*hQc*COS(2*PI()*$I154/qbo+$L154)+F154*hQs*SIN(2*PI()*$I154/qbo+$L154)+F154*hCs*SIN(2*PI()*$I154/cw)+F154*hCc*COS(2*PI()*$I154/cw) +mix*F154*(hQc*COS(2*PI()*$I154/qbo+$L154)+hQs*SIN(2*PI()*$I154/qbo+$L154))*(hCs*SIN(2*PI()*$I154/cw)+hCc*COS(2*PI()*$I154/cw))</f>
        <v>31.422680027671284</v>
      </c>
      <c r="K154">
        <f>fQc*COS(2*PI()*$I154/qbo+$L154)+fQs*SIN(2*PI()*$I154/qbo+$L154)+fCs*SIN(2*PI()*$I154/cw)+fCc*COS(2*PI()*$I154/cw)</f>
        <v>-0.87799079798133683</v>
      </c>
      <c r="L154">
        <f>+QMA*COS(2*PI()*$I154/QM+QMP)</f>
        <v>1.2762986395867795</v>
      </c>
      <c r="P154">
        <f t="shared" si="14"/>
        <v>0</v>
      </c>
    </row>
    <row r="155" spans="1:16" x14ac:dyDescent="0.25">
      <c r="A155" s="1"/>
      <c r="B155" t="s">
        <v>168</v>
      </c>
      <c r="C155" t="s">
        <v>24</v>
      </c>
      <c r="D155" s="3">
        <v>6.041666666666667</v>
      </c>
      <c r="E155" s="5">
        <f t="shared" si="10"/>
        <v>1794</v>
      </c>
      <c r="F155">
        <v>0.26229000000000002</v>
      </c>
      <c r="G155">
        <f t="shared" si="11"/>
        <v>1.7649700000000001</v>
      </c>
      <c r="H155">
        <f t="shared" si="12"/>
        <v>1.7649700000000001</v>
      </c>
      <c r="I155" s="5">
        <f t="shared" si="13"/>
        <v>142</v>
      </c>
      <c r="J155">
        <f>+H155+CF*F155*(1+($I155-1850)*slope/1000)+F155*hQc*COS(2*PI()*$I155/qbo+$L155)+F155*hQs*SIN(2*PI()*$I155/qbo+$L155)+F155*hCs*SIN(2*PI()*$I155/cw)+F155*hCc*COS(2*PI()*$I155/cw) +mix*F155*(hQc*COS(2*PI()*$I155/qbo+$L155)+hQs*SIN(2*PI()*$I155/qbo+$L155))*(hCs*SIN(2*PI()*$I155/cw)+hCc*COS(2*PI()*$I155/cw))</f>
        <v>0.33867161769001664</v>
      </c>
      <c r="K155">
        <f>fQc*COS(2*PI()*$I155/qbo+$L155)+fQs*SIN(2*PI()*$I155/qbo+$L155)+fCs*SIN(2*PI()*$I155/cw)+fCc*COS(2*PI()*$I155/cw)</f>
        <v>0.24517478257455216</v>
      </c>
      <c r="L155">
        <f>+QMA*COS(2*PI()*$I155/QM+QMP)</f>
        <v>1.2726314126342009</v>
      </c>
      <c r="P155">
        <f t="shared" si="14"/>
        <v>1</v>
      </c>
    </row>
    <row r="156" spans="1:16" x14ac:dyDescent="0.25">
      <c r="A156" s="1"/>
      <c r="B156" t="s">
        <v>169</v>
      </c>
      <c r="C156" t="s">
        <v>24</v>
      </c>
      <c r="D156" s="3">
        <v>6.083333333333333</v>
      </c>
      <c r="E156" s="5">
        <f t="shared" si="10"/>
        <v>1795</v>
      </c>
      <c r="F156">
        <v>0.61475000000000002</v>
      </c>
      <c r="G156">
        <f t="shared" si="11"/>
        <v>-0.77715000000000001</v>
      </c>
      <c r="H156">
        <f t="shared" si="12"/>
        <v>-0.77715000000000001</v>
      </c>
      <c r="I156" s="5">
        <f t="shared" si="13"/>
        <v>143</v>
      </c>
      <c r="J156">
        <f>+H156+CF*F156*(1+($I156-1850)*slope/1000)+F156*hQc*COS(2*PI()*$I156/qbo+$L156)+F156*hQs*SIN(2*PI()*$I156/qbo+$L156)+F156*hCs*SIN(2*PI()*$I156/cw)+F156*hCc*COS(2*PI()*$I156/cw) +mix*F156*(hQc*COS(2*PI()*$I156/qbo+$L156)+hQs*SIN(2*PI()*$I156/qbo+$L156))*(hCs*SIN(2*PI()*$I156/cw)+hCc*COS(2*PI()*$I156/cw))</f>
        <v>15.208516482641922</v>
      </c>
      <c r="K156">
        <f>fQc*COS(2*PI()*$I156/qbo+$L156)+fQs*SIN(2*PI()*$I156/qbo+$L156)+fCs*SIN(2*PI()*$I156/cw)+fCc*COS(2*PI()*$I156/cw)</f>
        <v>-1.2816798343455855</v>
      </c>
      <c r="L156">
        <f>+QMA*COS(2*PI()*$I156/QM+QMP)</f>
        <v>1.2472376892771371</v>
      </c>
      <c r="P156">
        <f t="shared" si="14"/>
        <v>0</v>
      </c>
    </row>
    <row r="157" spans="1:16" x14ac:dyDescent="0.25">
      <c r="A157" s="1"/>
      <c r="B157" t="s">
        <v>170</v>
      </c>
      <c r="C157" t="s">
        <v>24</v>
      </c>
      <c r="D157" s="3">
        <v>6.125</v>
      </c>
      <c r="E157" s="5">
        <f t="shared" si="10"/>
        <v>1796</v>
      </c>
      <c r="F157">
        <v>0.19006000000000001</v>
      </c>
      <c r="G157">
        <f t="shared" si="11"/>
        <v>-0.57364000000000004</v>
      </c>
      <c r="H157">
        <f t="shared" si="12"/>
        <v>-0.57364000000000004</v>
      </c>
      <c r="I157" s="5">
        <f t="shared" si="13"/>
        <v>144</v>
      </c>
      <c r="J157">
        <f>+H157+CF*F157*(1+($I157-1850)*slope/1000)+F157*hQc*COS(2*PI()*$I157/qbo+$L157)+F157*hQs*SIN(2*PI()*$I157/qbo+$L157)+F157*hCs*SIN(2*PI()*$I157/cw)+F157*hCc*COS(2*PI()*$I157/cw) +mix*F157*(hQc*COS(2*PI()*$I157/qbo+$L157)+hQs*SIN(2*PI()*$I157/qbo+$L157))*(hCs*SIN(2*PI()*$I157/cw)+hCc*COS(2*PI()*$I157/cw))</f>
        <v>0.54039660077557139</v>
      </c>
      <c r="K157">
        <f>fQc*COS(2*PI()*$I157/qbo+$L157)+fQs*SIN(2*PI()*$I157/qbo+$L157)+fCs*SIN(2*PI()*$I157/cw)+fCc*COS(2*PI()*$I157/cw)</f>
        <v>4.616974221422554E-2</v>
      </c>
      <c r="L157">
        <f>+QMA*COS(2*PI()*$I157/QM+QMP)</f>
        <v>1.2005509938131478</v>
      </c>
      <c r="P157">
        <f t="shared" si="14"/>
        <v>1</v>
      </c>
    </row>
    <row r="158" spans="1:16" x14ac:dyDescent="0.25">
      <c r="A158" s="1"/>
      <c r="B158" t="s">
        <v>171</v>
      </c>
      <c r="C158" t="s">
        <v>24</v>
      </c>
      <c r="D158" s="3">
        <v>6.166666666666667</v>
      </c>
      <c r="E158" s="5">
        <f t="shared" si="10"/>
        <v>1797</v>
      </c>
      <c r="F158">
        <v>-0.80827000000000004</v>
      </c>
      <c r="G158">
        <f t="shared" si="11"/>
        <v>0.9987100000000001</v>
      </c>
      <c r="H158">
        <f t="shared" si="12"/>
        <v>0.9987100000000001</v>
      </c>
      <c r="I158" s="5">
        <f t="shared" si="13"/>
        <v>145</v>
      </c>
      <c r="J158">
        <f>+H158+CF*F158*(1+($I158-1850)*slope/1000)+F158*hQc*COS(2*PI()*$I158/qbo+$L158)+F158*hQs*SIN(2*PI()*$I158/qbo+$L158)+F158*hCs*SIN(2*PI()*$I158/cw)+F158*hCc*COS(2*PI()*$I158/cw) +mix*F158*(hQc*COS(2*PI()*$I158/qbo+$L158)+hQs*SIN(2*PI()*$I158/qbo+$L158))*(hCs*SIN(2*PI()*$I158/cw)+hCc*COS(2*PI()*$I158/cw))</f>
        <v>-9.9848008566725657</v>
      </c>
      <c r="K158">
        <f>fQc*COS(2*PI()*$I158/qbo+$L158)+fQs*SIN(2*PI()*$I158/qbo+$L158)+fCs*SIN(2*PI()*$I158/cw)+fCc*COS(2*PI()*$I158/cw)</f>
        <v>-1.6748884449199308E-2</v>
      </c>
      <c r="L158">
        <f>+QMA*COS(2*PI()*$I158/QM+QMP)</f>
        <v>1.1333683663836791</v>
      </c>
      <c r="P158">
        <f t="shared" si="14"/>
        <v>1</v>
      </c>
    </row>
    <row r="159" spans="1:16" x14ac:dyDescent="0.25">
      <c r="A159" s="1"/>
      <c r="B159" t="s">
        <v>172</v>
      </c>
      <c r="C159" t="s">
        <v>24</v>
      </c>
      <c r="D159" s="3">
        <v>6.208333333333333</v>
      </c>
      <c r="E159" s="5">
        <f t="shared" si="10"/>
        <v>1798</v>
      </c>
      <c r="F159">
        <v>-0.80789</v>
      </c>
      <c r="G159">
        <f t="shared" si="11"/>
        <v>1.6793199999999999</v>
      </c>
      <c r="H159">
        <f t="shared" si="12"/>
        <v>1.6793199999999999</v>
      </c>
      <c r="I159" s="5">
        <f t="shared" si="13"/>
        <v>146</v>
      </c>
      <c r="J159">
        <f>+H159+CF*F159*(1+($I159-1850)*slope/1000)+F159*hQc*COS(2*PI()*$I159/qbo+$L159)+F159*hQs*SIN(2*PI()*$I159/qbo+$L159)+F159*hCs*SIN(2*PI()*$I159/cw)+F159*hCc*COS(2*PI()*$I159/cw) +mix*F159*(hQc*COS(2*PI()*$I159/qbo+$L159)+hQs*SIN(2*PI()*$I159/qbo+$L159))*(hCs*SIN(2*PI()*$I159/cw)+hCc*COS(2*PI()*$I159/cw))</f>
        <v>-7.2510044834989698</v>
      </c>
      <c r="K159">
        <f>fQc*COS(2*PI()*$I159/qbo+$L159)+fQs*SIN(2*PI()*$I159/qbo+$L159)+fCs*SIN(2*PI()*$I159/cw)+fCc*COS(2*PI()*$I159/cw)</f>
        <v>4.0402534166122439E-2</v>
      </c>
      <c r="L159">
        <f>+QMA*COS(2*PI()*$I159/QM+QMP)</f>
        <v>1.0468367558215173</v>
      </c>
      <c r="P159">
        <f t="shared" si="14"/>
        <v>0</v>
      </c>
    </row>
    <row r="160" spans="1:16" x14ac:dyDescent="0.25">
      <c r="A160" s="1"/>
      <c r="B160" t="s">
        <v>173</v>
      </c>
      <c r="C160" t="s">
        <v>24</v>
      </c>
      <c r="D160" s="3">
        <v>6.25</v>
      </c>
      <c r="E160" s="5">
        <f t="shared" si="10"/>
        <v>1799</v>
      </c>
      <c r="F160">
        <v>0.87180999999999997</v>
      </c>
      <c r="G160">
        <f t="shared" si="11"/>
        <v>-1.5446</v>
      </c>
      <c r="H160">
        <f t="shared" si="12"/>
        <v>-1.5446</v>
      </c>
      <c r="I160" s="5">
        <f t="shared" si="13"/>
        <v>147</v>
      </c>
      <c r="J160">
        <f>+H160+CF*F160*(1+($I160-1850)*slope/1000)+F160*hQc*COS(2*PI()*$I160/qbo+$L160)+F160*hQs*SIN(2*PI()*$I160/qbo+$L160)+F160*hCs*SIN(2*PI()*$I160/cw)+F160*hCc*COS(2*PI()*$I160/cw) +mix*F160*(hQc*COS(2*PI()*$I160/qbo+$L160)+hQs*SIN(2*PI()*$I160/qbo+$L160))*(hCs*SIN(2*PI()*$I160/cw)+hCc*COS(2*PI()*$I160/cw))</f>
        <v>23.090376251427671</v>
      </c>
      <c r="K160">
        <f>fQc*COS(2*PI()*$I160/qbo+$L160)+fQs*SIN(2*PI()*$I160/qbo+$L160)+fCs*SIN(2*PI()*$I160/cw)+fCc*COS(2*PI()*$I160/cw)</f>
        <v>1.2798269007410543</v>
      </c>
      <c r="L160">
        <f>+QMA*COS(2*PI()*$I160/QM+QMP)</f>
        <v>0.94243343882052222</v>
      </c>
      <c r="P160">
        <f t="shared" si="14"/>
        <v>1</v>
      </c>
    </row>
    <row r="161" spans="1:16" x14ac:dyDescent="0.25">
      <c r="A161" s="1"/>
      <c r="B161" t="s">
        <v>174</v>
      </c>
      <c r="C161" t="s">
        <v>24</v>
      </c>
      <c r="D161" s="3">
        <v>6.291666666666667</v>
      </c>
      <c r="E161" s="5">
        <f t="shared" si="10"/>
        <v>1800</v>
      </c>
      <c r="F161">
        <v>1.00691</v>
      </c>
      <c r="G161">
        <f t="shared" si="11"/>
        <v>-2.2700099999999996</v>
      </c>
      <c r="H161">
        <f t="shared" si="12"/>
        <v>-2.2700099999999996</v>
      </c>
      <c r="I161" s="5">
        <f t="shared" si="13"/>
        <v>148</v>
      </c>
      <c r="J161">
        <f>+H161+CF*F161*(1+($I161-1850)*slope/1000)+F161*hQc*COS(2*PI()*$I161/qbo+$L161)+F161*hQs*SIN(2*PI()*$I161/qbo+$L161)+F161*hCs*SIN(2*PI()*$I161/cw)+F161*hCc*COS(2*PI()*$I161/cw) +mix*F161*(hQc*COS(2*PI()*$I161/qbo+$L161)+hQs*SIN(2*PI()*$I161/qbo+$L161))*(hCs*SIN(2*PI()*$I161/cw)+hCc*COS(2*PI()*$I161/cw))</f>
        <v>2.6777161564267136</v>
      </c>
      <c r="K161">
        <f>fQc*COS(2*PI()*$I161/qbo+$L161)+fQs*SIN(2*PI()*$I161/qbo+$L161)+fCs*SIN(2*PI()*$I161/cw)+fCc*COS(2*PI()*$I161/cw)</f>
        <v>-0.26537917190644117</v>
      </c>
      <c r="L161">
        <f>+QMA*COS(2*PI()*$I161/QM+QMP)</f>
        <v>0.82194079971359058</v>
      </c>
      <c r="P161">
        <f t="shared" si="14"/>
        <v>0</v>
      </c>
    </row>
    <row r="162" spans="1:16" x14ac:dyDescent="0.25">
      <c r="A162" s="1"/>
      <c r="B162" t="s">
        <v>175</v>
      </c>
      <c r="C162" t="s">
        <v>24</v>
      </c>
      <c r="D162" s="3">
        <v>6.333333333333333</v>
      </c>
      <c r="E162" s="5">
        <f t="shared" si="10"/>
        <v>1801</v>
      </c>
      <c r="F162">
        <v>-1.1279999999999999</v>
      </c>
      <c r="G162">
        <f t="shared" si="11"/>
        <v>2.4182199999999994</v>
      </c>
      <c r="H162">
        <f t="shared" si="12"/>
        <v>2.4182199999999994</v>
      </c>
      <c r="I162" s="5">
        <f t="shared" si="13"/>
        <v>149</v>
      </c>
      <c r="J162">
        <f>+H162+CF*F162*(1+($I162-1850)*slope/1000)+F162*hQc*COS(2*PI()*$I162/qbo+$L162)+F162*hQs*SIN(2*PI()*$I162/qbo+$L162)+F162*hCs*SIN(2*PI()*$I162/cw)+F162*hCc*COS(2*PI()*$I162/cw) +mix*F162*(hQc*COS(2*PI()*$I162/qbo+$L162)+hQs*SIN(2*PI()*$I162/qbo+$L162))*(hCs*SIN(2*PI()*$I162/cw)+hCc*COS(2*PI()*$I162/cw))</f>
        <v>-13.463909956643988</v>
      </c>
      <c r="K162">
        <f>fQc*COS(2*PI()*$I162/qbo+$L162)+fQs*SIN(2*PI()*$I162/qbo+$L162)+fCs*SIN(2*PI()*$I162/cw)+fCc*COS(2*PI()*$I162/cw)</f>
        <v>0.74915498158673766</v>
      </c>
      <c r="L162">
        <f>+QMA*COS(2*PI()*$I162/QM+QMP)</f>
        <v>0.68741590142117415</v>
      </c>
      <c r="P162">
        <f t="shared" si="14"/>
        <v>0</v>
      </c>
    </row>
    <row r="163" spans="1:16" x14ac:dyDescent="0.25">
      <c r="A163" s="1"/>
      <c r="B163" t="s">
        <v>176</v>
      </c>
      <c r="C163" t="s">
        <v>24</v>
      </c>
      <c r="D163" s="3">
        <v>6.375</v>
      </c>
      <c r="E163" s="5">
        <f t="shared" si="10"/>
        <v>1802</v>
      </c>
      <c r="F163">
        <v>-0.84469000000000005</v>
      </c>
      <c r="G163">
        <f t="shared" si="11"/>
        <v>0.33026000000000022</v>
      </c>
      <c r="H163">
        <f t="shared" si="12"/>
        <v>0.33026000000000022</v>
      </c>
      <c r="I163" s="5">
        <f t="shared" si="13"/>
        <v>150</v>
      </c>
      <c r="J163">
        <f>+H163+CF*F163*(1+($I163-1850)*slope/1000)+F163*hQc*COS(2*PI()*$I163/qbo+$L163)+F163*hQs*SIN(2*PI()*$I163/qbo+$L163)+F163*hCs*SIN(2*PI()*$I163/cw)+F163*hCc*COS(2*PI()*$I163/cw) +mix*F163*(hQc*COS(2*PI()*$I163/qbo+$L163)+hQs*SIN(2*PI()*$I163/qbo+$L163))*(hCs*SIN(2*PI()*$I163/cw)+hCc*COS(2*PI()*$I163/cw))</f>
        <v>-12.533947412517225</v>
      </c>
      <c r="K163">
        <f>fQc*COS(2*PI()*$I163/qbo+$L163)+fQs*SIN(2*PI()*$I163/qbo+$L163)+fCs*SIN(2*PI()*$I163/cw)+fCc*COS(2*PI()*$I163/cw)</f>
        <v>-0.46323541688512454</v>
      </c>
      <c r="L163">
        <f>+QMA*COS(2*PI()*$I163/QM+QMP)</f>
        <v>0.54115536705821721</v>
      </c>
      <c r="P163">
        <f t="shared" si="14"/>
        <v>1</v>
      </c>
    </row>
    <row r="164" spans="1:16" x14ac:dyDescent="0.25">
      <c r="A164" s="1"/>
      <c r="B164" t="s">
        <v>177</v>
      </c>
      <c r="C164" t="s">
        <v>24</v>
      </c>
      <c r="D164" s="3">
        <v>6.416666666666667</v>
      </c>
      <c r="E164" s="5">
        <f t="shared" si="10"/>
        <v>1803</v>
      </c>
      <c r="F164">
        <v>-0.23111999999999999</v>
      </c>
      <c r="G164">
        <f t="shared" si="11"/>
        <v>0.74812999999999985</v>
      </c>
      <c r="H164">
        <f t="shared" si="12"/>
        <v>0.74812999999999985</v>
      </c>
      <c r="I164" s="5">
        <f t="shared" si="13"/>
        <v>151</v>
      </c>
      <c r="J164">
        <f>+H164+CF*F164*(1+($I164-1850)*slope/1000)+F164*hQc*COS(2*PI()*$I164/qbo+$L164)+F164*hQs*SIN(2*PI()*$I164/qbo+$L164)+F164*hCs*SIN(2*PI()*$I164/cw)+F164*hCc*COS(2*PI()*$I164/cw) +mix*F164*(hQc*COS(2*PI()*$I164/qbo+$L164)+hQs*SIN(2*PI()*$I164/qbo+$L164))*(hCs*SIN(2*PI()*$I164/cw)+hCc*COS(2*PI()*$I164/cw))</f>
        <v>-2.7208547964885583</v>
      </c>
      <c r="K164">
        <f>fQc*COS(2*PI()*$I164/qbo+$L164)+fQs*SIN(2*PI()*$I164/qbo+$L164)+fCs*SIN(2*PI()*$I164/cw)+fCc*COS(2*PI()*$I164/cw)</f>
        <v>-0.8265725669432552</v>
      </c>
      <c r="L164">
        <f>+QMA*COS(2*PI()*$I164/QM+QMP)</f>
        <v>0.38565617174446576</v>
      </c>
      <c r="P164">
        <f t="shared" si="14"/>
        <v>1</v>
      </c>
    </row>
    <row r="165" spans="1:16" x14ac:dyDescent="0.25">
      <c r="A165" s="1"/>
      <c r="B165" t="s">
        <v>178</v>
      </c>
      <c r="C165" t="s">
        <v>24</v>
      </c>
      <c r="D165" s="3">
        <v>6.458333333333333</v>
      </c>
      <c r="E165" s="5">
        <f t="shared" si="10"/>
        <v>1804</v>
      </c>
      <c r="F165">
        <v>1.1305799999999999</v>
      </c>
      <c r="G165">
        <f t="shared" si="11"/>
        <v>-3.59389</v>
      </c>
      <c r="H165">
        <f t="shared" si="12"/>
        <v>-3.59389</v>
      </c>
      <c r="I165" s="5">
        <f t="shared" si="13"/>
        <v>152</v>
      </c>
      <c r="J165">
        <f>+H165+CF*F165*(1+($I165-1850)*slope/1000)+F165*hQc*COS(2*PI()*$I165/qbo+$L165)+F165*hQs*SIN(2*PI()*$I165/qbo+$L165)+F165*hCs*SIN(2*PI()*$I165/cw)+F165*hCc*COS(2*PI()*$I165/cw) +mix*F165*(hQc*COS(2*PI()*$I165/qbo+$L165)+hQs*SIN(2*PI()*$I165/qbo+$L165))*(hCs*SIN(2*PI()*$I165/cw)+hCc*COS(2*PI()*$I165/cw))</f>
        <v>-5.6128313674014709</v>
      </c>
      <c r="K165">
        <f>fQc*COS(2*PI()*$I165/qbo+$L165)+fQs*SIN(2*PI()*$I165/qbo+$L165)+fCs*SIN(2*PI()*$I165/cw)+fCc*COS(2*PI()*$I165/cw)</f>
        <v>6.3722066037124714E-2</v>
      </c>
      <c r="L165">
        <f>+QMA*COS(2*PI()*$I165/QM+QMP)</f>
        <v>0.22357301398440799</v>
      </c>
      <c r="P165">
        <f t="shared" si="14"/>
        <v>0</v>
      </c>
    </row>
    <row r="166" spans="1:16" x14ac:dyDescent="0.25">
      <c r="A166" s="1"/>
      <c r="B166" t="s">
        <v>179</v>
      </c>
      <c r="C166" t="s">
        <v>24</v>
      </c>
      <c r="D166" s="3">
        <v>6.5</v>
      </c>
      <c r="E166" s="5">
        <f t="shared" si="10"/>
        <v>1805</v>
      </c>
      <c r="F166">
        <v>-1.10161</v>
      </c>
      <c r="G166">
        <f t="shared" si="11"/>
        <v>2.3978600000000001</v>
      </c>
      <c r="H166">
        <f t="shared" si="12"/>
        <v>2.3978600000000001</v>
      </c>
      <c r="I166" s="5">
        <f t="shared" si="13"/>
        <v>153</v>
      </c>
      <c r="J166">
        <f>+H166+CF*F166*(1+($I166-1850)*slope/1000)+F166*hQc*COS(2*PI()*$I166/qbo+$L166)+F166*hQs*SIN(2*PI()*$I166/qbo+$L166)+F166*hCs*SIN(2*PI()*$I166/cw)+F166*hCc*COS(2*PI()*$I166/cw) +mix*F166*(hQc*COS(2*PI()*$I166/qbo+$L166)+hQs*SIN(2*PI()*$I166/qbo+$L166))*(hCs*SIN(2*PI()*$I166/cw)+hCc*COS(2*PI()*$I166/cw))</f>
        <v>-19.681498455640451</v>
      </c>
      <c r="K166">
        <f>fQc*COS(2*PI()*$I166/qbo+$L166)+fQs*SIN(2*PI()*$I166/qbo+$L166)+fCs*SIN(2*PI()*$I166/cw)+fCc*COS(2*PI()*$I166/cw)</f>
        <v>-1.0915152652904181</v>
      </c>
      <c r="L166">
        <f>+QMA*COS(2*PI()*$I166/QM+QMP)</f>
        <v>5.7672994377113929E-2</v>
      </c>
      <c r="P166">
        <f t="shared" si="14"/>
        <v>1</v>
      </c>
    </row>
    <row r="167" spans="1:16" x14ac:dyDescent="0.25">
      <c r="A167" s="1"/>
      <c r="B167" t="s">
        <v>180</v>
      </c>
      <c r="C167" t="s">
        <v>24</v>
      </c>
      <c r="D167" s="3">
        <v>6.541666666666667</v>
      </c>
      <c r="E167" s="5">
        <f t="shared" si="10"/>
        <v>1806</v>
      </c>
      <c r="F167">
        <v>-0.93593999999999999</v>
      </c>
      <c r="G167">
        <f t="shared" si="11"/>
        <v>1.1355599999999999</v>
      </c>
      <c r="H167">
        <f t="shared" si="12"/>
        <v>1.1355599999999999</v>
      </c>
      <c r="I167" s="5">
        <f t="shared" si="13"/>
        <v>154</v>
      </c>
      <c r="J167">
        <f>+H167+CF*F167*(1+($I167-1850)*slope/1000)+F167*hQc*COS(2*PI()*$I167/qbo+$L167)+F167*hQs*SIN(2*PI()*$I167/qbo+$L167)+F167*hCs*SIN(2*PI()*$I167/cw)+F167*hCc*COS(2*PI()*$I167/cw) +mix*F167*(hQc*COS(2*PI()*$I167/qbo+$L167)+hQs*SIN(2*PI()*$I167/qbo+$L167))*(hCs*SIN(2*PI()*$I167/cw)+hCc*COS(2*PI()*$I167/cw))</f>
        <v>-14.410073420200918</v>
      </c>
      <c r="K167">
        <f>fQc*COS(2*PI()*$I167/qbo+$L167)+fQs*SIN(2*PI()*$I167/qbo+$L167)+fCs*SIN(2*PI()*$I167/cw)+fCc*COS(2*PI()*$I167/cw)</f>
        <v>0.68660604829757066</v>
      </c>
      <c r="L167">
        <f>+QMA*COS(2*PI()*$I167/QM+QMP)</f>
        <v>-0.10921162461420045</v>
      </c>
      <c r="P167">
        <f t="shared" si="14"/>
        <v>0</v>
      </c>
    </row>
    <row r="168" spans="1:16" x14ac:dyDescent="0.25">
      <c r="A168" s="1"/>
      <c r="B168" t="s">
        <v>181</v>
      </c>
      <c r="C168" t="s">
        <v>24</v>
      </c>
      <c r="D168" s="3">
        <v>6.583333333333333</v>
      </c>
      <c r="E168" s="5">
        <f t="shared" si="10"/>
        <v>1807</v>
      </c>
      <c r="F168">
        <v>0.36529</v>
      </c>
      <c r="G168">
        <f t="shared" si="11"/>
        <v>-2.5386899999999999</v>
      </c>
      <c r="H168">
        <f t="shared" si="12"/>
        <v>-2.5386899999999999</v>
      </c>
      <c r="I168" s="5">
        <f t="shared" si="13"/>
        <v>155</v>
      </c>
      <c r="J168">
        <f>+H168+CF*F168*(1+($I168-1850)*slope/1000)+F168*hQc*COS(2*PI()*$I168/qbo+$L168)+F168*hQs*SIN(2*PI()*$I168/qbo+$L168)+F168*hCs*SIN(2*PI()*$I168/cw)+F168*hCc*COS(2*PI()*$I168/cw) +mix*F168*(hQc*COS(2*PI()*$I168/qbo+$L168)+hQs*SIN(2*PI()*$I168/qbo+$L168))*(hCs*SIN(2*PI()*$I168/cw)+hCc*COS(2*PI()*$I168/cw))</f>
        <v>1.6801888685661686</v>
      </c>
      <c r="K168">
        <f>fQc*COS(2*PI()*$I168/qbo+$L168)+fQs*SIN(2*PI()*$I168/qbo+$L168)+fCs*SIN(2*PI()*$I168/cw)+fCc*COS(2*PI()*$I168/cw)</f>
        <v>0.26691672688846374</v>
      </c>
      <c r="L168">
        <f>+QMA*COS(2*PI()*$I168/QM+QMP)</f>
        <v>-0.27423177134281046</v>
      </c>
      <c r="P168">
        <f t="shared" si="14"/>
        <v>1</v>
      </c>
    </row>
    <row r="169" spans="1:16" x14ac:dyDescent="0.25">
      <c r="A169" s="1"/>
      <c r="B169" t="s">
        <v>182</v>
      </c>
      <c r="C169" t="s">
        <v>24</v>
      </c>
      <c r="D169" s="3">
        <v>6.625</v>
      </c>
      <c r="E169" s="5">
        <f t="shared" si="10"/>
        <v>1808</v>
      </c>
      <c r="F169">
        <v>-0.87217</v>
      </c>
      <c r="G169">
        <f t="shared" si="11"/>
        <v>1.8944000000000001</v>
      </c>
      <c r="H169">
        <f t="shared" si="12"/>
        <v>1.8944000000000001</v>
      </c>
      <c r="I169" s="5">
        <f t="shared" si="13"/>
        <v>156</v>
      </c>
      <c r="J169">
        <f>+H169+CF*F169*(1+($I169-1850)*slope/1000)+F169*hQc*COS(2*PI()*$I169/qbo+$L169)+F169*hQs*SIN(2*PI()*$I169/qbo+$L169)+F169*hCs*SIN(2*PI()*$I169/cw)+F169*hCc*COS(2*PI()*$I169/cw) +mix*F169*(hQc*COS(2*PI()*$I169/qbo+$L169)+hQs*SIN(2*PI()*$I169/qbo+$L169))*(hCs*SIN(2*PI()*$I169/cw)+hCc*COS(2*PI()*$I169/cw))</f>
        <v>-8.5247210375340359</v>
      </c>
      <c r="K169">
        <f>fQc*COS(2*PI()*$I169/qbo+$L169)+fQs*SIN(2*PI()*$I169/qbo+$L169)+fCs*SIN(2*PI()*$I169/cw)+fCc*COS(2*PI()*$I169/cw)</f>
        <v>0.3248002766980207</v>
      </c>
      <c r="L169">
        <f>+QMA*COS(2*PI()*$I169/QM+QMP)</f>
        <v>-0.43457020462718904</v>
      </c>
      <c r="P169">
        <f t="shared" si="14"/>
        <v>0</v>
      </c>
    </row>
    <row r="170" spans="1:16" x14ac:dyDescent="0.25">
      <c r="A170" s="1"/>
      <c r="B170" t="s">
        <v>183</v>
      </c>
      <c r="C170" t="s">
        <v>24</v>
      </c>
      <c r="D170" s="3">
        <v>6.666666666666667</v>
      </c>
      <c r="E170" s="5">
        <f t="shared" si="10"/>
        <v>1809</v>
      </c>
      <c r="F170">
        <v>-0.21523</v>
      </c>
      <c r="G170">
        <f t="shared" si="11"/>
        <v>-0.44238</v>
      </c>
      <c r="H170">
        <f t="shared" si="12"/>
        <v>-0.44238</v>
      </c>
      <c r="I170" s="5">
        <f t="shared" si="13"/>
        <v>157</v>
      </c>
      <c r="J170">
        <f>+H170+CF*F170*(1+($I170-1850)*slope/1000)+F170*hQc*COS(2*PI()*$I170/qbo+$L170)+F170*hQs*SIN(2*PI()*$I170/qbo+$L170)+F170*hCs*SIN(2*PI()*$I170/cw)+F170*hCc*COS(2*PI()*$I170/cw) +mix*F170*(hQc*COS(2*PI()*$I170/qbo+$L170)+hQs*SIN(2*PI()*$I170/qbo+$L170))*(hCs*SIN(2*PI()*$I170/cw)+hCc*COS(2*PI()*$I170/cw))</f>
        <v>-5.2348784201148497</v>
      </c>
      <c r="K170">
        <f>fQc*COS(2*PI()*$I170/qbo+$L170)+fQs*SIN(2*PI()*$I170/qbo+$L170)+fCs*SIN(2*PI()*$I170/cw)+fCc*COS(2*PI()*$I170/cw)</f>
        <v>1.1049539678931151</v>
      </c>
      <c r="L170">
        <f>+QMA*COS(2*PI()*$I170/QM+QMP)</f>
        <v>-0.58748960998675348</v>
      </c>
      <c r="P170">
        <f t="shared" si="14"/>
        <v>0</v>
      </c>
    </row>
    <row r="171" spans="1:16" x14ac:dyDescent="0.25">
      <c r="A171" s="1"/>
      <c r="B171" t="s">
        <v>184</v>
      </c>
      <c r="C171" t="s">
        <v>24</v>
      </c>
      <c r="D171" s="3">
        <v>6.708333333333333</v>
      </c>
      <c r="E171" s="5">
        <f t="shared" si="10"/>
        <v>1810</v>
      </c>
      <c r="F171">
        <v>-6.7000000000000002E-4</v>
      </c>
      <c r="G171">
        <f t="shared" si="11"/>
        <v>-0.71382000000000001</v>
      </c>
      <c r="H171">
        <f t="shared" si="12"/>
        <v>-0.71382000000000001</v>
      </c>
      <c r="I171" s="5">
        <f t="shared" si="13"/>
        <v>158</v>
      </c>
      <c r="J171">
        <f>+H171+CF*F171*(1+($I171-1850)*slope/1000)+F171*hQc*COS(2*PI()*$I171/qbo+$L171)+F171*hQs*SIN(2*PI()*$I171/qbo+$L171)+F171*hCs*SIN(2*PI()*$I171/cw)+F171*hCc*COS(2*PI()*$I171/cw) +mix*F171*(hQc*COS(2*PI()*$I171/qbo+$L171)+hQs*SIN(2*PI()*$I171/qbo+$L171))*(hCs*SIN(2*PI()*$I171/cw)+hCc*COS(2*PI()*$I171/cw))</f>
        <v>-0.72350841033420876</v>
      </c>
      <c r="K171">
        <f>fQc*COS(2*PI()*$I171/qbo+$L171)+fQs*SIN(2*PI()*$I171/qbo+$L171)+fCs*SIN(2*PI()*$I171/cw)+fCc*COS(2*PI()*$I171/cw)</f>
        <v>-0.67965486323193836</v>
      </c>
      <c r="L171">
        <f>+QMA*COS(2*PI()*$I171/QM+QMP)</f>
        <v>-0.73037933136057975</v>
      </c>
      <c r="P171">
        <f t="shared" si="14"/>
        <v>1</v>
      </c>
    </row>
    <row r="172" spans="1:16" x14ac:dyDescent="0.25">
      <c r="A172" s="1"/>
      <c r="B172" t="s">
        <v>185</v>
      </c>
      <c r="C172" t="s">
        <v>24</v>
      </c>
      <c r="D172" s="3">
        <v>6.75</v>
      </c>
      <c r="E172" s="5">
        <f t="shared" si="10"/>
        <v>1811</v>
      </c>
      <c r="F172">
        <v>-0.49992999999999999</v>
      </c>
      <c r="G172">
        <f t="shared" si="11"/>
        <v>0.46398</v>
      </c>
      <c r="H172">
        <f t="shared" si="12"/>
        <v>0.46398</v>
      </c>
      <c r="I172" s="5">
        <f t="shared" si="13"/>
        <v>159</v>
      </c>
      <c r="J172">
        <f>+H172+CF*F172*(1+($I172-1850)*slope/1000)+F172*hQc*COS(2*PI()*$I172/qbo+$L172)+F172*hQs*SIN(2*PI()*$I172/qbo+$L172)+F172*hCs*SIN(2*PI()*$I172/cw)+F172*hCc*COS(2*PI()*$I172/cw) +mix*F172*(hQc*COS(2*PI()*$I172/qbo+$L172)+hQs*SIN(2*PI()*$I172/qbo+$L172))*(hCs*SIN(2*PI()*$I172/cw)+hCc*COS(2*PI()*$I172/cw))</f>
        <v>-0.19709216912044081</v>
      </c>
      <c r="K172">
        <f>fQc*COS(2*PI()*$I172/qbo+$L172)+fQs*SIN(2*PI()*$I172/qbo+$L172)+fCs*SIN(2*PI()*$I172/cw)+fCc*COS(2*PI()*$I172/cw)</f>
        <v>0.29822673011046458</v>
      </c>
      <c r="L172">
        <f>+QMA*COS(2*PI()*$I172/QM+QMP)</f>
        <v>-0.86079994050035014</v>
      </c>
      <c r="P172">
        <f t="shared" si="14"/>
        <v>0</v>
      </c>
    </row>
    <row r="173" spans="1:16" x14ac:dyDescent="0.25">
      <c r="A173" s="1"/>
      <c r="B173" t="s">
        <v>186</v>
      </c>
      <c r="C173" t="s">
        <v>24</v>
      </c>
      <c r="D173" s="3">
        <v>6.791666666666667</v>
      </c>
      <c r="E173" s="5">
        <f t="shared" si="10"/>
        <v>1812</v>
      </c>
      <c r="F173">
        <v>-0.53520999999999996</v>
      </c>
      <c r="G173">
        <f t="shared" si="11"/>
        <v>-0.15298</v>
      </c>
      <c r="H173">
        <f t="shared" si="12"/>
        <v>-0.15298</v>
      </c>
      <c r="I173" s="5">
        <f t="shared" si="13"/>
        <v>160</v>
      </c>
      <c r="J173">
        <f>+H173+CF*F173*(1+($I173-1850)*slope/1000)+F173*hQc*COS(2*PI()*$I173/qbo+$L173)+F173*hQs*SIN(2*PI()*$I173/qbo+$L173)+F173*hCs*SIN(2*PI()*$I173/cw)+F173*hCc*COS(2*PI()*$I173/cw) +mix*F173*(hQc*COS(2*PI()*$I173/qbo+$L173)+hQs*SIN(2*PI()*$I173/qbo+$L173))*(hCs*SIN(2*PI()*$I173/cw)+hCc*COS(2*PI()*$I173/cw))</f>
        <v>-9.6779455234410179</v>
      </c>
      <c r="K173">
        <f>fQc*COS(2*PI()*$I173/qbo+$L173)+fQs*SIN(2*PI()*$I173/qbo+$L173)+fCs*SIN(2*PI()*$I173/cw)+fCc*COS(2*PI()*$I173/cw)</f>
        <v>-0.84814257441193597</v>
      </c>
      <c r="L173">
        <f>+QMA*COS(2*PI()*$I173/QM+QMP)</f>
        <v>-0.9765248831442338</v>
      </c>
      <c r="P173">
        <f t="shared" si="14"/>
        <v>1</v>
      </c>
    </row>
    <row r="174" spans="1:16" x14ac:dyDescent="0.25">
      <c r="A174" s="1"/>
      <c r="B174" t="s">
        <v>187</v>
      </c>
      <c r="C174" t="s">
        <v>24</v>
      </c>
      <c r="D174" s="3">
        <v>6.833333333333333</v>
      </c>
      <c r="E174" s="5">
        <f t="shared" si="10"/>
        <v>1813</v>
      </c>
      <c r="F174">
        <v>-0.72346999999999995</v>
      </c>
      <c r="G174">
        <f t="shared" si="11"/>
        <v>1.4404699999999999</v>
      </c>
      <c r="H174">
        <f t="shared" si="12"/>
        <v>1.4404699999999999</v>
      </c>
      <c r="I174" s="5">
        <f t="shared" si="13"/>
        <v>161</v>
      </c>
      <c r="J174">
        <f>+H174+CF*F174*(1+($I174-1850)*slope/1000)+F174*hQc*COS(2*PI()*$I174/qbo+$L174)+F174*hQs*SIN(2*PI()*$I174/qbo+$L174)+F174*hCs*SIN(2*PI()*$I174/cw)+F174*hCc*COS(2*PI()*$I174/cw) +mix*F174*(hQc*COS(2*PI()*$I174/qbo+$L174)+hQs*SIN(2*PI()*$I174/qbo+$L174))*(hCs*SIN(2*PI()*$I174/cw)+hCc*COS(2*PI()*$I174/cw))</f>
        <v>-7.6553440808292095</v>
      </c>
      <c r="K174">
        <f>fQc*COS(2*PI()*$I174/qbo+$L174)+fQs*SIN(2*PI()*$I174/qbo+$L174)+fCs*SIN(2*PI()*$I174/cw)+fCc*COS(2*PI()*$I174/cw)</f>
        <v>-0.71604851316756624</v>
      </c>
      <c r="L174">
        <f>+QMA*COS(2*PI()*$I174/QM+QMP)</f>
        <v>-1.0755784909837947</v>
      </c>
      <c r="P174">
        <f t="shared" si="14"/>
        <v>1</v>
      </c>
    </row>
    <row r="175" spans="1:16" x14ac:dyDescent="0.25">
      <c r="A175" s="1"/>
      <c r="B175" t="s">
        <v>188</v>
      </c>
      <c r="C175" t="s">
        <v>24</v>
      </c>
      <c r="D175" s="3">
        <v>6.875</v>
      </c>
      <c r="E175" s="5">
        <f t="shared" si="10"/>
        <v>1814</v>
      </c>
      <c r="F175">
        <v>0.52873999999999999</v>
      </c>
      <c r="G175">
        <f t="shared" si="11"/>
        <v>-0.60739999999999972</v>
      </c>
      <c r="H175">
        <f t="shared" si="12"/>
        <v>-0.60739999999999972</v>
      </c>
      <c r="I175" s="5">
        <f t="shared" si="13"/>
        <v>162</v>
      </c>
      <c r="J175">
        <f>+H175+CF*F175*(1+($I175-1850)*slope/1000)+F175*hQc*COS(2*PI()*$I175/qbo+$L175)+F175*hQs*SIN(2*PI()*$I175/qbo+$L175)+F175*hCs*SIN(2*PI()*$I175/cw)+F175*hCc*COS(2*PI()*$I175/cw) +mix*F175*(hQc*COS(2*PI()*$I175/qbo+$L175)+hQs*SIN(2*PI()*$I175/qbo+$L175))*(hCs*SIN(2*PI()*$I175/cw)+hCc*COS(2*PI()*$I175/cw))</f>
        <v>3.8352414910834578</v>
      </c>
      <c r="K175">
        <f>fQc*COS(2*PI()*$I175/qbo+$L175)+fQs*SIN(2*PI()*$I175/qbo+$L175)+fCs*SIN(2*PI()*$I175/cw)+fCc*COS(2*PI()*$I175/cw)</f>
        <v>0.26711308590022942</v>
      </c>
      <c r="L175">
        <f>+QMA*COS(2*PI()*$I175/QM+QMP)</f>
        <v>-1.1562697104797204</v>
      </c>
      <c r="P175">
        <f t="shared" si="14"/>
        <v>1</v>
      </c>
    </row>
    <row r="176" spans="1:16" x14ac:dyDescent="0.25">
      <c r="A176" s="1"/>
      <c r="B176" t="s">
        <v>189</v>
      </c>
      <c r="C176" t="s">
        <v>24</v>
      </c>
      <c r="D176" s="3">
        <v>6.916666666666667</v>
      </c>
      <c r="E176" s="5">
        <f t="shared" si="10"/>
        <v>1815</v>
      </c>
      <c r="F176">
        <v>1.1735500000000001</v>
      </c>
      <c r="G176">
        <f t="shared" si="11"/>
        <v>-0.10818000000000016</v>
      </c>
      <c r="H176">
        <f t="shared" si="12"/>
        <v>-0.10818000000000016</v>
      </c>
      <c r="I176" s="5">
        <f t="shared" si="13"/>
        <v>163</v>
      </c>
      <c r="J176">
        <f>+H176+CF*F176*(1+($I176-1850)*slope/1000)+F176*hQc*COS(2*PI()*$I176/qbo+$L176)+F176*hQs*SIN(2*PI()*$I176/qbo+$L176)+F176*hCs*SIN(2*PI()*$I176/cw)+F176*hCc*COS(2*PI()*$I176/cw) +mix*F176*(hQc*COS(2*PI()*$I176/qbo+$L176)+hQs*SIN(2*PI()*$I176/qbo+$L176))*(hCs*SIN(2*PI()*$I176/cw)+hCc*COS(2*PI()*$I176/cw))</f>
        <v>11.338963645782938</v>
      </c>
      <c r="K176">
        <f>fQc*COS(2*PI()*$I176/qbo+$L176)+fQs*SIN(2*PI()*$I176/qbo+$L176)+fCs*SIN(2*PI()*$I176/cw)+fCc*COS(2*PI()*$I176/cw)</f>
        <v>-0.58102320873121283</v>
      </c>
      <c r="L176">
        <f>+QMA*COS(2*PI()*$I176/QM+QMP)</f>
        <v>-1.2172209727044701</v>
      </c>
      <c r="P176">
        <f t="shared" si="14"/>
        <v>0</v>
      </c>
    </row>
    <row r="177" spans="1:16" x14ac:dyDescent="0.25">
      <c r="A177" s="1"/>
      <c r="B177" t="s">
        <v>190</v>
      </c>
      <c r="C177" t="s">
        <v>24</v>
      </c>
      <c r="D177" s="3">
        <v>6.958333333333333</v>
      </c>
      <c r="E177" s="5">
        <f t="shared" si="10"/>
        <v>1816</v>
      </c>
      <c r="F177">
        <v>1.71018</v>
      </c>
      <c r="G177">
        <f t="shared" si="11"/>
        <v>-1.95078</v>
      </c>
      <c r="H177">
        <f t="shared" si="12"/>
        <v>-1.95078</v>
      </c>
      <c r="I177" s="5">
        <f t="shared" si="13"/>
        <v>164</v>
      </c>
      <c r="J177">
        <f>+H177+CF*F177*(1+($I177-1850)*slope/1000)+F177*hQc*COS(2*PI()*$I177/qbo+$L177)+F177*hQs*SIN(2*PI()*$I177/qbo+$L177)+F177*hCs*SIN(2*PI()*$I177/cw)+F177*hCc*COS(2*PI()*$I177/cw) +mix*F177*(hQc*COS(2*PI()*$I177/qbo+$L177)+hQs*SIN(2*PI()*$I177/qbo+$L177))*(hCs*SIN(2*PI()*$I177/cw)+hCc*COS(2*PI()*$I177/cw))</f>
        <v>46.785078364944681</v>
      </c>
      <c r="K177">
        <f>fQc*COS(2*PI()*$I177/qbo+$L177)+fQs*SIN(2*PI()*$I177/qbo+$L177)+fCs*SIN(2*PI()*$I177/cw)+fCc*COS(2*PI()*$I177/cw)</f>
        <v>1.2525537893334586</v>
      </c>
      <c r="L177">
        <f>+QMA*COS(2*PI()*$I177/QM+QMP)</f>
        <v>-1.2573917113429074</v>
      </c>
      <c r="P177">
        <f t="shared" si="14"/>
        <v>1</v>
      </c>
    </row>
    <row r="178" spans="1:16" x14ac:dyDescent="0.25">
      <c r="A178" s="1"/>
      <c r="B178" t="s">
        <v>191</v>
      </c>
      <c r="C178" t="s">
        <v>24</v>
      </c>
      <c r="D178" s="3">
        <v>7</v>
      </c>
      <c r="E178" s="5">
        <f t="shared" si="10"/>
        <v>1817</v>
      </c>
      <c r="F178">
        <v>0.29603000000000002</v>
      </c>
      <c r="G178">
        <f t="shared" si="11"/>
        <v>-8.0999999999999961E-3</v>
      </c>
      <c r="H178">
        <f t="shared" si="12"/>
        <v>-8.0999999999999961E-3</v>
      </c>
      <c r="I178" s="5">
        <f t="shared" si="13"/>
        <v>165</v>
      </c>
      <c r="J178">
        <f>+H178+CF*F178*(1+($I178-1850)*slope/1000)+F178*hQc*COS(2*PI()*$I178/qbo+$L178)+F178*hQs*SIN(2*PI()*$I178/qbo+$L178)+F178*hCs*SIN(2*PI()*$I178/cw)+F178*hCc*COS(2*PI()*$I178/cw) +mix*F178*(hQc*COS(2*PI()*$I178/qbo+$L178)+hQs*SIN(2*PI()*$I178/qbo+$L178))*(hCs*SIN(2*PI()*$I178/cw)+hCc*COS(2*PI()*$I178/cw))</f>
        <v>1.2990650383137234</v>
      </c>
      <c r="K178">
        <f>fQc*COS(2*PI()*$I178/qbo+$L178)+fQs*SIN(2*PI()*$I178/qbo+$L178)+fCs*SIN(2*PI()*$I178/cw)+fCc*COS(2*PI()*$I178/cw)</f>
        <v>1.7985555503119921E-2</v>
      </c>
      <c r="L178">
        <f>+QMA*COS(2*PI()*$I178/QM+QMP)</f>
        <v>-1.2760961273491116</v>
      </c>
      <c r="P178">
        <f t="shared" si="14"/>
        <v>1</v>
      </c>
    </row>
    <row r="179" spans="1:16" x14ac:dyDescent="0.25">
      <c r="A179" s="1"/>
      <c r="B179" t="s">
        <v>192</v>
      </c>
      <c r="C179" t="s">
        <v>24</v>
      </c>
      <c r="D179" s="3">
        <v>7.041666666666667</v>
      </c>
      <c r="E179" s="5">
        <f t="shared" si="10"/>
        <v>1818</v>
      </c>
      <c r="F179">
        <v>-1.12622</v>
      </c>
      <c r="G179">
        <f t="shared" si="11"/>
        <v>1.1086400000000001</v>
      </c>
      <c r="H179">
        <f t="shared" si="12"/>
        <v>1.1086400000000001</v>
      </c>
      <c r="I179" s="5">
        <f t="shared" si="13"/>
        <v>166</v>
      </c>
      <c r="J179">
        <f>+H179+CF*F179*(1+($I179-1850)*slope/1000)+F179*hQc*COS(2*PI()*$I179/qbo+$L179)+F179*hQs*SIN(2*PI()*$I179/qbo+$L179)+F179*hCs*SIN(2*PI()*$I179/cw)+F179*hCc*COS(2*PI()*$I179/cw) +mix*F179*(hQc*COS(2*PI()*$I179/qbo+$L179)+hQs*SIN(2*PI()*$I179/qbo+$L179))*(hCs*SIN(2*PI()*$I179/cw)+hCc*COS(2*PI()*$I179/cw))</f>
        <v>-19.567658547732805</v>
      </c>
      <c r="K179">
        <f>fQc*COS(2*PI()*$I179/qbo+$L179)+fQs*SIN(2*PI()*$I179/qbo+$L179)+fCs*SIN(2*PI()*$I179/cw)+fCc*COS(2*PI()*$I179/cw)</f>
        <v>0.70965915372824018</v>
      </c>
      <c r="L179">
        <f>+QMA*COS(2*PI()*$I179/QM+QMP)</f>
        <v>-1.2730148969793231</v>
      </c>
      <c r="P179">
        <f t="shared" si="14"/>
        <v>0</v>
      </c>
    </row>
    <row r="180" spans="1:16" x14ac:dyDescent="0.25">
      <c r="A180" s="1"/>
      <c r="B180" t="s">
        <v>193</v>
      </c>
      <c r="C180" t="s">
        <v>24</v>
      </c>
      <c r="D180" s="3">
        <v>7.083333333333333</v>
      </c>
      <c r="E180" s="5">
        <f t="shared" si="10"/>
        <v>1819</v>
      </c>
      <c r="F180">
        <v>-1.4398299999999999</v>
      </c>
      <c r="G180">
        <f t="shared" si="11"/>
        <v>-0.21862000000000004</v>
      </c>
      <c r="H180">
        <f t="shared" si="12"/>
        <v>-0.21862000000000004</v>
      </c>
      <c r="I180" s="5">
        <f t="shared" si="13"/>
        <v>167</v>
      </c>
      <c r="J180">
        <f>+H180+CF*F180*(1+($I180-1850)*slope/1000)+F180*hQc*COS(2*PI()*$I180/qbo+$L180)+F180*hQs*SIN(2*PI()*$I180/qbo+$L180)+F180*hCs*SIN(2*PI()*$I180/cw)+F180*hCc*COS(2*PI()*$I180/cw) +mix*F180*(hQc*COS(2*PI()*$I180/qbo+$L180)+hQs*SIN(2*PI()*$I180/qbo+$L180))*(hCs*SIN(2*PI()*$I180/cw)+hCc*COS(2*PI()*$I180/cw))</f>
        <v>-18.890419153778513</v>
      </c>
      <c r="K180">
        <f>fQc*COS(2*PI()*$I180/qbo+$L180)+fQs*SIN(2*PI()*$I180/qbo+$L180)+fCs*SIN(2*PI()*$I180/cw)+fCc*COS(2*PI()*$I180/cw)</f>
        <v>5.5634507371547848E-2</v>
      </c>
      <c r="L180">
        <f>+QMA*COS(2*PI()*$I180/QM+QMP)</f>
        <v>-1.2482006233202541</v>
      </c>
      <c r="P180">
        <f t="shared" si="14"/>
        <v>0</v>
      </c>
    </row>
    <row r="181" spans="1:16" x14ac:dyDescent="0.25">
      <c r="A181" s="1"/>
      <c r="B181" t="s">
        <v>194</v>
      </c>
      <c r="C181" t="s">
        <v>24</v>
      </c>
      <c r="D181" s="3">
        <v>7.125</v>
      </c>
      <c r="E181" s="5">
        <f t="shared" si="10"/>
        <v>1820</v>
      </c>
      <c r="F181">
        <v>-1.9720599999999999</v>
      </c>
      <c r="G181">
        <f t="shared" si="11"/>
        <v>2.8971200000000001</v>
      </c>
      <c r="H181">
        <f t="shared" si="12"/>
        <v>2.8971200000000001</v>
      </c>
      <c r="I181" s="5">
        <f t="shared" si="13"/>
        <v>168</v>
      </c>
      <c r="J181">
        <f>+H181+CF*F181*(1+($I181-1850)*slope/1000)+F181*hQc*COS(2*PI()*$I181/qbo+$L181)+F181*hQs*SIN(2*PI()*$I181/qbo+$L181)+F181*hCs*SIN(2*PI()*$I181/cw)+F181*hCc*COS(2*PI()*$I181/cw) +mix*F181*(hQc*COS(2*PI()*$I181/qbo+$L181)+hQs*SIN(2*PI()*$I181/qbo+$L181))*(hCs*SIN(2*PI()*$I181/cw)+hCc*COS(2*PI()*$I181/cw))</f>
        <v>-28.372808432188986</v>
      </c>
      <c r="K181">
        <f>fQc*COS(2*PI()*$I181/qbo+$L181)+fQs*SIN(2*PI()*$I181/qbo+$L181)+fCs*SIN(2*PI()*$I181/cw)+fCc*COS(2*PI()*$I181/cw)</f>
        <v>-0.72514747443566163</v>
      </c>
      <c r="L181">
        <f>+QMA*COS(2*PI()*$I181/QM+QMP)</f>
        <v>-1.2020769382436958</v>
      </c>
      <c r="P181">
        <f t="shared" si="14"/>
        <v>1</v>
      </c>
    </row>
    <row r="182" spans="1:16" x14ac:dyDescent="0.25">
      <c r="A182" s="1"/>
      <c r="B182" t="s">
        <v>195</v>
      </c>
      <c r="C182" t="s">
        <v>24</v>
      </c>
      <c r="D182" s="3">
        <v>7.166666666666667</v>
      </c>
      <c r="E182" s="5">
        <f t="shared" si="10"/>
        <v>1821</v>
      </c>
      <c r="F182">
        <v>0.39283000000000001</v>
      </c>
      <c r="G182">
        <f t="shared" si="11"/>
        <v>-3.3246099999999998</v>
      </c>
      <c r="H182">
        <f t="shared" si="12"/>
        <v>-3.3246099999999998</v>
      </c>
      <c r="I182" s="5">
        <f t="shared" si="13"/>
        <v>169</v>
      </c>
      <c r="J182">
        <f>+H182+CF*F182*(1+($I182-1850)*slope/1000)+F182*hQc*COS(2*PI()*$I182/qbo+$L182)+F182*hQs*SIN(2*PI()*$I182/qbo+$L182)+F182*hCs*SIN(2*PI()*$I182/cw)+F182*hCc*COS(2*PI()*$I182/cw) +mix*F182*(hQc*COS(2*PI()*$I182/qbo+$L182)+hQs*SIN(2*PI()*$I182/qbo+$L182))*(hCs*SIN(2*PI()*$I182/cw)+hCc*COS(2*PI()*$I182/cw))</f>
        <v>-4.0779780181506302</v>
      </c>
      <c r="K182">
        <f>fQc*COS(2*PI()*$I182/qbo+$L182)+fQs*SIN(2*PI()*$I182/qbo+$L182)+fCs*SIN(2*PI()*$I182/cw)+fCc*COS(2*PI()*$I182/cw)</f>
        <v>-9.3900946510696026E-3</v>
      </c>
      <c r="L182">
        <f>+QMA*COS(2*PI()*$I182/QM+QMP)</f>
        <v>-1.1354312701189531</v>
      </c>
      <c r="P182">
        <f t="shared" si="14"/>
        <v>1</v>
      </c>
    </row>
    <row r="183" spans="1:16" x14ac:dyDescent="0.25">
      <c r="A183" s="1"/>
      <c r="B183" t="s">
        <v>196</v>
      </c>
      <c r="C183" t="s">
        <v>24</v>
      </c>
      <c r="D183" s="3">
        <v>7.208333333333333</v>
      </c>
      <c r="E183" s="5">
        <f t="shared" si="10"/>
        <v>1822</v>
      </c>
      <c r="F183">
        <v>-0.56689000000000001</v>
      </c>
      <c r="G183">
        <f t="shared" si="11"/>
        <v>0.88999000000000006</v>
      </c>
      <c r="H183">
        <f t="shared" si="12"/>
        <v>0.88999000000000006</v>
      </c>
      <c r="I183" s="5">
        <f t="shared" si="13"/>
        <v>170</v>
      </c>
      <c r="J183">
        <f>+H183+CF*F183*(1+($I183-1850)*slope/1000)+F183*hQc*COS(2*PI()*$I183/qbo+$L183)+F183*hQs*SIN(2*PI()*$I183/qbo+$L183)+F183*hCs*SIN(2*PI()*$I183/cw)+F183*hCc*COS(2*PI()*$I183/cw) +mix*F183*(hQc*COS(2*PI()*$I183/qbo+$L183)+hQs*SIN(2*PI()*$I183/qbo+$L183))*(hCs*SIN(2*PI()*$I183/cw)+hCc*COS(2*PI()*$I183/cw))</f>
        <v>-12.550381128577042</v>
      </c>
      <c r="K183">
        <f>fQc*COS(2*PI()*$I183/qbo+$L183)+fQs*SIN(2*PI()*$I183/qbo+$L183)+fCs*SIN(2*PI()*$I183/cw)+fCc*COS(2*PI()*$I183/cw)</f>
        <v>-1.2543576188893251</v>
      </c>
      <c r="L183">
        <f>+QMA*COS(2*PI()*$I183/QM+QMP)</f>
        <v>-1.049401400753478</v>
      </c>
      <c r="P183">
        <f t="shared" si="14"/>
        <v>1</v>
      </c>
    </row>
    <row r="184" spans="1:16" x14ac:dyDescent="0.25">
      <c r="A184" s="1"/>
      <c r="B184" t="s">
        <v>197</v>
      </c>
      <c r="C184" t="s">
        <v>24</v>
      </c>
      <c r="D184" s="3">
        <v>7.25</v>
      </c>
      <c r="E184" s="5">
        <f t="shared" si="10"/>
        <v>1823</v>
      </c>
      <c r="F184">
        <v>-0.63661999999999996</v>
      </c>
      <c r="G184">
        <f t="shared" si="11"/>
        <v>0.91339999999999988</v>
      </c>
      <c r="H184">
        <f t="shared" si="12"/>
        <v>0.91339999999999988</v>
      </c>
      <c r="I184" s="5">
        <f t="shared" si="13"/>
        <v>171</v>
      </c>
      <c r="J184">
        <f>+H184+CF*F184*(1+($I184-1850)*slope/1000)+F184*hQc*COS(2*PI()*$I184/qbo+$L184)+F184*hQs*SIN(2*PI()*$I184/qbo+$L184)+F184*hCs*SIN(2*PI()*$I184/cw)+F184*hCc*COS(2*PI()*$I184/cw) +mix*F184*(hQc*COS(2*PI()*$I184/qbo+$L184)+hQs*SIN(2*PI()*$I184/qbo+$L184))*(hCs*SIN(2*PI()*$I184/cw)+hCc*COS(2*PI()*$I184/cw))</f>
        <v>-4.1953162709894958</v>
      </c>
      <c r="K184">
        <f>fQc*COS(2*PI()*$I184/qbo+$L184)+fQs*SIN(2*PI()*$I184/qbo+$L184)+fCs*SIN(2*PI()*$I184/cw)+fCc*COS(2*PI()*$I184/cw)</f>
        <v>0.5708046507139044</v>
      </c>
      <c r="L184">
        <f>+QMA*COS(2*PI()*$I184/QM+QMP)</f>
        <v>-0.94545604106300563</v>
      </c>
      <c r="P184">
        <f t="shared" si="14"/>
        <v>0</v>
      </c>
    </row>
    <row r="185" spans="1:16" x14ac:dyDescent="0.25">
      <c r="A185" s="1"/>
      <c r="B185" t="s">
        <v>198</v>
      </c>
      <c r="C185" t="s">
        <v>24</v>
      </c>
      <c r="D185" s="3">
        <v>7.291666666666667</v>
      </c>
      <c r="E185" s="5">
        <f t="shared" si="10"/>
        <v>1824</v>
      </c>
      <c r="F185">
        <v>0.20705000000000001</v>
      </c>
      <c r="G185">
        <f t="shared" si="11"/>
        <v>-0.43204999999999988</v>
      </c>
      <c r="H185">
        <f t="shared" si="12"/>
        <v>-0.43204999999999988</v>
      </c>
      <c r="I185" s="5">
        <f t="shared" si="13"/>
        <v>172</v>
      </c>
      <c r="J185">
        <f>+H185+CF*F185*(1+($I185-1850)*slope/1000)+F185*hQc*COS(2*PI()*$I185/qbo+$L185)+F185*hQs*SIN(2*PI()*$I185/qbo+$L185)+F185*hCs*SIN(2*PI()*$I185/cw)+F185*hCc*COS(2*PI()*$I185/cw) +mix*F185*(hQc*COS(2*PI()*$I185/qbo+$L185)+hQs*SIN(2*PI()*$I185/qbo+$L185))*(hCs*SIN(2*PI()*$I185/cw)+hCc*COS(2*PI()*$I185/cw))</f>
        <v>1.285621767000205</v>
      </c>
      <c r="K185">
        <f>fQc*COS(2*PI()*$I185/qbo+$L185)+fQs*SIN(2*PI()*$I185/qbo+$L185)+fCs*SIN(2*PI()*$I185/cw)+fCc*COS(2*PI()*$I185/cw)</f>
        <v>-0.48950636943889497</v>
      </c>
      <c r="L185">
        <f>+QMA*COS(2*PI()*$I185/QM+QMP)</f>
        <v>-0.82536975708540439</v>
      </c>
      <c r="P185">
        <f t="shared" si="14"/>
        <v>0</v>
      </c>
    </row>
    <row r="186" spans="1:16" x14ac:dyDescent="0.25">
      <c r="A186" s="1"/>
      <c r="B186" t="s">
        <v>199</v>
      </c>
      <c r="C186" t="s">
        <v>24</v>
      </c>
      <c r="D186" s="3">
        <v>7.333333333333333</v>
      </c>
      <c r="E186" s="5">
        <f t="shared" si="10"/>
        <v>1825</v>
      </c>
      <c r="F186">
        <v>0.61867000000000005</v>
      </c>
      <c r="G186">
        <f t="shared" si="11"/>
        <v>-1.02498</v>
      </c>
      <c r="H186">
        <f t="shared" si="12"/>
        <v>-1.02498</v>
      </c>
      <c r="I186" s="5">
        <f t="shared" si="13"/>
        <v>173</v>
      </c>
      <c r="J186">
        <f>+H186+CF*F186*(1+($I186-1850)*slope/1000)+F186*hQc*COS(2*PI()*$I186/qbo+$L186)+F186*hQs*SIN(2*PI()*$I186/qbo+$L186)+F186*hCs*SIN(2*PI()*$I186/cw)+F186*hCc*COS(2*PI()*$I186/cw) +mix*F186*(hQc*COS(2*PI()*$I186/qbo+$L186)+hQs*SIN(2*PI()*$I186/qbo+$L186))*(hCs*SIN(2*PI()*$I186/cw)+hCc*COS(2*PI()*$I186/cw))</f>
        <v>15.526226481092902</v>
      </c>
      <c r="K186">
        <f>fQc*COS(2*PI()*$I186/qbo+$L186)+fQs*SIN(2*PI()*$I186/qbo+$L186)+fCs*SIN(2*PI()*$I186/cw)+fCc*COS(2*PI()*$I186/cw)</f>
        <v>1.1156782859846393</v>
      </c>
      <c r="L186">
        <f>+QMA*COS(2*PI()*$I186/QM+QMP)</f>
        <v>-0.69119267440390464</v>
      </c>
      <c r="P186">
        <f t="shared" si="14"/>
        <v>1</v>
      </c>
    </row>
    <row r="187" spans="1:16" x14ac:dyDescent="0.25">
      <c r="A187" s="1"/>
      <c r="B187" t="s">
        <v>200</v>
      </c>
      <c r="C187" t="s">
        <v>24</v>
      </c>
      <c r="D187" s="3">
        <v>7.375</v>
      </c>
      <c r="E187" s="5">
        <f t="shared" si="10"/>
        <v>1826</v>
      </c>
      <c r="F187">
        <v>5.3099999999999996E-3</v>
      </c>
      <c r="G187">
        <f t="shared" si="11"/>
        <v>1.6189200000000001</v>
      </c>
      <c r="H187">
        <f t="shared" si="12"/>
        <v>1.6189200000000001</v>
      </c>
      <c r="I187" s="5">
        <f t="shared" si="13"/>
        <v>174</v>
      </c>
      <c r="J187">
        <f>+H187+CF*F187*(1+($I187-1850)*slope/1000)+F187*hQc*COS(2*PI()*$I187/qbo+$L187)+F187*hQs*SIN(2*PI()*$I187/qbo+$L187)+F187*hCs*SIN(2*PI()*$I187/cw)+F187*hCc*COS(2*PI()*$I187/cw) +mix*F187*(hQc*COS(2*PI()*$I187/qbo+$L187)+hQs*SIN(2*PI()*$I187/qbo+$L187))*(hCs*SIN(2*PI()*$I187/cw)+hCc*COS(2*PI()*$I187/cw))</f>
        <v>1.6607190890047303</v>
      </c>
      <c r="K187">
        <f>fQc*COS(2*PI()*$I187/qbo+$L187)+fQs*SIN(2*PI()*$I187/qbo+$L187)+fCs*SIN(2*PI()*$I187/cw)+fCc*COS(2*PI()*$I187/cw)</f>
        <v>0.20211058830739501</v>
      </c>
      <c r="L187">
        <f>+QMA*COS(2*PI()*$I187/QM+QMP)</f>
        <v>-0.5452154781890145</v>
      </c>
      <c r="P187">
        <f t="shared" si="14"/>
        <v>1</v>
      </c>
    </row>
    <row r="188" spans="1:16" x14ac:dyDescent="0.25">
      <c r="A188" s="1"/>
      <c r="B188" t="s">
        <v>201</v>
      </c>
      <c r="C188" t="s">
        <v>24</v>
      </c>
      <c r="D188" s="3">
        <v>7.416666666666667</v>
      </c>
      <c r="E188" s="5">
        <f t="shared" si="10"/>
        <v>1827</v>
      </c>
      <c r="F188">
        <v>1.0108699999999999</v>
      </c>
      <c r="G188">
        <f t="shared" si="11"/>
        <v>-0.80272999999999994</v>
      </c>
      <c r="H188">
        <f t="shared" si="12"/>
        <v>-0.80272999999999994</v>
      </c>
      <c r="I188" s="5">
        <f t="shared" si="13"/>
        <v>175</v>
      </c>
      <c r="J188">
        <f>+H188+CF*F188*(1+($I188-1850)*slope/1000)+F188*hQc*COS(2*PI()*$I188/qbo+$L188)+F188*hQs*SIN(2*PI()*$I188/qbo+$L188)+F188*hCs*SIN(2*PI()*$I188/cw)+F188*hCc*COS(2*PI()*$I188/cw) +mix*F188*(hQc*COS(2*PI()*$I188/qbo+$L188)+hQs*SIN(2*PI()*$I188/qbo+$L188))*(hCs*SIN(2*PI()*$I188/cw)+hCc*COS(2*PI()*$I188/cw))</f>
        <v>15.639425587111477</v>
      </c>
      <c r="K188">
        <f>fQc*COS(2*PI()*$I188/qbo+$L188)+fQs*SIN(2*PI()*$I188/qbo+$L188)+fCs*SIN(2*PI()*$I188/cw)+fCc*COS(2*PI()*$I188/cw)</f>
        <v>0.52405531701732599</v>
      </c>
      <c r="L188">
        <f>+QMA*COS(2*PI()*$I188/QM+QMP)</f>
        <v>-0.38993030638202114</v>
      </c>
      <c r="P188">
        <f t="shared" si="14"/>
        <v>1</v>
      </c>
    </row>
    <row r="189" spans="1:16" x14ac:dyDescent="0.25">
      <c r="A189" s="1"/>
      <c r="B189" t="s">
        <v>202</v>
      </c>
      <c r="C189" t="s">
        <v>24</v>
      </c>
      <c r="D189" s="3">
        <v>7.458333333333333</v>
      </c>
      <c r="E189" s="5">
        <f t="shared" si="10"/>
        <v>1828</v>
      </c>
      <c r="F189">
        <v>1.2137</v>
      </c>
      <c r="G189">
        <f t="shared" si="11"/>
        <v>-0.55542000000000002</v>
      </c>
      <c r="H189">
        <f t="shared" si="12"/>
        <v>-0.55542000000000002</v>
      </c>
      <c r="I189" s="5">
        <f t="shared" si="13"/>
        <v>176</v>
      </c>
      <c r="J189">
        <f>+H189+CF*F189*(1+($I189-1850)*slope/1000)+F189*hQc*COS(2*PI()*$I189/qbo+$L189)+F189*hQs*SIN(2*PI()*$I189/qbo+$L189)+F189*hCs*SIN(2*PI()*$I189/cw)+F189*hCc*COS(2*PI()*$I189/cw) +mix*F189*(hQc*COS(2*PI()*$I189/qbo+$L189)+hQs*SIN(2*PI()*$I189/qbo+$L189))*(hCs*SIN(2*PI()*$I189/cw)+hCc*COS(2*PI()*$I189/cw))</f>
        <v>14.557343574156791</v>
      </c>
      <c r="K189">
        <f>fQc*COS(2*PI()*$I189/qbo+$L189)+fQs*SIN(2*PI()*$I189/qbo+$L189)+fCs*SIN(2*PI()*$I189/cw)+fCc*COS(2*PI()*$I189/cw)</f>
        <v>2.0180622407128312E-2</v>
      </c>
      <c r="L189">
        <f>+QMA*COS(2*PI()*$I189/QM+QMP)</f>
        <v>-0.22798820365574554</v>
      </c>
      <c r="P189">
        <f t="shared" si="14"/>
        <v>1</v>
      </c>
    </row>
    <row r="190" spans="1:16" x14ac:dyDescent="0.25">
      <c r="A190" s="1"/>
      <c r="B190" t="s">
        <v>203</v>
      </c>
      <c r="C190" t="s">
        <v>24</v>
      </c>
      <c r="D190" s="3">
        <v>7.5</v>
      </c>
      <c r="E190" s="5">
        <f t="shared" si="10"/>
        <v>1829</v>
      </c>
      <c r="F190">
        <v>0.86111000000000004</v>
      </c>
      <c r="G190">
        <f t="shared" si="11"/>
        <v>-0.45816000000000012</v>
      </c>
      <c r="H190">
        <f t="shared" si="12"/>
        <v>-0.45816000000000012</v>
      </c>
      <c r="I190" s="5">
        <f t="shared" si="13"/>
        <v>177</v>
      </c>
      <c r="J190">
        <f>+H190+CF*F190*(1+($I190-1850)*slope/1000)+F190*hQc*COS(2*PI()*$I190/qbo+$L190)+F190*hQs*SIN(2*PI()*$I190/qbo+$L190)+F190*hCs*SIN(2*PI()*$I190/cw)+F190*hCc*COS(2*PI()*$I190/cw) +mix*F190*(hQc*COS(2*PI()*$I190/qbo+$L190)+hQs*SIN(2*PI()*$I190/qbo+$L190))*(hCs*SIN(2*PI()*$I190/cw)+hCc*COS(2*PI()*$I190/cw))</f>
        <v>12.451438895704889</v>
      </c>
      <c r="K190">
        <f>fQc*COS(2*PI()*$I190/qbo+$L190)+fQs*SIN(2*PI()*$I190/qbo+$L190)+fCs*SIN(2*PI()*$I190/cw)+fCc*COS(2*PI()*$I190/cw)</f>
        <v>-0.72303329240332759</v>
      </c>
      <c r="L190">
        <f>+QMA*COS(2*PI()*$I190/QM+QMP)</f>
        <v>-6.2153862502996718E-2</v>
      </c>
      <c r="P190">
        <f t="shared" si="14"/>
        <v>0</v>
      </c>
    </row>
    <row r="191" spans="1:16" x14ac:dyDescent="0.25">
      <c r="A191" s="1"/>
      <c r="B191" t="s">
        <v>204</v>
      </c>
      <c r="C191" t="s">
        <v>24</v>
      </c>
      <c r="D191" s="3">
        <v>7.541666666666667</v>
      </c>
      <c r="E191" s="5">
        <f t="shared" si="10"/>
        <v>1830</v>
      </c>
      <c r="F191">
        <v>5.0360000000000002E-2</v>
      </c>
      <c r="G191">
        <f t="shared" si="11"/>
        <v>0.28301000000000009</v>
      </c>
      <c r="H191">
        <f t="shared" si="12"/>
        <v>0.28301000000000009</v>
      </c>
      <c r="I191" s="5">
        <f t="shared" si="13"/>
        <v>178</v>
      </c>
      <c r="J191">
        <f>+H191+CF*F191*(1+($I191-1850)*slope/1000)+F191*hQc*COS(2*PI()*$I191/qbo+$L191)+F191*hQs*SIN(2*PI()*$I191/qbo+$L191)+F191*hCs*SIN(2*PI()*$I191/cw)+F191*hCc*COS(2*PI()*$I191/cw) +mix*F191*(hQc*COS(2*PI()*$I191/qbo+$L191)+hQs*SIN(2*PI()*$I191/qbo+$L191))*(hCs*SIN(2*PI()*$I191/cw)+hCc*COS(2*PI()*$I191/cw))</f>
        <v>0.30288193635835475</v>
      </c>
      <c r="K191">
        <f>fQc*COS(2*PI()*$I191/qbo+$L191)+fQs*SIN(2*PI()*$I191/qbo+$L191)+fCs*SIN(2*PI()*$I191/cw)+fCc*COS(2*PI()*$I191/cw)</f>
        <v>-0.11475062311276965</v>
      </c>
      <c r="L191">
        <f>+QMA*COS(2*PI()*$I191/QM+QMP)</f>
        <v>0.10474157588244995</v>
      </c>
      <c r="P191">
        <f t="shared" si="14"/>
        <v>0</v>
      </c>
    </row>
    <row r="192" spans="1:16" x14ac:dyDescent="0.25">
      <c r="A192" s="1"/>
      <c r="B192" t="s">
        <v>205</v>
      </c>
      <c r="C192" t="s">
        <v>24</v>
      </c>
      <c r="D192" s="3">
        <v>7.583333333333333</v>
      </c>
      <c r="E192" s="5">
        <f t="shared" si="10"/>
        <v>1831</v>
      </c>
      <c r="F192">
        <v>-0.47738000000000003</v>
      </c>
      <c r="G192">
        <f t="shared" si="11"/>
        <v>1.6845300000000001</v>
      </c>
      <c r="H192">
        <f t="shared" si="12"/>
        <v>1.6845300000000001</v>
      </c>
      <c r="I192" s="5">
        <f t="shared" si="13"/>
        <v>179</v>
      </c>
      <c r="J192">
        <f>+H192+CF*F192*(1+($I192-1850)*slope/1000)+F192*hQc*COS(2*PI()*$I192/qbo+$L192)+F192*hQs*SIN(2*PI()*$I192/qbo+$L192)+F192*hCs*SIN(2*PI()*$I192/cw)+F192*hCc*COS(2*PI()*$I192/cw) +mix*F192*(hQc*COS(2*PI()*$I192/qbo+$L192)+hQs*SIN(2*PI()*$I192/qbo+$L192))*(hCs*SIN(2*PI()*$I192/cw)+hCc*COS(2*PI()*$I192/cw))</f>
        <v>-8.3764846955415564</v>
      </c>
      <c r="K192">
        <f>fQc*COS(2*PI()*$I192/qbo+$L192)+fQs*SIN(2*PI()*$I192/qbo+$L192)+fCs*SIN(2*PI()*$I192/cw)+fCc*COS(2*PI()*$I192/cw)</f>
        <v>-1.1309147085358942</v>
      </c>
      <c r="L192">
        <f>+QMA*COS(2*PI()*$I192/QM+QMP)</f>
        <v>0.26984885514403867</v>
      </c>
      <c r="P192">
        <f t="shared" si="14"/>
        <v>1</v>
      </c>
    </row>
    <row r="193" spans="1:16" x14ac:dyDescent="0.25">
      <c r="A193" s="1"/>
      <c r="B193" t="s">
        <v>206</v>
      </c>
      <c r="C193" t="s">
        <v>24</v>
      </c>
      <c r="D193" s="3">
        <v>7.625</v>
      </c>
      <c r="E193" s="5">
        <f t="shared" si="10"/>
        <v>1832</v>
      </c>
      <c r="F193">
        <v>0.67940999999999996</v>
      </c>
      <c r="G193">
        <f t="shared" si="11"/>
        <v>0.30939000000000005</v>
      </c>
      <c r="H193">
        <f t="shared" si="12"/>
        <v>0.30939000000000005</v>
      </c>
      <c r="I193" s="5">
        <f t="shared" si="13"/>
        <v>180</v>
      </c>
      <c r="J193">
        <f>+H193+CF*F193*(1+($I193-1850)*slope/1000)+F193*hQc*COS(2*PI()*$I193/qbo+$L193)+F193*hQs*SIN(2*PI()*$I193/qbo+$L193)+F193*hCs*SIN(2*PI()*$I193/cw)+F193*hCc*COS(2*PI()*$I193/cw) +mix*F193*(hQc*COS(2*PI()*$I193/qbo+$L193)+hQs*SIN(2*PI()*$I193/qbo+$L193))*(hCs*SIN(2*PI()*$I193/cw)+hCc*COS(2*PI()*$I193/cw))</f>
        <v>7.2710026625780264</v>
      </c>
      <c r="K193">
        <f>fQc*COS(2*PI()*$I193/qbo+$L193)+fQs*SIN(2*PI()*$I193/qbo+$L193)+fCs*SIN(2*PI()*$I193/cw)+fCc*COS(2*PI()*$I193/cw)</f>
        <v>0.60945403178750079</v>
      </c>
      <c r="L193">
        <f>+QMA*COS(2*PI()*$I193/QM+QMP)</f>
        <v>0.43034924656455131</v>
      </c>
      <c r="P193">
        <f t="shared" si="14"/>
        <v>1</v>
      </c>
    </row>
    <row r="194" spans="1:16" x14ac:dyDescent="0.25">
      <c r="A194" s="1"/>
      <c r="B194" t="s">
        <v>207</v>
      </c>
      <c r="C194" t="s">
        <v>24</v>
      </c>
      <c r="D194" s="3">
        <v>7.666666666666667</v>
      </c>
      <c r="E194" s="5">
        <f t="shared" si="10"/>
        <v>1833</v>
      </c>
      <c r="F194">
        <v>2.1455899999999999</v>
      </c>
      <c r="G194">
        <f t="shared" si="11"/>
        <v>-2.7098499999999999</v>
      </c>
      <c r="H194">
        <f t="shared" si="12"/>
        <v>-2.7098499999999999</v>
      </c>
      <c r="I194" s="5">
        <f t="shared" si="13"/>
        <v>181</v>
      </c>
      <c r="J194">
        <f>+H194+CF*F194*(1+($I194-1850)*slope/1000)+F194*hQc*COS(2*PI()*$I194/qbo+$L194)+F194*hQs*SIN(2*PI()*$I194/qbo+$L194)+F194*hCs*SIN(2*PI()*$I194/cw)+F194*hCc*COS(2*PI()*$I194/cw) +mix*F194*(hQc*COS(2*PI()*$I194/qbo+$L194)+hQs*SIN(2*PI()*$I194/qbo+$L194))*(hCs*SIN(2*PI()*$I194/cw)+hCc*COS(2*PI()*$I194/cw))</f>
        <v>11.651097308922324</v>
      </c>
      <c r="K194">
        <f>fQc*COS(2*PI()*$I194/qbo+$L194)+fQs*SIN(2*PI()*$I194/qbo+$L194)+fCs*SIN(2*PI()*$I194/cw)+fCc*COS(2*PI()*$I194/cw)</f>
        <v>-0.48335001286851753</v>
      </c>
      <c r="L194">
        <f>+QMA*COS(2*PI()*$I194/QM+QMP)</f>
        <v>0.58350267069717532</v>
      </c>
      <c r="P194">
        <f t="shared" si="14"/>
        <v>0</v>
      </c>
    </row>
    <row r="195" spans="1:16" x14ac:dyDescent="0.25">
      <c r="A195" s="1"/>
      <c r="B195" t="s">
        <v>208</v>
      </c>
      <c r="C195" t="s">
        <v>24</v>
      </c>
      <c r="D195" s="3">
        <v>7.708333333333333</v>
      </c>
      <c r="E195" s="5">
        <f t="shared" si="10"/>
        <v>1834</v>
      </c>
      <c r="F195">
        <v>0.90192000000000005</v>
      </c>
      <c r="G195">
        <f t="shared" si="11"/>
        <v>0.3685299999999998</v>
      </c>
      <c r="H195">
        <f t="shared" si="12"/>
        <v>0.3685299999999998</v>
      </c>
      <c r="I195" s="5">
        <f t="shared" si="13"/>
        <v>182</v>
      </c>
      <c r="J195">
        <f>+H195+CF*F195*(1+($I195-1850)*slope/1000)+F195*hQc*COS(2*PI()*$I195/qbo+$L195)+F195*hQs*SIN(2*PI()*$I195/qbo+$L195)+F195*hCs*SIN(2*PI()*$I195/cw)+F195*hCc*COS(2*PI()*$I195/cw) +mix*F195*(hQc*COS(2*PI()*$I195/qbo+$L195)+hQs*SIN(2*PI()*$I195/qbo+$L195))*(hCs*SIN(2*PI()*$I195/cw)+hCc*COS(2*PI()*$I195/cw))</f>
        <v>26.86883741609201</v>
      </c>
      <c r="K195">
        <f>fQc*COS(2*PI()*$I195/qbo+$L195)+fQs*SIN(2*PI()*$I195/qbo+$L195)+fCs*SIN(2*PI()*$I195/cw)+fCc*COS(2*PI()*$I195/cw)</f>
        <v>1.2843994443151447</v>
      </c>
      <c r="L195">
        <f>+QMA*COS(2*PI()*$I195/QM+QMP)</f>
        <v>0.72669447628804995</v>
      </c>
      <c r="P195">
        <f t="shared" si="14"/>
        <v>1</v>
      </c>
    </row>
    <row r="196" spans="1:16" x14ac:dyDescent="0.25">
      <c r="A196" s="1"/>
      <c r="B196" t="s">
        <v>209</v>
      </c>
      <c r="C196" t="s">
        <v>24</v>
      </c>
      <c r="D196" s="3">
        <v>7.75</v>
      </c>
      <c r="E196" s="5">
        <f t="shared" si="10"/>
        <v>1835</v>
      </c>
      <c r="F196">
        <v>2.6780000000000002E-2</v>
      </c>
      <c r="G196">
        <f t="shared" si="11"/>
        <v>0.85698000000000008</v>
      </c>
      <c r="H196">
        <f t="shared" si="12"/>
        <v>0.85698000000000008</v>
      </c>
      <c r="I196" s="5">
        <f t="shared" si="13"/>
        <v>183</v>
      </c>
      <c r="J196">
        <f>+H196+CF*F196*(1+($I196-1850)*slope/1000)+F196*hQc*COS(2*PI()*$I196/qbo+$L196)+F196*hQs*SIN(2*PI()*$I196/qbo+$L196)+F196*hCs*SIN(2*PI()*$I196/cw)+F196*hCc*COS(2*PI()*$I196/cw) +mix*F196*(hQc*COS(2*PI()*$I196/qbo+$L196)+hQs*SIN(2*PI()*$I196/qbo+$L196))*(hCs*SIN(2*PI()*$I196/cw)+hCc*COS(2*PI()*$I196/cw))</f>
        <v>0.99258466172347282</v>
      </c>
      <c r="K196">
        <f>fQc*COS(2*PI()*$I196/qbo+$L196)+fQs*SIN(2*PI()*$I196/qbo+$L196)+fCs*SIN(2*PI()*$I196/cw)+fCc*COS(2*PI()*$I196/cw)</f>
        <v>-1.6148939676312604E-2</v>
      </c>
      <c r="L196">
        <f>+QMA*COS(2*PI()*$I196/QM+QMP)</f>
        <v>0.85748007787555913</v>
      </c>
      <c r="P196">
        <f t="shared" si="14"/>
        <v>0</v>
      </c>
    </row>
    <row r="197" spans="1:16" x14ac:dyDescent="0.25">
      <c r="A197" s="1"/>
      <c r="B197" t="s">
        <v>210</v>
      </c>
      <c r="C197" t="s">
        <v>24</v>
      </c>
      <c r="D197" s="3">
        <v>7.791666666666667</v>
      </c>
      <c r="E197" s="5">
        <f t="shared" si="10"/>
        <v>1836</v>
      </c>
      <c r="F197">
        <v>8.6199999999999992E-3</v>
      </c>
      <c r="G197">
        <f t="shared" si="11"/>
        <v>1.0293399999999999</v>
      </c>
      <c r="H197">
        <f t="shared" si="12"/>
        <v>1.0293399999999999</v>
      </c>
      <c r="I197" s="5">
        <f t="shared" si="13"/>
        <v>184</v>
      </c>
      <c r="J197">
        <f>+H197+CF*F197*(1+($I197-1850)*slope/1000)+F197*hQc*COS(2*PI()*$I197/qbo+$L197)+F197*hQs*SIN(2*PI()*$I197/qbo+$L197)+F197*hCs*SIN(2*PI()*$I197/cw)+F197*hCc*COS(2*PI()*$I197/cw) +mix*F197*(hQc*COS(2*PI()*$I197/qbo+$L197)+hQs*SIN(2*PI()*$I197/qbo+$L197))*(hCs*SIN(2*PI()*$I197/cw)+hCc*COS(2*PI()*$I197/cw))</f>
        <v>1.1726360298438032</v>
      </c>
      <c r="K197">
        <f>fQc*COS(2*PI()*$I197/qbo+$L197)+fQs*SIN(2*PI()*$I197/qbo+$L197)+fCs*SIN(2*PI()*$I197/cw)+fCc*COS(2*PI()*$I197/cw)</f>
        <v>0.68088314179148268</v>
      </c>
      <c r="L197">
        <f>+QMA*COS(2*PI()*$I197/QM+QMP)</f>
        <v>0.97362669000867574</v>
      </c>
      <c r="P197">
        <f t="shared" si="14"/>
        <v>1</v>
      </c>
    </row>
    <row r="198" spans="1:16" x14ac:dyDescent="0.25">
      <c r="A198" s="1"/>
      <c r="B198" t="s">
        <v>211</v>
      </c>
      <c r="C198" t="s">
        <v>24</v>
      </c>
      <c r="D198" s="3">
        <v>7.833333333333333</v>
      </c>
      <c r="E198" s="5">
        <f t="shared" si="10"/>
        <v>1837</v>
      </c>
      <c r="F198">
        <v>1.0198</v>
      </c>
      <c r="G198">
        <f t="shared" si="11"/>
        <v>-1.1686000000000001</v>
      </c>
      <c r="H198">
        <f t="shared" si="12"/>
        <v>-1.1686000000000001</v>
      </c>
      <c r="I198" s="5">
        <f t="shared" si="13"/>
        <v>185</v>
      </c>
      <c r="J198">
        <f>+H198+CF*F198*(1+($I198-1850)*slope/1000)+F198*hQc*COS(2*PI()*$I198/qbo+$L198)+F198*hQs*SIN(2*PI()*$I198/qbo+$L198)+F198*hCs*SIN(2*PI()*$I198/cw)+F198*hCc*COS(2*PI()*$I198/cw) +mix*F198*(hQc*COS(2*PI()*$I198/qbo+$L198)+hQs*SIN(2*PI()*$I198/qbo+$L198))*(hCs*SIN(2*PI()*$I198/cw)+hCc*COS(2*PI()*$I198/cw))</f>
        <v>12.730527771883724</v>
      </c>
      <c r="K198">
        <f>fQc*COS(2*PI()*$I198/qbo+$L198)+fQs*SIN(2*PI()*$I198/qbo+$L198)+fCs*SIN(2*PI()*$I198/cw)+fCc*COS(2*PI()*$I198/cw)</f>
        <v>-0.23036340496553359</v>
      </c>
      <c r="L198">
        <f>+QMA*COS(2*PI()*$I198/QM+QMP)</f>
        <v>1.0731514455934024</v>
      </c>
      <c r="P198">
        <f t="shared" si="14"/>
        <v>0</v>
      </c>
    </row>
    <row r="199" spans="1:16" x14ac:dyDescent="0.25">
      <c r="A199" s="1"/>
      <c r="B199" t="s">
        <v>212</v>
      </c>
      <c r="C199" t="s">
        <v>24</v>
      </c>
      <c r="D199" s="3">
        <v>7.875</v>
      </c>
      <c r="E199" s="5">
        <f t="shared" si="10"/>
        <v>1838</v>
      </c>
      <c r="F199">
        <v>0.86238000000000004</v>
      </c>
      <c r="G199">
        <f t="shared" si="11"/>
        <v>1.4644500000000003</v>
      </c>
      <c r="H199">
        <f t="shared" si="12"/>
        <v>1.4644500000000003</v>
      </c>
      <c r="I199" s="5">
        <f t="shared" si="13"/>
        <v>186</v>
      </c>
      <c r="J199">
        <f>+H199+CF*F199*(1+($I199-1850)*slope/1000)+F199*hQc*COS(2*PI()*$I199/qbo+$L199)+F199*hQs*SIN(2*PI()*$I199/qbo+$L199)+F199*hCs*SIN(2*PI()*$I199/cw)+F199*hCc*COS(2*PI()*$I199/cw) +mix*F199*(hQc*COS(2*PI()*$I199/qbo+$L199)+hQs*SIN(2*PI()*$I199/qbo+$L199))*(hCs*SIN(2*PI()*$I199/cw)+hCc*COS(2*PI()*$I199/cw))</f>
        <v>12.485289962309785</v>
      </c>
      <c r="K199">
        <f>fQc*COS(2*PI()*$I199/qbo+$L199)+fQs*SIN(2*PI()*$I199/qbo+$L199)+fCs*SIN(2*PI()*$I199/cw)+fCc*COS(2*PI()*$I199/cw)</f>
        <v>-0.65692852256559686</v>
      </c>
      <c r="L199">
        <f>+QMA*COS(2*PI()*$I199/QM+QMP)</f>
        <v>1.1543552476069017</v>
      </c>
      <c r="P199">
        <f t="shared" si="14"/>
        <v>0</v>
      </c>
    </row>
    <row r="200" spans="1:16" x14ac:dyDescent="0.25">
      <c r="A200" s="1"/>
      <c r="B200" t="s">
        <v>213</v>
      </c>
      <c r="C200" t="s">
        <v>24</v>
      </c>
      <c r="D200" s="3">
        <v>7.916666666666667</v>
      </c>
      <c r="E200" s="5">
        <f t="shared" si="10"/>
        <v>1839</v>
      </c>
      <c r="F200">
        <v>2.1694100000000001</v>
      </c>
      <c r="G200">
        <f t="shared" si="11"/>
        <v>-3.0995699999999999</v>
      </c>
      <c r="H200">
        <f t="shared" si="12"/>
        <v>-3.0995699999999999</v>
      </c>
      <c r="I200" s="5">
        <f t="shared" si="13"/>
        <v>187</v>
      </c>
      <c r="J200">
        <f>+H200+CF*F200*(1+($I200-1850)*slope/1000)+F200*hQc*COS(2*PI()*$I200/qbo+$L200)+F200*hQs*SIN(2*PI()*$I200/qbo+$L200)+F200*hCs*SIN(2*PI()*$I200/cw)+F200*hCc*COS(2*PI()*$I200/cw) +mix*F200*(hQc*COS(2*PI()*$I200/qbo+$L200)+hQs*SIN(2*PI()*$I200/qbo+$L200))*(hCs*SIN(2*PI()*$I200/cw)+hCc*COS(2*PI()*$I200/cw))</f>
        <v>-0.55071960864223257</v>
      </c>
      <c r="K200">
        <f>fQc*COS(2*PI()*$I200/qbo+$L200)+fQs*SIN(2*PI()*$I200/qbo+$L200)+fCs*SIN(2*PI()*$I200/cw)+fCc*COS(2*PI()*$I200/cw)</f>
        <v>-0.14435188942848204</v>
      </c>
      <c r="L200">
        <f>+QMA*COS(2*PI()*$I200/QM+QMP)</f>
        <v>1.2158517762593619</v>
      </c>
      <c r="P200">
        <f t="shared" si="14"/>
        <v>1</v>
      </c>
    </row>
    <row r="201" spans="1:16" x14ac:dyDescent="0.25">
      <c r="A201" s="1"/>
      <c r="B201" t="s">
        <v>214</v>
      </c>
      <c r="C201" t="s">
        <v>24</v>
      </c>
      <c r="D201" s="3">
        <v>7.958333333333333</v>
      </c>
      <c r="E201" s="5">
        <f t="shared" si="10"/>
        <v>1840</v>
      </c>
      <c r="F201">
        <v>0.37686999999999998</v>
      </c>
      <c r="G201">
        <f t="shared" si="11"/>
        <v>1.48078</v>
      </c>
      <c r="H201">
        <f t="shared" si="12"/>
        <v>1.48078</v>
      </c>
      <c r="I201" s="5">
        <f t="shared" si="13"/>
        <v>188</v>
      </c>
      <c r="J201">
        <f>+H201+CF*F201*(1+($I201-1850)*slope/1000)+F201*hQc*COS(2*PI()*$I201/qbo+$L201)+F201*hQs*SIN(2*PI()*$I201/qbo+$L201)+F201*hCs*SIN(2*PI()*$I201/cw)+F201*hCc*COS(2*PI()*$I201/cw) +mix*F201*(hQc*COS(2*PI()*$I201/qbo+$L201)+hQs*SIN(2*PI()*$I201/qbo+$L201))*(hCs*SIN(2*PI()*$I201/cw)+hCc*COS(2*PI()*$I201/cw))</f>
        <v>9.2847321258304625</v>
      </c>
      <c r="K201">
        <f>fQc*COS(2*PI()*$I201/qbo+$L201)+fQs*SIN(2*PI()*$I201/qbo+$L201)+fCs*SIN(2*PI()*$I201/cw)+fCc*COS(2*PI()*$I201/cw)</f>
        <v>-1.1171521205015216</v>
      </c>
      <c r="L201">
        <f>+QMA*COS(2*PI()*$I201/QM+QMP)</f>
        <v>1.2565911563902328</v>
      </c>
      <c r="P201">
        <f t="shared" si="14"/>
        <v>0</v>
      </c>
    </row>
    <row r="202" spans="1:16" x14ac:dyDescent="0.25">
      <c r="A202" s="1"/>
      <c r="B202" t="s">
        <v>215</v>
      </c>
      <c r="C202" t="s">
        <v>24</v>
      </c>
      <c r="D202" s="3">
        <v>8</v>
      </c>
      <c r="E202" s="5">
        <f t="shared" si="10"/>
        <v>1841</v>
      </c>
      <c r="F202">
        <v>6.5110000000000001E-2</v>
      </c>
      <c r="G202">
        <f t="shared" si="11"/>
        <v>-0.61817000000000011</v>
      </c>
      <c r="H202">
        <f t="shared" si="12"/>
        <v>-0.61817000000000011</v>
      </c>
      <c r="I202" s="5">
        <f t="shared" si="13"/>
        <v>189</v>
      </c>
      <c r="J202">
        <f>+H202+CF*F202*(1+($I202-1850)*slope/1000)+F202*hQc*COS(2*PI()*$I202/qbo+$L202)+F202*hQs*SIN(2*PI()*$I202/qbo+$L202)+F202*hCs*SIN(2*PI()*$I202/cw)+F202*hCc*COS(2*PI()*$I202/cw) +mix*F202*(hQc*COS(2*PI()*$I202/qbo+$L202)+hQs*SIN(2*PI()*$I202/qbo+$L202))*(hCs*SIN(2*PI()*$I202/cw)+hCc*COS(2*PI()*$I202/cw))</f>
        <v>0.1730346345380851</v>
      </c>
      <c r="K202">
        <f>fQc*COS(2*PI()*$I202/qbo+$L202)+fQs*SIN(2*PI()*$I202/qbo+$L202)+fCs*SIN(2*PI()*$I202/cw)+fCc*COS(2*PI()*$I202/cw)</f>
        <v>0.70462315204597559</v>
      </c>
      <c r="L202">
        <f>+QMA*COS(2*PI()*$I202/QM+QMP)</f>
        <v>1.2758778810466418</v>
      </c>
      <c r="P202">
        <f t="shared" si="14"/>
        <v>1</v>
      </c>
    </row>
    <row r="203" spans="1:16" x14ac:dyDescent="0.25">
      <c r="A203" s="1"/>
      <c r="B203" t="s">
        <v>216</v>
      </c>
      <c r="C203" t="s">
        <v>24</v>
      </c>
      <c r="D203" s="3">
        <v>8.0416666666666661</v>
      </c>
      <c r="E203" s="5">
        <f t="shared" si="10"/>
        <v>1842</v>
      </c>
      <c r="F203">
        <v>-0.86482000000000003</v>
      </c>
      <c r="G203">
        <f t="shared" si="11"/>
        <v>1.83446</v>
      </c>
      <c r="H203">
        <f t="shared" si="12"/>
        <v>1.83446</v>
      </c>
      <c r="I203" s="5">
        <f t="shared" si="13"/>
        <v>190</v>
      </c>
      <c r="J203">
        <f>+H203+CF*F203*(1+($I203-1850)*slope/1000)+F203*hQc*COS(2*PI()*$I203/qbo+$L203)+F203*hQs*SIN(2*PI()*$I203/qbo+$L203)+F203*hCs*SIN(2*PI()*$I203/cw)+F203*hCc*COS(2*PI()*$I203/cw) +mix*F203*(hQc*COS(2*PI()*$I203/qbo+$L203)+hQs*SIN(2*PI()*$I203/qbo+$L203))*(hCs*SIN(2*PI()*$I203/cw)+hCc*COS(2*PI()*$I203/cw))</f>
        <v>-3.316904781501135</v>
      </c>
      <c r="K203">
        <f>fQc*COS(2*PI()*$I203/qbo+$L203)+fQs*SIN(2*PI()*$I203/qbo+$L203)+fCs*SIN(2*PI()*$I203/cw)+fCc*COS(2*PI()*$I203/cw)</f>
        <v>-0.35949204267312213</v>
      </c>
      <c r="L203">
        <f>+QMA*COS(2*PI()*$I203/QM+QMP)</f>
        <v>1.2733826852507302</v>
      </c>
      <c r="P203">
        <f t="shared" si="14"/>
        <v>1</v>
      </c>
    </row>
    <row r="204" spans="1:16" x14ac:dyDescent="0.25">
      <c r="A204" s="1"/>
      <c r="B204" t="s">
        <v>217</v>
      </c>
      <c r="C204" t="s">
        <v>24</v>
      </c>
      <c r="D204" s="3">
        <v>8.0833333333333339</v>
      </c>
      <c r="E204" s="5">
        <f t="shared" si="10"/>
        <v>1843</v>
      </c>
      <c r="F204">
        <v>3.9710000000000002E-2</v>
      </c>
      <c r="G204">
        <f t="shared" si="11"/>
        <v>-0.38485000000000003</v>
      </c>
      <c r="H204">
        <f t="shared" si="12"/>
        <v>-0.38485000000000003</v>
      </c>
      <c r="I204" s="5">
        <f t="shared" si="13"/>
        <v>191</v>
      </c>
      <c r="J204">
        <f>+H204+CF*F204*(1+($I204-1850)*slope/1000)+F204*hQc*COS(2*PI()*$I204/qbo+$L204)+F204*hQs*SIN(2*PI()*$I204/qbo+$L204)+F204*hCs*SIN(2*PI()*$I204/cw)+F204*hCc*COS(2*PI()*$I204/cw) +mix*F204*(hQc*COS(2*PI()*$I204/qbo+$L204)+hQs*SIN(2*PI()*$I204/qbo+$L204))*(hCs*SIN(2*PI()*$I204/cw)+hCc*COS(2*PI()*$I204/cw))</f>
        <v>0.6334268006709296</v>
      </c>
      <c r="K204">
        <f>fQc*COS(2*PI()*$I204/qbo+$L204)+fQs*SIN(2*PI()*$I204/qbo+$L204)+fCs*SIN(2*PI()*$I204/cw)+fCc*COS(2*PI()*$I204/cw)</f>
        <v>1.0606961118505325</v>
      </c>
      <c r="L204">
        <f>+QMA*COS(2*PI()*$I204/QM+QMP)</f>
        <v>1.2491481672457529</v>
      </c>
      <c r="P204">
        <f t="shared" si="14"/>
        <v>1</v>
      </c>
    </row>
    <row r="205" spans="1:16" x14ac:dyDescent="0.25">
      <c r="A205" s="1"/>
      <c r="B205" t="s">
        <v>218</v>
      </c>
      <c r="C205" t="s">
        <v>24</v>
      </c>
      <c r="D205" s="3">
        <v>8.125</v>
      </c>
      <c r="E205" s="5">
        <f t="shared" ref="E205:E268" si="15">+E204+1</f>
        <v>1844</v>
      </c>
      <c r="F205">
        <v>0.55939000000000005</v>
      </c>
      <c r="G205">
        <f t="shared" ref="G205:G268" si="16">+(F206-F205)-(F205-F204)</f>
        <v>-0.66176000000000013</v>
      </c>
      <c r="H205">
        <f t="shared" ref="H205:H268" si="17">+G205</f>
        <v>-0.66176000000000013</v>
      </c>
      <c r="I205" s="5">
        <f t="shared" si="13"/>
        <v>192</v>
      </c>
      <c r="J205">
        <f>+H205+CF*F205*(1+($I205-1850)*slope/1000)+F205*hQc*COS(2*PI()*$I205/qbo+$L205)+F205*hQs*SIN(2*PI()*$I205/qbo+$L205)+F205*hCs*SIN(2*PI()*$I205/cw)+F205*hCc*COS(2*PI()*$I205/cw) +mix*F205*(hQc*COS(2*PI()*$I205/qbo+$L205)+hQs*SIN(2*PI()*$I205/qbo+$L205))*(hCs*SIN(2*PI()*$I205/cw)+hCc*COS(2*PI()*$I205/cw))</f>
        <v>6.3130047011818693</v>
      </c>
      <c r="K205">
        <f>fQc*COS(2*PI()*$I205/qbo+$L205)+fQs*SIN(2*PI()*$I205/qbo+$L205)+fCs*SIN(2*PI()*$I205/cw)+fCc*COS(2*PI()*$I205/cw)</f>
        <v>0.42927519965197047</v>
      </c>
      <c r="L205">
        <f>+QMA*COS(2*PI()*$I205/QM+QMP)</f>
        <v>1.2035880612544181</v>
      </c>
      <c r="P205">
        <f t="shared" si="14"/>
        <v>1</v>
      </c>
    </row>
    <row r="206" spans="1:16" x14ac:dyDescent="0.25">
      <c r="A206" s="1"/>
      <c r="B206" t="s">
        <v>219</v>
      </c>
      <c r="C206" t="s">
        <v>24</v>
      </c>
      <c r="D206" s="3">
        <v>8.1666666666666661</v>
      </c>
      <c r="E206" s="5">
        <f t="shared" si="15"/>
        <v>1845</v>
      </c>
      <c r="F206">
        <v>0.41731000000000001</v>
      </c>
      <c r="G206">
        <f t="shared" si="16"/>
        <v>0.73028999999999988</v>
      </c>
      <c r="H206">
        <f t="shared" si="17"/>
        <v>0.73028999999999988</v>
      </c>
      <c r="I206" s="5">
        <f t="shared" ref="I206:I269" si="18">+E206-1652</f>
        <v>193</v>
      </c>
      <c r="J206">
        <f>+H206+CF*F206*(1+($I206-1850)*slope/1000)+F206*hQc*COS(2*PI()*$I206/qbo+$L206)+F206*hQs*SIN(2*PI()*$I206/qbo+$L206)+F206*hCs*SIN(2*PI()*$I206/cw)+F206*hCc*COS(2*PI()*$I206/cw) +mix*F206*(hQc*COS(2*PI()*$I206/qbo+$L206)+hQs*SIN(2*PI()*$I206/qbo+$L206))*(hCs*SIN(2*PI()*$I206/cw)+hCc*COS(2*PI()*$I206/cw))</f>
        <v>6.0975035997824705</v>
      </c>
      <c r="K206">
        <f>fQc*COS(2*PI()*$I206/qbo+$L206)+fQs*SIN(2*PI()*$I206/qbo+$L206)+fCs*SIN(2*PI()*$I206/cw)+fCc*COS(2*PI()*$I206/cw)</f>
        <v>-4.9049427757098391E-2</v>
      </c>
      <c r="L206">
        <f>+QMA*COS(2*PI()*$I206/QM+QMP)</f>
        <v>1.1374801741650209</v>
      </c>
      <c r="P206">
        <f t="shared" ref="P206:P269" si="19">+IF(J206*K206&gt;0,1, 0)</f>
        <v>0</v>
      </c>
    </row>
    <row r="207" spans="1:16" x14ac:dyDescent="0.25">
      <c r="A207" s="1"/>
      <c r="B207" t="s">
        <v>220</v>
      </c>
      <c r="C207" t="s">
        <v>24</v>
      </c>
      <c r="D207" s="3">
        <v>8.2083333333333339</v>
      </c>
      <c r="E207" s="5">
        <f t="shared" si="15"/>
        <v>1846</v>
      </c>
      <c r="F207">
        <v>1.00552</v>
      </c>
      <c r="G207">
        <f t="shared" si="16"/>
        <v>-2.6277099999999995</v>
      </c>
      <c r="H207">
        <f t="shared" si="17"/>
        <v>-2.6277099999999995</v>
      </c>
      <c r="I207" s="5">
        <f t="shared" si="18"/>
        <v>194</v>
      </c>
      <c r="J207">
        <f>+H207+CF*F207*(1+($I207-1850)*slope/1000)+F207*hQc*COS(2*PI()*$I207/qbo+$L207)+F207*hQs*SIN(2*PI()*$I207/qbo+$L207)+F207*hCs*SIN(2*PI()*$I207/cw)+F207*hCc*COS(2*PI()*$I207/cw) +mix*F207*(hQc*COS(2*PI()*$I207/qbo+$L207)+hQs*SIN(2*PI()*$I207/qbo+$L207))*(hCs*SIN(2*PI()*$I207/cw)+hCc*COS(2*PI()*$I207/cw))</f>
        <v>2.9000012322754065</v>
      </c>
      <c r="K207">
        <f>fQc*COS(2*PI()*$I207/qbo+$L207)+fQs*SIN(2*PI()*$I207/qbo+$L207)+fCs*SIN(2*PI()*$I207/cw)+fCc*COS(2*PI()*$I207/cw)</f>
        <v>0.43710812152024014</v>
      </c>
      <c r="L207">
        <f>+QMA*COS(2*PI()*$I207/QM+QMP)</f>
        <v>1.0519531067310037</v>
      </c>
      <c r="P207">
        <f t="shared" si="19"/>
        <v>1</v>
      </c>
    </row>
    <row r="208" spans="1:16" x14ac:dyDescent="0.25">
      <c r="A208" s="1"/>
      <c r="B208" t="s">
        <v>221</v>
      </c>
      <c r="C208" t="s">
        <v>24</v>
      </c>
      <c r="D208" s="3">
        <v>8.25</v>
      </c>
      <c r="E208" s="5">
        <f t="shared" si="15"/>
        <v>1847</v>
      </c>
      <c r="F208">
        <v>-1.0339799999999999</v>
      </c>
      <c r="G208">
        <f t="shared" si="16"/>
        <v>3.3584299999999998</v>
      </c>
      <c r="H208">
        <f t="shared" si="17"/>
        <v>3.3584299999999998</v>
      </c>
      <c r="I208" s="5">
        <f t="shared" si="18"/>
        <v>195</v>
      </c>
      <c r="J208">
        <f>+H208+CF*F208*(1+($I208-1850)*slope/1000)+F208*hQc*COS(2*PI()*$I208/qbo+$L208)+F208*hQs*SIN(2*PI()*$I208/qbo+$L208)+F208*hCs*SIN(2*PI()*$I208/cw)+F208*hCc*COS(2*PI()*$I208/cw) +mix*F208*(hQc*COS(2*PI()*$I208/qbo+$L208)+hQs*SIN(2*PI()*$I208/qbo+$L208))*(hCs*SIN(2*PI()*$I208/cw)+hCc*COS(2*PI()*$I208/cw))</f>
        <v>-23.71697028631143</v>
      </c>
      <c r="K208">
        <f>fQc*COS(2*PI()*$I208/qbo+$L208)+fQs*SIN(2*PI()*$I208/qbo+$L208)+fCs*SIN(2*PI()*$I208/cw)+fCc*COS(2*PI()*$I208/cw)</f>
        <v>-1.2840762079444814</v>
      </c>
      <c r="L208">
        <f>+QMA*COS(2*PI()*$I208/QM+QMP)</f>
        <v>0.94846698598101709</v>
      </c>
      <c r="P208">
        <f t="shared" si="19"/>
        <v>1</v>
      </c>
    </row>
    <row r="209" spans="1:16" x14ac:dyDescent="0.25">
      <c r="A209" s="1"/>
      <c r="B209" t="s">
        <v>222</v>
      </c>
      <c r="C209" t="s">
        <v>24</v>
      </c>
      <c r="D209" s="3">
        <v>8.2916666666666661</v>
      </c>
      <c r="E209" s="5">
        <f t="shared" si="15"/>
        <v>1848</v>
      </c>
      <c r="F209">
        <v>0.28494999999999998</v>
      </c>
      <c r="G209">
        <f t="shared" si="16"/>
        <v>-1.40743</v>
      </c>
      <c r="H209">
        <f t="shared" si="17"/>
        <v>-1.40743</v>
      </c>
      <c r="I209" s="5">
        <f t="shared" si="18"/>
        <v>196</v>
      </c>
      <c r="J209">
        <f>+H209+CF*F209*(1+($I209-1850)*slope/1000)+F209*hQc*COS(2*PI()*$I209/qbo+$L209)+F209*hQs*SIN(2*PI()*$I209/qbo+$L209)+F209*hCs*SIN(2*PI()*$I209/cw)+F209*hCc*COS(2*PI()*$I209/cw) +mix*F209*(hQc*COS(2*PI()*$I209/qbo+$L209)+hQs*SIN(2*PI()*$I209/qbo+$L209))*(hCs*SIN(2*PI()*$I209/cw)+hCc*COS(2*PI()*$I209/cw))</f>
        <v>-2.8256418809423383</v>
      </c>
      <c r="K209">
        <f>fQc*COS(2*PI()*$I209/qbo+$L209)+fQs*SIN(2*PI()*$I209/qbo+$L209)+fCs*SIN(2*PI()*$I209/cw)+fCc*COS(2*PI()*$I209/cw)</f>
        <v>6.8184826340355748E-2</v>
      </c>
      <c r="L209">
        <f>+QMA*COS(2*PI()*$I209/QM+QMP)</f>
        <v>0.82878853777776162</v>
      </c>
      <c r="P209">
        <f t="shared" si="19"/>
        <v>0</v>
      </c>
    </row>
    <row r="210" spans="1:16" x14ac:dyDescent="0.25">
      <c r="A210" s="1"/>
      <c r="B210" t="s">
        <v>223</v>
      </c>
      <c r="C210" t="s">
        <v>24</v>
      </c>
      <c r="D210" s="3">
        <v>8.3333333333333339</v>
      </c>
      <c r="E210" s="5">
        <f t="shared" si="15"/>
        <v>1849</v>
      </c>
      <c r="F210">
        <v>0.19645000000000001</v>
      </c>
      <c r="G210">
        <f t="shared" si="16"/>
        <v>-9.4840000000000035E-2</v>
      </c>
      <c r="H210">
        <f t="shared" si="17"/>
        <v>-9.4840000000000035E-2</v>
      </c>
      <c r="I210" s="5">
        <f t="shared" si="18"/>
        <v>197</v>
      </c>
      <c r="J210">
        <f>+H210+CF*F210*(1+($I210-1850)*slope/1000)+F210*hQc*COS(2*PI()*$I210/qbo+$L210)+F210*hQs*SIN(2*PI()*$I210/qbo+$L210)+F210*hCs*SIN(2*PI()*$I210/cw)+F210*hCc*COS(2*PI()*$I210/cw) +mix*F210*(hQc*COS(2*PI()*$I210/qbo+$L210)+hQs*SIN(2*PI()*$I210/qbo+$L210))*(hCs*SIN(2*PI()*$I210/cw)+hCc*COS(2*PI()*$I210/cw))</f>
        <v>3.1432351331699593</v>
      </c>
      <c r="K210">
        <f>fQc*COS(2*PI()*$I210/qbo+$L210)+fQs*SIN(2*PI()*$I210/qbo+$L210)+fCs*SIN(2*PI()*$I210/cw)+fCc*COS(2*PI()*$I210/cw)</f>
        <v>-0.72490311156847831</v>
      </c>
      <c r="L210">
        <f>+QMA*COS(2*PI()*$I210/QM+QMP)</f>
        <v>0.69496092508953178</v>
      </c>
      <c r="P210">
        <f t="shared" si="19"/>
        <v>0</v>
      </c>
    </row>
    <row r="211" spans="1:16" x14ac:dyDescent="0.25">
      <c r="A211" s="1"/>
      <c r="B211" t="s">
        <v>224</v>
      </c>
      <c r="C211" t="s">
        <v>24</v>
      </c>
      <c r="D211" s="3">
        <v>8.375</v>
      </c>
      <c r="E211" s="5">
        <f t="shared" si="15"/>
        <v>1850</v>
      </c>
      <c r="F211">
        <v>1.311E-2</v>
      </c>
      <c r="G211">
        <f t="shared" si="16"/>
        <v>-0.64488999999999996</v>
      </c>
      <c r="H211">
        <f t="shared" si="17"/>
        <v>-0.64488999999999996</v>
      </c>
      <c r="I211" s="5">
        <f t="shared" si="18"/>
        <v>198</v>
      </c>
      <c r="J211">
        <f>+H211+CF*F211*(1+($I211-1850)*slope/1000)+F211*hQc*COS(2*PI()*$I211/qbo+$L211)+F211*hQs*SIN(2*PI()*$I211/qbo+$L211)+F211*hCs*SIN(2*PI()*$I211/cw)+F211*hCc*COS(2*PI()*$I211/cw) +mix*F211*(hQc*COS(2*PI()*$I211/qbo+$L211)+hQs*SIN(2*PI()*$I211/qbo+$L211))*(hCs*SIN(2*PI()*$I211/cw)+hCc*COS(2*PI()*$I211/cw))</f>
        <v>-0.47143350941111406</v>
      </c>
      <c r="K211">
        <f>fQc*COS(2*PI()*$I211/qbo+$L211)+fQs*SIN(2*PI()*$I211/qbo+$L211)+fCs*SIN(2*PI()*$I211/cw)+fCc*COS(2*PI()*$I211/cw)</f>
        <v>-0.12257049304742407</v>
      </c>
      <c r="L211">
        <f>+QMA*COS(2*PI()*$I211/QM+QMP)</f>
        <v>0.54926886689859955</v>
      </c>
      <c r="P211">
        <f t="shared" si="19"/>
        <v>1</v>
      </c>
    </row>
    <row r="212" spans="1:16" x14ac:dyDescent="0.25">
      <c r="A212" s="1"/>
      <c r="B212" t="s">
        <v>225</v>
      </c>
      <c r="C212" t="s">
        <v>24</v>
      </c>
      <c r="D212" s="3">
        <v>8.4166666666666661</v>
      </c>
      <c r="E212" s="5">
        <f t="shared" si="15"/>
        <v>1851</v>
      </c>
      <c r="F212">
        <v>-0.81511999999999996</v>
      </c>
      <c r="G212">
        <f t="shared" si="16"/>
        <v>3.0331700000000001</v>
      </c>
      <c r="H212">
        <f t="shared" si="17"/>
        <v>3.0331700000000001</v>
      </c>
      <c r="I212" s="5">
        <f t="shared" si="18"/>
        <v>199</v>
      </c>
      <c r="J212">
        <f>+H212+CF*F212*(1+($I212-1850)*slope/1000)+F212*hQc*COS(2*PI()*$I212/qbo+$L212)+F212*hQs*SIN(2*PI()*$I212/qbo+$L212)+F212*hCs*SIN(2*PI()*$I212/cw)+F212*hCc*COS(2*PI()*$I212/cw) +mix*F212*(hQc*COS(2*PI()*$I212/qbo+$L212)+hQs*SIN(2*PI()*$I212/qbo+$L212))*(hCs*SIN(2*PI()*$I212/cw)+hCc*COS(2*PI()*$I212/cw))</f>
        <v>-14.807086599150022</v>
      </c>
      <c r="K212">
        <f>fQc*COS(2*PI()*$I212/qbo+$L212)+fQs*SIN(2*PI()*$I212/qbo+$L212)+fCs*SIN(2*PI()*$I212/cw)+fCc*COS(2*PI()*$I212/cw)</f>
        <v>0.9451118241702352</v>
      </c>
      <c r="L212">
        <f>+QMA*COS(2*PI()*$I212/QM+QMP)</f>
        <v>0.39419963324013996</v>
      </c>
      <c r="P212">
        <f t="shared" si="19"/>
        <v>0</v>
      </c>
    </row>
    <row r="213" spans="1:16" x14ac:dyDescent="0.25">
      <c r="A213" s="1"/>
      <c r="B213" t="s">
        <v>226</v>
      </c>
      <c r="C213" t="s">
        <v>24</v>
      </c>
      <c r="D213" s="3">
        <v>8.4583333333333339</v>
      </c>
      <c r="E213" s="5">
        <f t="shared" si="15"/>
        <v>1852</v>
      </c>
      <c r="F213">
        <v>1.3898200000000001</v>
      </c>
      <c r="G213">
        <f t="shared" si="16"/>
        <v>-2.8027600000000001</v>
      </c>
      <c r="H213">
        <f t="shared" si="17"/>
        <v>-2.8027600000000001</v>
      </c>
      <c r="I213" s="5">
        <f t="shared" si="18"/>
        <v>200</v>
      </c>
      <c r="J213">
        <f>+H213+CF*F213*(1+($I213-1850)*slope/1000)+F213*hQc*COS(2*PI()*$I213/qbo+$L213)+F213*hQs*SIN(2*PI()*$I213/qbo+$L213)+F213*hCs*SIN(2*PI()*$I213/cw)+F213*hCc*COS(2*PI()*$I213/cw) +mix*F213*(hQc*COS(2*PI()*$I213/qbo+$L213)+hQs*SIN(2*PI()*$I213/qbo+$L213))*(hCs*SIN(2*PI()*$I213/cw)+hCc*COS(2*PI()*$I213/cw))</f>
        <v>-0.65375445056829307</v>
      </c>
      <c r="K213">
        <f>fQc*COS(2*PI()*$I213/qbo+$L213)+fQs*SIN(2*PI()*$I213/qbo+$L213)+fCs*SIN(2*PI()*$I213/cw)+fCc*COS(2*PI()*$I213/cw)</f>
        <v>-0.16057690933425955</v>
      </c>
      <c r="L213">
        <f>+QMA*COS(2*PI()*$I213/QM+QMP)</f>
        <v>0.23240058226834417</v>
      </c>
      <c r="P213">
        <f t="shared" si="19"/>
        <v>1</v>
      </c>
    </row>
    <row r="214" spans="1:16" x14ac:dyDescent="0.25">
      <c r="A214" s="1"/>
      <c r="B214" t="s">
        <v>227</v>
      </c>
      <c r="C214" t="s">
        <v>24</v>
      </c>
      <c r="D214" s="3">
        <v>8.5</v>
      </c>
      <c r="E214" s="5">
        <f t="shared" si="15"/>
        <v>1853</v>
      </c>
      <c r="F214">
        <v>0.79200000000000004</v>
      </c>
      <c r="G214">
        <f t="shared" si="16"/>
        <v>-0.41556999999999999</v>
      </c>
      <c r="H214">
        <f t="shared" si="17"/>
        <v>-0.41556999999999999</v>
      </c>
      <c r="I214" s="5">
        <f t="shared" si="18"/>
        <v>201</v>
      </c>
      <c r="J214">
        <f>+H214+CF*F214*(1+($I214-1850)*slope/1000)+F214*hQc*COS(2*PI()*$I214/qbo+$L214)+F214*hQs*SIN(2*PI()*$I214/qbo+$L214)+F214*hCs*SIN(2*PI()*$I214/cw)+F214*hCc*COS(2*PI()*$I214/cw) +mix*F214*(hQc*COS(2*PI()*$I214/qbo+$L214)+hQs*SIN(2*PI()*$I214/qbo+$L214))*(hCs*SIN(2*PI()*$I214/cw)+hCc*COS(2*PI()*$I214/cw))</f>
        <v>19.351761248688419</v>
      </c>
      <c r="K214">
        <f>fQc*COS(2*PI()*$I214/qbo+$L214)+fQs*SIN(2*PI()*$I214/qbo+$L214)+fCs*SIN(2*PI()*$I214/cw)+fCc*COS(2*PI()*$I214/cw)</f>
        <v>1.1938770347830014</v>
      </c>
      <c r="L214">
        <f>+QMA*COS(2*PI()*$I214/QM+QMP)</f>
        <v>6.6633964281522434E-2</v>
      </c>
      <c r="P214">
        <f t="shared" si="19"/>
        <v>1</v>
      </c>
    </row>
    <row r="215" spans="1:16" x14ac:dyDescent="0.25">
      <c r="A215" s="1"/>
      <c r="B215" t="s">
        <v>228</v>
      </c>
      <c r="C215" t="s">
        <v>24</v>
      </c>
      <c r="D215" s="3">
        <v>8.5416666666666661</v>
      </c>
      <c r="E215" s="5">
        <f t="shared" si="15"/>
        <v>1854</v>
      </c>
      <c r="F215">
        <v>-0.22139</v>
      </c>
      <c r="G215">
        <f t="shared" si="16"/>
        <v>0.86353000000000002</v>
      </c>
      <c r="H215">
        <f t="shared" si="17"/>
        <v>0.86353000000000002</v>
      </c>
      <c r="I215" s="5">
        <f t="shared" si="18"/>
        <v>202</v>
      </c>
      <c r="J215">
        <f>+H215+CF*F215*(1+($I215-1850)*slope/1000)+F215*hQc*COS(2*PI()*$I215/qbo+$L215)+F215*hQs*SIN(2*PI()*$I215/qbo+$L215)+F215*hCs*SIN(2*PI()*$I215/cw)+F215*hCc*COS(2*PI()*$I215/cw) +mix*F215*(hQc*COS(2*PI()*$I215/qbo+$L215)+hQs*SIN(2*PI()*$I215/qbo+$L215))*(hCs*SIN(2*PI()*$I215/cw)+hCc*COS(2*PI()*$I215/cw))</f>
        <v>-1.9612393591935551</v>
      </c>
      <c r="K215">
        <f>fQc*COS(2*PI()*$I215/qbo+$L215)+fQs*SIN(2*PI()*$I215/qbo+$L215)+fCs*SIN(2*PI()*$I215/cw)+fCc*COS(2*PI()*$I215/cw)</f>
        <v>-0.16585387446841329</v>
      </c>
      <c r="L215">
        <f>+QMA*COS(2*PI()*$I215/QM+QMP)</f>
        <v>-0.10027023570351702</v>
      </c>
      <c r="P215">
        <f t="shared" si="19"/>
        <v>1</v>
      </c>
    </row>
    <row r="216" spans="1:16" x14ac:dyDescent="0.25">
      <c r="A216" s="1"/>
      <c r="B216" t="s">
        <v>229</v>
      </c>
      <c r="C216" t="s">
        <v>24</v>
      </c>
      <c r="D216" s="3">
        <v>8.5833333333333339</v>
      </c>
      <c r="E216" s="5">
        <f t="shared" si="15"/>
        <v>1855</v>
      </c>
      <c r="F216">
        <v>-0.37125000000000002</v>
      </c>
      <c r="G216">
        <f t="shared" si="16"/>
        <v>2.0419100000000001</v>
      </c>
      <c r="H216">
        <f t="shared" si="17"/>
        <v>2.0419100000000001</v>
      </c>
      <c r="I216" s="5">
        <f t="shared" si="18"/>
        <v>203</v>
      </c>
      <c r="J216">
        <f>+H216+CF*F216*(1+($I216-1850)*slope/1000)+F216*hQc*COS(2*PI()*$I216/qbo+$L216)+F216*hQs*SIN(2*PI()*$I216/qbo+$L216)+F216*hCs*SIN(2*PI()*$I216/cw)+F216*hCc*COS(2*PI()*$I216/cw) +mix*F216*(hQc*COS(2*PI()*$I216/qbo+$L216)+hQs*SIN(2*PI()*$I216/qbo+$L216))*(hCs*SIN(2*PI()*$I216/cw)+hCc*COS(2*PI()*$I216/cw))</f>
        <v>-2.4896748541984719</v>
      </c>
      <c r="K216">
        <f>fQc*COS(2*PI()*$I216/qbo+$L216)+fQs*SIN(2*PI()*$I216/qbo+$L216)+fCs*SIN(2*PI()*$I216/cw)+fCc*COS(2*PI()*$I216/cw)</f>
        <v>-0.38154907097956398</v>
      </c>
      <c r="L216">
        <f>+QMA*COS(2*PI()*$I216/QM+QMP)</f>
        <v>-0.26546261175127495</v>
      </c>
      <c r="P216">
        <f t="shared" si="19"/>
        <v>1</v>
      </c>
    </row>
    <row r="217" spans="1:16" x14ac:dyDescent="0.25">
      <c r="A217" s="1"/>
      <c r="B217" t="s">
        <v>230</v>
      </c>
      <c r="C217" t="s">
        <v>24</v>
      </c>
      <c r="D217" s="3">
        <v>8.625</v>
      </c>
      <c r="E217" s="5">
        <f t="shared" si="15"/>
        <v>1856</v>
      </c>
      <c r="F217">
        <v>1.5207999999999999</v>
      </c>
      <c r="G217">
        <f t="shared" si="16"/>
        <v>-3.7130200000000002</v>
      </c>
      <c r="H217">
        <f t="shared" si="17"/>
        <v>-3.7130200000000002</v>
      </c>
      <c r="I217" s="5">
        <f t="shared" si="18"/>
        <v>204</v>
      </c>
      <c r="J217">
        <f>+H217+CF*F217*(1+($I217-1850)*slope/1000)+F217*hQc*COS(2*PI()*$I217/qbo+$L217)+F217*hQs*SIN(2*PI()*$I217/qbo+$L217)+F217*hCs*SIN(2*PI()*$I217/cw)+F217*hCc*COS(2*PI()*$I217/cw) +mix*F217*(hQc*COS(2*PI()*$I217/qbo+$L217)+hQs*SIN(2*PI()*$I217/qbo+$L217))*(hCs*SIN(2*PI()*$I217/cw)+hCc*COS(2*PI()*$I217/cw))</f>
        <v>-4.9061424756912988</v>
      </c>
      <c r="K217">
        <f>fQc*COS(2*PI()*$I217/qbo+$L217)+fQs*SIN(2*PI()*$I217/qbo+$L217)+fCs*SIN(2*PI()*$I217/cw)+fCc*COS(2*PI()*$I217/cw)</f>
        <v>5.5140607056407553E-3</v>
      </c>
      <c r="L217">
        <f>+QMA*COS(2*PI()*$I217/QM+QMP)</f>
        <v>-0.42612298236329815</v>
      </c>
      <c r="P217">
        <f t="shared" si="19"/>
        <v>0</v>
      </c>
    </row>
    <row r="218" spans="1:16" x14ac:dyDescent="0.25">
      <c r="A218" s="1"/>
      <c r="B218" t="s">
        <v>231</v>
      </c>
      <c r="C218" t="s">
        <v>24</v>
      </c>
      <c r="D218" s="3">
        <v>8.6666666666666661</v>
      </c>
      <c r="E218" s="5">
        <f t="shared" si="15"/>
        <v>1857</v>
      </c>
      <c r="F218">
        <v>-0.30016999999999999</v>
      </c>
      <c r="G218">
        <f t="shared" si="16"/>
        <v>2.5389900000000001</v>
      </c>
      <c r="H218">
        <f t="shared" si="17"/>
        <v>2.5389900000000001</v>
      </c>
      <c r="I218" s="5">
        <f t="shared" si="18"/>
        <v>205</v>
      </c>
      <c r="J218">
        <f>+H218+CF*F218*(1+($I218-1850)*slope/1000)+F218*hQc*COS(2*PI()*$I218/qbo+$L218)+F218*hQs*SIN(2*PI()*$I218/qbo+$L218)+F218*hCs*SIN(2*PI()*$I218/cw)+F218*hCc*COS(2*PI()*$I218/cw) +mix*F218*(hQc*COS(2*PI()*$I218/qbo+$L218)+hQs*SIN(2*PI()*$I218/qbo+$L218))*(hCs*SIN(2*PI()*$I218/cw)+hCc*COS(2*PI()*$I218/cw))</f>
        <v>-5.2330443109689062</v>
      </c>
      <c r="K218">
        <f>fQc*COS(2*PI()*$I218/qbo+$L218)+fQs*SIN(2*PI()*$I218/qbo+$L218)+fCs*SIN(2*PI()*$I218/cw)+fCc*COS(2*PI()*$I218/cw)</f>
        <v>-1.3459712548291698</v>
      </c>
      <c r="L218">
        <f>+QMA*COS(2*PI()*$I218/QM+QMP)</f>
        <v>-0.57950853691131954</v>
      </c>
      <c r="P218">
        <f t="shared" si="19"/>
        <v>1</v>
      </c>
    </row>
    <row r="219" spans="1:16" x14ac:dyDescent="0.25">
      <c r="A219" s="1"/>
      <c r="B219" t="s">
        <v>232</v>
      </c>
      <c r="C219" t="s">
        <v>24</v>
      </c>
      <c r="D219" s="3">
        <v>8.7083333333333339</v>
      </c>
      <c r="E219" s="5">
        <f t="shared" si="15"/>
        <v>1858</v>
      </c>
      <c r="F219">
        <v>0.41785</v>
      </c>
      <c r="G219">
        <f t="shared" si="16"/>
        <v>-1.84158</v>
      </c>
      <c r="H219">
        <f t="shared" si="17"/>
        <v>-1.84158</v>
      </c>
      <c r="I219" s="5">
        <f t="shared" si="18"/>
        <v>206</v>
      </c>
      <c r="J219">
        <f>+H219+CF*F219*(1+($I219-1850)*slope/1000)+F219*hQc*COS(2*PI()*$I219/qbo+$L219)+F219*hQs*SIN(2*PI()*$I219/qbo+$L219)+F219*hCs*SIN(2*PI()*$I219/cw)+F219*hCc*COS(2*PI()*$I219/cw) +mix*F219*(hQc*COS(2*PI()*$I219/qbo+$L219)+hQs*SIN(2*PI()*$I219/qbo+$L219))*(hCs*SIN(2*PI()*$I219/cw)+hCc*COS(2*PI()*$I219/cw))</f>
        <v>-0.26054926349747776</v>
      </c>
      <c r="K219">
        <f>fQc*COS(2*PI()*$I219/qbo+$L219)+fQs*SIN(2*PI()*$I219/qbo+$L219)+fCs*SIN(2*PI()*$I219/cw)+fCc*COS(2*PI()*$I219/cw)</f>
        <v>0.35147605059074294</v>
      </c>
      <c r="L219">
        <f>+QMA*COS(2*PI()*$I219/QM+QMP)</f>
        <v>-0.72300066118677631</v>
      </c>
      <c r="P219">
        <f t="shared" si="19"/>
        <v>0</v>
      </c>
    </row>
    <row r="220" spans="1:16" x14ac:dyDescent="0.25">
      <c r="A220" s="1"/>
      <c r="B220" t="s">
        <v>233</v>
      </c>
      <c r="C220" t="s">
        <v>24</v>
      </c>
      <c r="D220" s="3">
        <v>8.75</v>
      </c>
      <c r="E220" s="5">
        <f t="shared" si="15"/>
        <v>1859</v>
      </c>
      <c r="F220">
        <v>-0.70570999999999995</v>
      </c>
      <c r="G220">
        <f t="shared" si="16"/>
        <v>0.71167999999999976</v>
      </c>
      <c r="H220">
        <f t="shared" si="17"/>
        <v>0.71167999999999976</v>
      </c>
      <c r="I220" s="5">
        <f t="shared" si="18"/>
        <v>207</v>
      </c>
      <c r="J220">
        <f>+H220+CF*F220*(1+($I220-1850)*slope/1000)+F220*hQc*COS(2*PI()*$I220/qbo+$L220)+F220*hQs*SIN(2*PI()*$I220/qbo+$L220)+F220*hCs*SIN(2*PI()*$I220/cw)+F220*hCc*COS(2*PI()*$I220/cw) +mix*F220*(hQc*COS(2*PI()*$I220/qbo+$L220)+hQs*SIN(2*PI()*$I220/qbo+$L220))*(hCs*SIN(2*PI()*$I220/cw)+hCc*COS(2*PI()*$I220/cw))</f>
        <v>-7.7819010522668171</v>
      </c>
      <c r="K220">
        <f>fQc*COS(2*PI()*$I220/qbo+$L220)+fQs*SIN(2*PI()*$I220/qbo+$L220)+fCs*SIN(2*PI()*$I220/cw)+fCc*COS(2*PI()*$I220/cw)</f>
        <v>-0.30142661369518015</v>
      </c>
      <c r="L220">
        <f>+QMA*COS(2*PI()*$I220/QM+QMP)</f>
        <v>-0.85414964265610016</v>
      </c>
      <c r="P220">
        <f t="shared" si="19"/>
        <v>1</v>
      </c>
    </row>
    <row r="221" spans="1:16" x14ac:dyDescent="0.25">
      <c r="A221" s="1"/>
      <c r="B221" t="s">
        <v>234</v>
      </c>
      <c r="C221" t="s">
        <v>24</v>
      </c>
      <c r="D221" s="3">
        <v>8.7916666666666661</v>
      </c>
      <c r="E221" s="5">
        <f t="shared" si="15"/>
        <v>1860</v>
      </c>
      <c r="F221">
        <v>-1.1175900000000001</v>
      </c>
      <c r="G221">
        <f t="shared" si="16"/>
        <v>0.52851000000000015</v>
      </c>
      <c r="H221">
        <f t="shared" si="17"/>
        <v>0.52851000000000015</v>
      </c>
      <c r="I221" s="5">
        <f t="shared" si="18"/>
        <v>208</v>
      </c>
      <c r="J221">
        <f>+H221+CF*F221*(1+($I221-1850)*slope/1000)+F221*hQc*COS(2*PI()*$I221/qbo+$L221)+F221*hQs*SIN(2*PI()*$I221/qbo+$L221)+F221*hCs*SIN(2*PI()*$I221/cw)+F221*hCc*COS(2*PI()*$I221/cw) +mix*F221*(hQc*COS(2*PI()*$I221/qbo+$L221)+hQs*SIN(2*PI()*$I221/qbo+$L221))*(hCs*SIN(2*PI()*$I221/cw)+hCc*COS(2*PI()*$I221/cw))</f>
        <v>-16.583324454053358</v>
      </c>
      <c r="K221">
        <f>fQc*COS(2*PI()*$I221/qbo+$L221)+fQs*SIN(2*PI()*$I221/qbo+$L221)+fCs*SIN(2*PI()*$I221/cw)+fCc*COS(2*PI()*$I221/cw)</f>
        <v>0.39035671417150575</v>
      </c>
      <c r="L221">
        <f>+QMA*COS(2*PI()*$I221/QM+QMP)</f>
        <v>-0.97071649220897216</v>
      </c>
      <c r="P221">
        <f t="shared" si="19"/>
        <v>0</v>
      </c>
    </row>
    <row r="222" spans="1:16" x14ac:dyDescent="0.25">
      <c r="A222" s="1"/>
      <c r="B222" t="s">
        <v>235</v>
      </c>
      <c r="C222" t="s">
        <v>24</v>
      </c>
      <c r="D222" s="3">
        <v>8.8333333333333339</v>
      </c>
      <c r="E222" s="5">
        <f t="shared" si="15"/>
        <v>1861</v>
      </c>
      <c r="F222">
        <v>-1.0009600000000001</v>
      </c>
      <c r="G222">
        <f t="shared" si="16"/>
        <v>-0.15195000000000003</v>
      </c>
      <c r="H222">
        <f t="shared" si="17"/>
        <v>-0.15195000000000003</v>
      </c>
      <c r="I222" s="5">
        <f t="shared" si="18"/>
        <v>209</v>
      </c>
      <c r="J222">
        <f>+H222+CF*F222*(1+($I222-1850)*slope/1000)+F222*hQc*COS(2*PI()*$I222/qbo+$L222)+F222*hQs*SIN(2*PI()*$I222/qbo+$L222)+F222*hCs*SIN(2*PI()*$I222/cw)+F222*hCc*COS(2*PI()*$I222/cw) +mix*F222*(hQc*COS(2*PI()*$I222/qbo+$L222)+hQs*SIN(2*PI()*$I222/qbo+$L222))*(hCs*SIN(2*PI()*$I222/cw)+hCc*COS(2*PI()*$I222/cw))</f>
        <v>-23.407870424205882</v>
      </c>
      <c r="K222">
        <f>fQc*COS(2*PI()*$I222/qbo+$L222)+fQs*SIN(2*PI()*$I222/qbo+$L222)+fCs*SIN(2*PI()*$I222/cw)+fCc*COS(2*PI()*$I222/cw)</f>
        <v>1.0675727343065735</v>
      </c>
      <c r="L222">
        <f>+QMA*COS(2*PI()*$I222/QM+QMP)</f>
        <v>-1.0707111684142554</v>
      </c>
      <c r="P222">
        <f t="shared" si="19"/>
        <v>0</v>
      </c>
    </row>
    <row r="223" spans="1:16" x14ac:dyDescent="0.25">
      <c r="A223" s="1"/>
      <c r="B223" t="s">
        <v>236</v>
      </c>
      <c r="C223" t="s">
        <v>24</v>
      </c>
      <c r="D223" s="3">
        <v>8.875</v>
      </c>
      <c r="E223" s="5">
        <f t="shared" si="15"/>
        <v>1862</v>
      </c>
      <c r="F223">
        <v>-1.0362800000000001</v>
      </c>
      <c r="G223">
        <f t="shared" si="16"/>
        <v>-0.14271999999999996</v>
      </c>
      <c r="H223">
        <f t="shared" si="17"/>
        <v>-0.14271999999999996</v>
      </c>
      <c r="I223" s="5">
        <f t="shared" si="18"/>
        <v>210</v>
      </c>
      <c r="J223">
        <f>+H223+CF*F223*(1+($I223-1850)*slope/1000)+F223*hQc*COS(2*PI()*$I223/qbo+$L223)+F223*hQs*SIN(2*PI()*$I223/qbo+$L223)+F223*hCs*SIN(2*PI()*$I223/cw)+F223*hCc*COS(2*PI()*$I223/cw) +mix*F223*(hQc*COS(2*PI()*$I223/qbo+$L223)+hQs*SIN(2*PI()*$I223/qbo+$L223))*(hCs*SIN(2*PI()*$I223/cw)+hCc*COS(2*PI()*$I223/cw))</f>
        <v>-6.6286276640944184</v>
      </c>
      <c r="K223">
        <f>fQc*COS(2*PI()*$I223/qbo+$L223)+fQs*SIN(2*PI()*$I223/qbo+$L223)+fCs*SIN(2*PI()*$I223/cw)+fCc*COS(2*PI()*$I223/cw)</f>
        <v>-0.24482177035902764</v>
      </c>
      <c r="L223">
        <f>+QMA*COS(2*PI()*$I223/QM+QMP)</f>
        <v>-1.152426551715207</v>
      </c>
      <c r="P223">
        <f t="shared" si="19"/>
        <v>1</v>
      </c>
    </row>
    <row r="224" spans="1:16" x14ac:dyDescent="0.25">
      <c r="A224" s="1"/>
      <c r="B224" t="s">
        <v>237</v>
      </c>
      <c r="C224" t="s">
        <v>24</v>
      </c>
      <c r="D224" s="3">
        <v>8.9166666666666661</v>
      </c>
      <c r="E224" s="5">
        <f t="shared" si="15"/>
        <v>1863</v>
      </c>
      <c r="F224">
        <v>-1.2143200000000001</v>
      </c>
      <c r="G224">
        <f t="shared" si="16"/>
        <v>-0.2688299999999999</v>
      </c>
      <c r="H224">
        <f t="shared" si="17"/>
        <v>-0.2688299999999999</v>
      </c>
      <c r="I224" s="5">
        <f t="shared" si="18"/>
        <v>211</v>
      </c>
      <c r="J224">
        <f>+H224+CF*F224*(1+($I224-1850)*slope/1000)+F224*hQc*COS(2*PI()*$I224/qbo+$L224)+F224*hQs*SIN(2*PI()*$I224/qbo+$L224)+F224*hCs*SIN(2*PI()*$I224/cw)+F224*hCc*COS(2*PI()*$I224/cw) +mix*F224*(hQc*COS(2*PI()*$I224/qbo+$L224)+hQs*SIN(2*PI()*$I224/qbo+$L224))*(hCs*SIN(2*PI()*$I224/cw)+hCc*COS(2*PI()*$I224/cw))</f>
        <v>-14.985289750617277</v>
      </c>
      <c r="K224">
        <f>fQc*COS(2*PI()*$I224/qbo+$L224)+fQs*SIN(2*PI()*$I224/qbo+$L224)+fCs*SIN(2*PI()*$I224/cw)+fCc*COS(2*PI()*$I224/cw)</f>
        <v>0.86815810836053697</v>
      </c>
      <c r="L224">
        <f>+QMA*COS(2*PI()*$I224/QM+QMP)</f>
        <v>-1.2144675885528358</v>
      </c>
      <c r="P224">
        <f t="shared" si="19"/>
        <v>0</v>
      </c>
    </row>
    <row r="225" spans="1:16" x14ac:dyDescent="0.25">
      <c r="A225" s="1"/>
      <c r="B225" t="s">
        <v>238</v>
      </c>
      <c r="C225" t="s">
        <v>24</v>
      </c>
      <c r="D225" s="3">
        <v>8.9583333333333339</v>
      </c>
      <c r="E225" s="5">
        <f t="shared" si="15"/>
        <v>1864</v>
      </c>
      <c r="F225">
        <v>-1.6611899999999999</v>
      </c>
      <c r="G225">
        <f t="shared" si="16"/>
        <v>2.6381399999999999</v>
      </c>
      <c r="H225">
        <f t="shared" si="17"/>
        <v>2.6381399999999999</v>
      </c>
      <c r="I225" s="5">
        <f t="shared" si="18"/>
        <v>212</v>
      </c>
      <c r="J225">
        <f>+H225+CF*F225*(1+($I225-1850)*slope/1000)+F225*hQc*COS(2*PI()*$I225/qbo+$L225)+F225*hQs*SIN(2*PI()*$I225/qbo+$L225)+F225*hCs*SIN(2*PI()*$I225/cw)+F225*hCc*COS(2*PI()*$I225/cw) +mix*F225*(hQc*COS(2*PI()*$I225/qbo+$L225)+hQs*SIN(2*PI()*$I225/qbo+$L225))*(hCs*SIN(2*PI()*$I225/cw)+hCc*COS(2*PI()*$I225/cw))</f>
        <v>-31.581442163355749</v>
      </c>
      <c r="K225">
        <f>fQc*COS(2*PI()*$I225/qbo+$L225)+fQs*SIN(2*PI()*$I225/qbo+$L225)+fCs*SIN(2*PI()*$I225/cw)+fCc*COS(2*PI()*$I225/cw)</f>
        <v>-0.917289104488486</v>
      </c>
      <c r="L225">
        <f>+QMA*COS(2*PI()*$I225/QM+QMP)</f>
        <v>-1.255775107865984</v>
      </c>
      <c r="P225">
        <f t="shared" si="19"/>
        <v>1</v>
      </c>
    </row>
    <row r="226" spans="1:16" x14ac:dyDescent="0.25">
      <c r="A226" s="1"/>
      <c r="B226" t="s">
        <v>239</v>
      </c>
      <c r="C226" t="s">
        <v>24</v>
      </c>
      <c r="D226" s="3">
        <v>9</v>
      </c>
      <c r="E226" s="5">
        <f t="shared" si="15"/>
        <v>1865</v>
      </c>
      <c r="F226">
        <v>0.53008</v>
      </c>
      <c r="G226">
        <f t="shared" si="16"/>
        <v>-2.5571199999999998</v>
      </c>
      <c r="H226">
        <f t="shared" si="17"/>
        <v>-2.5571199999999998</v>
      </c>
      <c r="I226" s="5">
        <f t="shared" si="18"/>
        <v>213</v>
      </c>
      <c r="J226">
        <f>+H226+CF*F226*(1+($I226-1850)*slope/1000)+F226*hQc*COS(2*PI()*$I226/qbo+$L226)+F226*hQs*SIN(2*PI()*$I226/qbo+$L226)+F226*hCs*SIN(2*PI()*$I226/cw)+F226*hCc*COS(2*PI()*$I226/cw) +mix*F226*(hQc*COS(2*PI()*$I226/qbo+$L226)+hQs*SIN(2*PI()*$I226/qbo+$L226))*(hCs*SIN(2*PI()*$I226/cw)+hCc*COS(2*PI()*$I226/cw))</f>
        <v>-1.7225672009895208</v>
      </c>
      <c r="K226">
        <f>fQc*COS(2*PI()*$I226/qbo+$L226)+fQs*SIN(2*PI()*$I226/qbo+$L226)+fCs*SIN(2*PI()*$I226/cw)+fCc*COS(2*PI()*$I226/cw)</f>
        <v>-0.25690743532170784</v>
      </c>
      <c r="L226">
        <f>+QMA*COS(2*PI()*$I226/QM+QMP)</f>
        <v>-1.275643903370312</v>
      </c>
      <c r="P226">
        <f t="shared" si="19"/>
        <v>1</v>
      </c>
    </row>
    <row r="227" spans="1:16" x14ac:dyDescent="0.25">
      <c r="A227" s="1"/>
      <c r="B227" t="s">
        <v>240</v>
      </c>
      <c r="C227" t="s">
        <v>24</v>
      </c>
      <c r="D227" s="3">
        <v>9.0416666666666661</v>
      </c>
      <c r="E227" s="5">
        <f t="shared" si="15"/>
        <v>1866</v>
      </c>
      <c r="F227">
        <v>0.16422999999999999</v>
      </c>
      <c r="G227">
        <f t="shared" si="16"/>
        <v>0.22108000000000003</v>
      </c>
      <c r="H227">
        <f t="shared" si="17"/>
        <v>0.22108000000000003</v>
      </c>
      <c r="I227" s="5">
        <f t="shared" si="18"/>
        <v>214</v>
      </c>
      <c r="J227">
        <f>+H227+CF*F227*(1+($I227-1850)*slope/1000)+F227*hQc*COS(2*PI()*$I227/qbo+$L227)+F227*hQs*SIN(2*PI()*$I227/qbo+$L227)+F227*hCs*SIN(2*PI()*$I227/cw)+F227*hCc*COS(2*PI()*$I227/cw) +mix*F227*(hQc*COS(2*PI()*$I227/qbo+$L227)+hQs*SIN(2*PI()*$I227/qbo+$L227))*(hCs*SIN(2*PI()*$I227/cw)+hCc*COS(2*PI()*$I227/cw))</f>
        <v>2.0382900314015138</v>
      </c>
      <c r="K227">
        <f>fQc*COS(2*PI()*$I227/qbo+$L227)+fQs*SIN(2*PI()*$I227/qbo+$L227)+fCs*SIN(2*PI()*$I227/cw)+fCc*COS(2*PI()*$I227/cw)</f>
        <v>-0.53108411600147354</v>
      </c>
      <c r="L227">
        <f>+QMA*COS(2*PI()*$I227/QM+QMP)</f>
        <v>-1.2737347729136497</v>
      </c>
      <c r="P227">
        <f t="shared" si="19"/>
        <v>0</v>
      </c>
    </row>
    <row r="228" spans="1:16" x14ac:dyDescent="0.25">
      <c r="A228" s="1"/>
      <c r="B228" t="s">
        <v>241</v>
      </c>
      <c r="C228" t="s">
        <v>24</v>
      </c>
      <c r="D228" s="3">
        <v>9.0833333333333339</v>
      </c>
      <c r="E228" s="5">
        <f t="shared" si="15"/>
        <v>1867</v>
      </c>
      <c r="F228">
        <v>1.9460000000000002E-2</v>
      </c>
      <c r="G228">
        <f t="shared" si="16"/>
        <v>0.33774999999999999</v>
      </c>
      <c r="H228">
        <f t="shared" si="17"/>
        <v>0.33774999999999999</v>
      </c>
      <c r="I228" s="5">
        <f t="shared" si="18"/>
        <v>215</v>
      </c>
      <c r="J228">
        <f>+H228+CF*F228*(1+($I228-1850)*slope/1000)+F228*hQc*COS(2*PI()*$I228/qbo+$L228)+F228*hQs*SIN(2*PI()*$I228/qbo+$L228)+F228*hCs*SIN(2*PI()*$I228/cw)+F228*hCc*COS(2*PI()*$I228/cw) +mix*F228*(hQc*COS(2*PI()*$I228/qbo+$L228)+hQs*SIN(2*PI()*$I228/qbo+$L228))*(hCs*SIN(2*PI()*$I228/cw)+hCc*COS(2*PI()*$I228/cw))</f>
        <v>0.61813428991195052</v>
      </c>
      <c r="K228">
        <f>fQc*COS(2*PI()*$I228/qbo+$L228)+fQs*SIN(2*PI()*$I228/qbo+$L228)+fCs*SIN(2*PI()*$I228/cw)+fCc*COS(2*PI()*$I228/cw)</f>
        <v>-0.63595323064068077</v>
      </c>
      <c r="L228">
        <f>+QMA*COS(2*PI()*$I228/QM+QMP)</f>
        <v>-1.2500803093705646</v>
      </c>
      <c r="P228">
        <f t="shared" si="19"/>
        <v>0</v>
      </c>
    </row>
    <row r="229" spans="1:16" x14ac:dyDescent="0.25">
      <c r="A229" s="1"/>
      <c r="B229" t="s">
        <v>242</v>
      </c>
      <c r="C229" t="s">
        <v>24</v>
      </c>
      <c r="D229" s="3">
        <v>9.125</v>
      </c>
      <c r="E229" s="5">
        <f t="shared" si="15"/>
        <v>1868</v>
      </c>
      <c r="F229">
        <v>0.21243999999999999</v>
      </c>
      <c r="G229">
        <f t="shared" si="16"/>
        <v>1.2817400000000001</v>
      </c>
      <c r="H229">
        <f t="shared" si="17"/>
        <v>1.2817400000000001</v>
      </c>
      <c r="I229" s="5">
        <f t="shared" si="18"/>
        <v>216</v>
      </c>
      <c r="J229">
        <f>+H229+CF*F229*(1+($I229-1850)*slope/1000)+F229*hQc*COS(2*PI()*$I229/qbo+$L229)+F229*hQs*SIN(2*PI()*$I229/qbo+$L229)+F229*hCs*SIN(2*PI()*$I229/cw)+F229*hCc*COS(2*PI()*$I229/cw) +mix*F229*(hQc*COS(2*PI()*$I229/qbo+$L229)+hQs*SIN(2*PI()*$I229/qbo+$L229))*(hCs*SIN(2*PI()*$I229/cw)+hCc*COS(2*PI()*$I229/cw))</f>
        <v>4.8943072820220852</v>
      </c>
      <c r="K229">
        <f>fQc*COS(2*PI()*$I229/qbo+$L229)+fQs*SIN(2*PI()*$I229/qbo+$L229)+fCs*SIN(2*PI()*$I229/cw)+fCc*COS(2*PI()*$I229/cw)</f>
        <v>0.74730989417480598</v>
      </c>
      <c r="L229">
        <f>+QMA*COS(2*PI()*$I229/QM+QMP)</f>
        <v>-1.2050843442134034</v>
      </c>
      <c r="P229">
        <f t="shared" si="19"/>
        <v>1</v>
      </c>
    </row>
    <row r="230" spans="1:16" x14ac:dyDescent="0.25">
      <c r="A230" s="1"/>
      <c r="B230" t="s">
        <v>243</v>
      </c>
      <c r="C230" t="s">
        <v>24</v>
      </c>
      <c r="D230" s="3">
        <v>9.1666666666666661</v>
      </c>
      <c r="E230" s="5">
        <f t="shared" si="15"/>
        <v>1869</v>
      </c>
      <c r="F230">
        <v>1.68716</v>
      </c>
      <c r="G230">
        <f t="shared" si="16"/>
        <v>-3.8360799999999999</v>
      </c>
      <c r="H230">
        <f t="shared" si="17"/>
        <v>-3.8360799999999999</v>
      </c>
      <c r="I230" s="5">
        <f t="shared" si="18"/>
        <v>217</v>
      </c>
      <c r="J230">
        <f>+H230+CF*F230*(1+($I230-1850)*slope/1000)+F230*hQc*COS(2*PI()*$I230/qbo+$L230)+F230*hQs*SIN(2*PI()*$I230/qbo+$L230)+F230*hCs*SIN(2*PI()*$I230/cw)+F230*hCc*COS(2*PI()*$I230/cw) +mix*F230*(hQc*COS(2*PI()*$I230/qbo+$L230)+hQs*SIN(2*PI()*$I230/qbo+$L230))*(hCs*SIN(2*PI()*$I230/cw)+hCc*COS(2*PI()*$I230/cw))</f>
        <v>1.7374415519330491</v>
      </c>
      <c r="K230">
        <f>fQc*COS(2*PI()*$I230/qbo+$L230)+fQs*SIN(2*PI()*$I230/qbo+$L230)+fCs*SIN(2*PI()*$I230/cw)+fCc*COS(2*PI()*$I230/cw)</f>
        <v>-0.25172111601444408</v>
      </c>
      <c r="L230">
        <f>+QMA*COS(2*PI()*$I230/QM+QMP)</f>
        <v>-1.1395150532592135</v>
      </c>
      <c r="P230">
        <f t="shared" si="19"/>
        <v>0</v>
      </c>
    </row>
    <row r="231" spans="1:16" x14ac:dyDescent="0.25">
      <c r="A231" s="1"/>
      <c r="B231" t="s">
        <v>244</v>
      </c>
      <c r="C231" t="s">
        <v>24</v>
      </c>
      <c r="D231" s="3">
        <v>9.2083333333333339</v>
      </c>
      <c r="E231" s="5">
        <f t="shared" si="15"/>
        <v>1870</v>
      </c>
      <c r="F231">
        <v>-0.67420000000000002</v>
      </c>
      <c r="G231">
        <f t="shared" si="16"/>
        <v>1.8069799999999998</v>
      </c>
      <c r="H231">
        <f t="shared" si="17"/>
        <v>1.8069799999999998</v>
      </c>
      <c r="I231" s="5">
        <f t="shared" si="18"/>
        <v>218</v>
      </c>
      <c r="J231">
        <f>+H231+CF*F231*(1+($I231-1850)*slope/1000)+F231*hQc*COS(2*PI()*$I231/qbo+$L231)+F231*hQs*SIN(2*PI()*$I231/qbo+$L231)+F231*hCs*SIN(2*PI()*$I231/cw)+F231*hCc*COS(2*PI()*$I231/cw) +mix*F231*(hQc*COS(2*PI()*$I231/qbo+$L231)+hQs*SIN(2*PI()*$I231/qbo+$L231))*(hCs*SIN(2*PI()*$I231/cw)+hCc*COS(2*PI()*$I231/cw))</f>
        <v>-18.201595595180564</v>
      </c>
      <c r="K231">
        <f>fQc*COS(2*PI()*$I231/qbo+$L231)+fQs*SIN(2*PI()*$I231/qbo+$L231)+fCs*SIN(2*PI()*$I231/cw)+fCc*COS(2*PI()*$I231/cw)</f>
        <v>1.3686131241960848</v>
      </c>
      <c r="L231">
        <f>+QMA*COS(2*PI()*$I231/QM+QMP)</f>
        <v>-1.0544918422919658</v>
      </c>
      <c r="P231">
        <f t="shared" si="19"/>
        <v>0</v>
      </c>
    </row>
    <row r="232" spans="1:16" x14ac:dyDescent="0.25">
      <c r="A232" s="1"/>
      <c r="B232" t="s">
        <v>245</v>
      </c>
      <c r="C232" t="s">
        <v>24</v>
      </c>
      <c r="D232" s="3">
        <v>9.25</v>
      </c>
      <c r="E232" s="5">
        <f t="shared" si="15"/>
        <v>1871</v>
      </c>
      <c r="F232">
        <v>-1.22858</v>
      </c>
      <c r="G232">
        <f t="shared" si="16"/>
        <v>0.84607999999999994</v>
      </c>
      <c r="H232">
        <f t="shared" si="17"/>
        <v>0.84607999999999994</v>
      </c>
      <c r="I232" s="5">
        <f t="shared" si="18"/>
        <v>219</v>
      </c>
      <c r="J232">
        <f>+H232+CF*F232*(1+($I232-1850)*slope/1000)+F232*hQc*COS(2*PI()*$I232/qbo+$L232)+F232*hQs*SIN(2*PI()*$I232/qbo+$L232)+F232*hCs*SIN(2*PI()*$I232/cw)+F232*hCc*COS(2*PI()*$I232/cw) +mix*F232*(hQc*COS(2*PI()*$I232/qbo+$L232)+hQs*SIN(2*PI()*$I232/qbo+$L232))*(hCs*SIN(2*PI()*$I232/cw)+hCc*COS(2*PI()*$I232/cw))</f>
        <v>-7.6822780180224246</v>
      </c>
      <c r="K232">
        <f>fQc*COS(2*PI()*$I232/qbo+$L232)+fQs*SIN(2*PI()*$I232/qbo+$L232)+fCs*SIN(2*PI()*$I232/cw)+fCc*COS(2*PI()*$I232/cw)</f>
        <v>-0.25767916480354686</v>
      </c>
      <c r="L232">
        <f>+QMA*COS(2*PI()*$I232/QM+QMP)</f>
        <v>-0.95146623645007278</v>
      </c>
      <c r="P232">
        <f t="shared" si="19"/>
        <v>1</v>
      </c>
    </row>
    <row r="233" spans="1:16" x14ac:dyDescent="0.25">
      <c r="A233" s="1"/>
      <c r="B233" t="s">
        <v>246</v>
      </c>
      <c r="C233" t="s">
        <v>24</v>
      </c>
      <c r="D233" s="3">
        <v>9.2916666666666661</v>
      </c>
      <c r="E233" s="5">
        <f t="shared" si="15"/>
        <v>1872</v>
      </c>
      <c r="F233">
        <v>-0.93688000000000005</v>
      </c>
      <c r="G233">
        <f t="shared" si="16"/>
        <v>-0.18365999999999993</v>
      </c>
      <c r="H233">
        <f t="shared" si="17"/>
        <v>-0.18365999999999993</v>
      </c>
      <c r="I233" s="5">
        <f t="shared" si="18"/>
        <v>220</v>
      </c>
      <c r="J233">
        <f>+H233+CF*F233*(1+($I233-1850)*slope/1000)+F233*hQc*COS(2*PI()*$I233/qbo+$L233)+F233*hQs*SIN(2*PI()*$I233/qbo+$L233)+F233*hCs*SIN(2*PI()*$I233/cw)+F233*hCc*COS(2*PI()*$I233/cw) +mix*F233*(hQc*COS(2*PI()*$I233/qbo+$L233)+hQs*SIN(2*PI()*$I233/qbo+$L233))*(hCs*SIN(2*PI()*$I233/cw)+hCc*COS(2*PI()*$I233/cw))</f>
        <v>-10.110777144266399</v>
      </c>
      <c r="K233">
        <f>fQc*COS(2*PI()*$I233/qbo+$L233)+fQs*SIN(2*PI()*$I233/qbo+$L233)+fCs*SIN(2*PI()*$I233/cw)+fCc*COS(2*PI()*$I233/cw)</f>
        <v>0.55716695799704841</v>
      </c>
      <c r="L233">
        <f>+QMA*COS(2*PI()*$I233/QM+QMP)</f>
        <v>-0.83219709963763011</v>
      </c>
      <c r="P233">
        <f t="shared" si="19"/>
        <v>0</v>
      </c>
    </row>
    <row r="234" spans="1:16" x14ac:dyDescent="0.25">
      <c r="A234" s="1"/>
      <c r="B234" t="s">
        <v>247</v>
      </c>
      <c r="C234" t="s">
        <v>24</v>
      </c>
      <c r="D234" s="3">
        <v>9.3333333333333339</v>
      </c>
      <c r="E234" s="5">
        <f t="shared" si="15"/>
        <v>1873</v>
      </c>
      <c r="F234">
        <v>-0.82884000000000002</v>
      </c>
      <c r="G234">
        <f t="shared" si="16"/>
        <v>0.55813000000000001</v>
      </c>
      <c r="H234">
        <f t="shared" si="17"/>
        <v>0.55813000000000001</v>
      </c>
      <c r="I234" s="5">
        <f t="shared" si="18"/>
        <v>221</v>
      </c>
      <c r="J234">
        <f>+H234+CF*F234*(1+($I234-1850)*slope/1000)+F234*hQc*COS(2*PI()*$I234/qbo+$L234)+F234*hQs*SIN(2*PI()*$I234/qbo+$L234)+F234*hCs*SIN(2*PI()*$I234/cw)+F234*hCc*COS(2*PI()*$I234/cw) +mix*F234*(hQc*COS(2*PI()*$I234/qbo+$L234)+hQs*SIN(2*PI()*$I234/qbo+$L234))*(hCs*SIN(2*PI()*$I234/cw)+hCc*COS(2*PI()*$I234/cw))</f>
        <v>-13.332178397790749</v>
      </c>
      <c r="K234">
        <f>fQc*COS(2*PI()*$I234/qbo+$L234)+fQs*SIN(2*PI()*$I234/qbo+$L234)+fCs*SIN(2*PI()*$I234/cw)+fCc*COS(2*PI()*$I234/cw)</f>
        <v>-0.66933751891916871</v>
      </c>
      <c r="L234">
        <f>+QMA*COS(2*PI()*$I234/QM+QMP)</f>
        <v>-0.69872060701610872</v>
      </c>
      <c r="P234">
        <f t="shared" si="19"/>
        <v>1</v>
      </c>
    </row>
    <row r="235" spans="1:16" x14ac:dyDescent="0.25">
      <c r="A235" s="1"/>
      <c r="B235" t="s">
        <v>248</v>
      </c>
      <c r="C235" t="s">
        <v>24</v>
      </c>
      <c r="D235" s="3">
        <v>9.375</v>
      </c>
      <c r="E235" s="5">
        <f t="shared" si="15"/>
        <v>1874</v>
      </c>
      <c r="F235">
        <v>-0.16267000000000001</v>
      </c>
      <c r="G235">
        <f t="shared" si="16"/>
        <v>-0.27478000000000002</v>
      </c>
      <c r="H235">
        <f t="shared" si="17"/>
        <v>-0.27478000000000002</v>
      </c>
      <c r="I235" s="5">
        <f t="shared" si="18"/>
        <v>222</v>
      </c>
      <c r="J235">
        <f>+H235+CF*F235*(1+($I235-1850)*slope/1000)+F235*hQc*COS(2*PI()*$I235/qbo+$L235)+F235*hQs*SIN(2*PI()*$I235/qbo+$L235)+F235*hCs*SIN(2*PI()*$I235/cw)+F235*hCc*COS(2*PI()*$I235/cw) +mix*F235*(hQc*COS(2*PI()*$I235/qbo+$L235)+hQs*SIN(2*PI()*$I235/qbo+$L235))*(hCs*SIN(2*PI()*$I235/cw)+hCc*COS(2*PI()*$I235/cw))</f>
        <v>-1.3978055342850788</v>
      </c>
      <c r="K235">
        <f>fQc*COS(2*PI()*$I235/qbo+$L235)+fQs*SIN(2*PI()*$I235/qbo+$L235)+fCs*SIN(2*PI()*$I235/cw)+fCc*COS(2*PI()*$I235/cw)</f>
        <v>-0.52845151537188539</v>
      </c>
      <c r="L235">
        <f>+QMA*COS(2*PI()*$I235/QM+QMP)</f>
        <v>-0.55331548320934265</v>
      </c>
      <c r="P235">
        <f t="shared" si="19"/>
        <v>1</v>
      </c>
    </row>
    <row r="236" spans="1:16" x14ac:dyDescent="0.25">
      <c r="A236" s="1"/>
      <c r="B236" t="s">
        <v>249</v>
      </c>
      <c r="C236" t="s">
        <v>24</v>
      </c>
      <c r="D236" s="3">
        <v>9.4166666666666661</v>
      </c>
      <c r="E236" s="5">
        <f t="shared" si="15"/>
        <v>1875</v>
      </c>
      <c r="F236">
        <v>0.22872000000000001</v>
      </c>
      <c r="G236">
        <f t="shared" si="16"/>
        <v>-1.0702400000000001</v>
      </c>
      <c r="H236">
        <f t="shared" si="17"/>
        <v>-1.0702400000000001</v>
      </c>
      <c r="I236" s="5">
        <f t="shared" si="18"/>
        <v>223</v>
      </c>
      <c r="J236">
        <f>+H236+CF*F236*(1+($I236-1850)*slope/1000)+F236*hQc*COS(2*PI()*$I236/qbo+$L236)+F236*hQs*SIN(2*PI()*$I236/qbo+$L236)+F236*hCs*SIN(2*PI()*$I236/cw)+F236*hCc*COS(2*PI()*$I236/cw) +mix*F236*(hQc*COS(2*PI()*$I236/qbo+$L236)+hQs*SIN(2*PI()*$I236/qbo+$L236))*(hCs*SIN(2*PI()*$I236/cw)+hCc*COS(2*PI()*$I236/cw))</f>
        <v>0.85994326714586367</v>
      </c>
      <c r="K236">
        <f>fQc*COS(2*PI()*$I236/qbo+$L236)+fQs*SIN(2*PI()*$I236/qbo+$L236)+fCs*SIN(2*PI()*$I236/cw)+fCc*COS(2*PI()*$I236/cw)</f>
        <v>-0.35806168410845829</v>
      </c>
      <c r="L236">
        <f>+QMA*COS(2*PI()*$I236/QM+QMP)</f>
        <v>-0.3984640996787101</v>
      </c>
      <c r="P236">
        <f t="shared" si="19"/>
        <v>0</v>
      </c>
    </row>
    <row r="237" spans="1:16" x14ac:dyDescent="0.25">
      <c r="A237" s="1"/>
      <c r="B237" t="s">
        <v>250</v>
      </c>
      <c r="C237" t="s">
        <v>24</v>
      </c>
      <c r="D237" s="3">
        <v>9.4583333333333339</v>
      </c>
      <c r="E237" s="5">
        <f t="shared" si="15"/>
        <v>1876</v>
      </c>
      <c r="F237">
        <v>-0.45012999999999997</v>
      </c>
      <c r="G237">
        <f t="shared" si="16"/>
        <v>2.2897299999999996</v>
      </c>
      <c r="H237">
        <f t="shared" si="17"/>
        <v>2.2897299999999996</v>
      </c>
      <c r="I237" s="5">
        <f t="shared" si="18"/>
        <v>224</v>
      </c>
      <c r="J237">
        <f>+H237+CF*F237*(1+($I237-1850)*slope/1000)+F237*hQc*COS(2*PI()*$I237/qbo+$L237)+F237*hQs*SIN(2*PI()*$I237/qbo+$L237)+F237*hCs*SIN(2*PI()*$I237/cw)+F237*hCc*COS(2*PI()*$I237/cw) +mix*F237*(hQc*COS(2*PI()*$I237/qbo+$L237)+hQs*SIN(2*PI()*$I237/qbo+$L237))*(hCs*SIN(2*PI()*$I237/cw)+hCc*COS(2*PI()*$I237/cw))</f>
        <v>-4.105157228819321</v>
      </c>
      <c r="K237">
        <f>fQc*COS(2*PI()*$I237/qbo+$L237)+fQs*SIN(2*PI()*$I237/qbo+$L237)+fCs*SIN(2*PI()*$I237/cw)+fCc*COS(2*PI()*$I237/cw)</f>
        <v>-0.60692721966723773</v>
      </c>
      <c r="L237">
        <f>+QMA*COS(2*PI()*$I237/QM+QMP)</f>
        <v>-0.23681009541827319</v>
      </c>
      <c r="P237">
        <f t="shared" si="19"/>
        <v>1</v>
      </c>
    </row>
    <row r="238" spans="1:16" x14ac:dyDescent="0.25">
      <c r="A238" s="1"/>
      <c r="B238" t="s">
        <v>251</v>
      </c>
      <c r="C238" t="s">
        <v>24</v>
      </c>
      <c r="D238" s="3">
        <v>9.5</v>
      </c>
      <c r="E238" s="5">
        <f t="shared" si="15"/>
        <v>1877</v>
      </c>
      <c r="F238">
        <v>1.1607499999999999</v>
      </c>
      <c r="G238">
        <f t="shared" si="16"/>
        <v>-1.5945399999999998</v>
      </c>
      <c r="H238">
        <f t="shared" si="17"/>
        <v>-1.5945399999999998</v>
      </c>
      <c r="I238" s="5">
        <f t="shared" si="18"/>
        <v>225</v>
      </c>
      <c r="J238">
        <f>+H238+CF*F238*(1+($I238-1850)*slope/1000)+F238*hQc*COS(2*PI()*$I238/qbo+$L238)+F238*hQs*SIN(2*PI()*$I238/qbo+$L238)+F238*hCs*SIN(2*PI()*$I238/cw)+F238*hCc*COS(2*PI()*$I238/cw) +mix*F238*(hQc*COS(2*PI()*$I238/qbo+$L238)+hQs*SIN(2*PI()*$I238/qbo+$L238))*(hCs*SIN(2*PI()*$I238/cw)+hCc*COS(2*PI()*$I238/cw))</f>
        <v>19.452967596096336</v>
      </c>
      <c r="K238">
        <f>fQc*COS(2*PI()*$I238/qbo+$L238)+fQs*SIN(2*PI()*$I238/qbo+$L238)+fCs*SIN(2*PI()*$I238/cw)+fCc*COS(2*PI()*$I238/cw)</f>
        <v>0.77850403528338052</v>
      </c>
      <c r="L238">
        <f>+QMA*COS(2*PI()*$I238/QM+QMP)</f>
        <v>-7.1113244473735376E-2</v>
      </c>
      <c r="P238">
        <f t="shared" si="19"/>
        <v>1</v>
      </c>
    </row>
    <row r="239" spans="1:16" x14ac:dyDescent="0.25">
      <c r="A239" s="1"/>
      <c r="B239" t="s">
        <v>252</v>
      </c>
      <c r="C239" t="s">
        <v>24</v>
      </c>
      <c r="D239" s="3">
        <v>9.5416666666666661</v>
      </c>
      <c r="E239" s="5">
        <f t="shared" si="15"/>
        <v>1878</v>
      </c>
      <c r="F239">
        <v>1.17709</v>
      </c>
      <c r="G239">
        <f t="shared" si="16"/>
        <v>-2.12297</v>
      </c>
      <c r="H239">
        <f t="shared" si="17"/>
        <v>-2.12297</v>
      </c>
      <c r="I239" s="5">
        <f t="shared" si="18"/>
        <v>226</v>
      </c>
      <c r="J239">
        <f>+H239+CF*F239*(1+($I239-1850)*slope/1000)+F239*hQc*COS(2*PI()*$I239/qbo+$L239)+F239*hQs*SIN(2*PI()*$I239/qbo+$L239)+F239*hCs*SIN(2*PI()*$I239/cw)+F239*hCc*COS(2*PI()*$I239/cw) +mix*F239*(hQc*COS(2*PI()*$I239/qbo+$L239)+hQs*SIN(2*PI()*$I239/qbo+$L239))*(hCs*SIN(2*PI()*$I239/cw)+hCc*COS(2*PI()*$I239/cw))</f>
        <v>2.1590432029288031</v>
      </c>
      <c r="K239">
        <f>fQc*COS(2*PI()*$I239/qbo+$L239)+fQs*SIN(2*PI()*$I239/qbo+$L239)+fCs*SIN(2*PI()*$I239/cw)+fCc*COS(2*PI()*$I239/cw)</f>
        <v>-0.16956983764962563</v>
      </c>
      <c r="L239">
        <f>+QMA*COS(2*PI()*$I239/QM+QMP)</f>
        <v>9.5797659208332761E-2</v>
      </c>
      <c r="P239">
        <f t="shared" si="19"/>
        <v>0</v>
      </c>
    </row>
    <row r="240" spans="1:16" x14ac:dyDescent="0.25">
      <c r="A240" s="1"/>
      <c r="B240" t="s">
        <v>253</v>
      </c>
      <c r="C240" t="s">
        <v>24</v>
      </c>
      <c r="D240" s="3">
        <v>9.5833333333333339</v>
      </c>
      <c r="E240" s="5">
        <f t="shared" si="15"/>
        <v>1879</v>
      </c>
      <c r="F240">
        <v>-0.92954000000000003</v>
      </c>
      <c r="G240">
        <f t="shared" si="16"/>
        <v>1.21221</v>
      </c>
      <c r="H240">
        <f t="shared" si="17"/>
        <v>1.21221</v>
      </c>
      <c r="I240" s="5">
        <f t="shared" si="18"/>
        <v>227</v>
      </c>
      <c r="J240">
        <f>+H240+CF*F240*(1+($I240-1850)*slope/1000)+F240*hQc*COS(2*PI()*$I240/qbo+$L240)+F240*hQs*SIN(2*PI()*$I240/qbo+$L240)+F240*hCs*SIN(2*PI()*$I240/cw)+F240*hCc*COS(2*PI()*$I240/cw) +mix*F240*(hQc*COS(2*PI()*$I240/qbo+$L240)+hQs*SIN(2*PI()*$I240/qbo+$L240))*(hCs*SIN(2*PI()*$I240/cw)+hCc*COS(2*PI()*$I240/cw))</f>
        <v>-25.455540697747598</v>
      </c>
      <c r="K240">
        <f>fQc*COS(2*PI()*$I240/qbo+$L240)+fQs*SIN(2*PI()*$I240/qbo+$L240)+fCs*SIN(2*PI()*$I240/cw)+fCc*COS(2*PI()*$I240/cw)</f>
        <v>1.3575505156844088</v>
      </c>
      <c r="L240">
        <f>+QMA*COS(2*PI()*$I240/QM+QMP)</f>
        <v>0.26107309524620254</v>
      </c>
      <c r="P240">
        <f t="shared" si="19"/>
        <v>0</v>
      </c>
    </row>
    <row r="241" spans="1:16" x14ac:dyDescent="0.25">
      <c r="A241" s="1"/>
      <c r="B241" t="s">
        <v>254</v>
      </c>
      <c r="C241" t="s">
        <v>24</v>
      </c>
      <c r="D241" s="3">
        <v>9.625</v>
      </c>
      <c r="E241" s="5">
        <f t="shared" si="15"/>
        <v>1880</v>
      </c>
      <c r="F241">
        <v>-1.82396</v>
      </c>
      <c r="G241">
        <f t="shared" si="16"/>
        <v>3.1040900000000002</v>
      </c>
      <c r="H241">
        <f t="shared" si="17"/>
        <v>3.1040900000000002</v>
      </c>
      <c r="I241" s="5">
        <f t="shared" si="18"/>
        <v>228</v>
      </c>
      <c r="J241">
        <f>+H241+CF*F241*(1+($I241-1850)*slope/1000)+F241*hQc*COS(2*PI()*$I241/qbo+$L241)+F241*hQs*SIN(2*PI()*$I241/qbo+$L241)+F241*hCs*SIN(2*PI()*$I241/cw)+F241*hCc*COS(2*PI()*$I241/cw) +mix*F241*(hQc*COS(2*PI()*$I241/qbo+$L241)+hQs*SIN(2*PI()*$I241/qbo+$L241))*(hCs*SIN(2*PI()*$I241/cw)+hCc*COS(2*PI()*$I241/cw))</f>
        <v>-10.628460751165379</v>
      </c>
      <c r="K241">
        <f>fQc*COS(2*PI()*$I241/qbo+$L241)+fQs*SIN(2*PI()*$I241/qbo+$L241)+fCs*SIN(2*PI()*$I241/cw)+fCc*COS(2*PI()*$I241/cw)</f>
        <v>-0.3862764863086755</v>
      </c>
      <c r="L241">
        <f>+QMA*COS(2*PI()*$I241/QM+QMP)</f>
        <v>0.42189146413260742</v>
      </c>
      <c r="P241">
        <f t="shared" si="19"/>
        <v>1</v>
      </c>
    </row>
    <row r="242" spans="1:16" x14ac:dyDescent="0.25">
      <c r="A242" s="1"/>
      <c r="B242" t="s">
        <v>255</v>
      </c>
      <c r="C242" t="s">
        <v>24</v>
      </c>
      <c r="D242" s="3">
        <v>9.6666666666666661</v>
      </c>
      <c r="E242" s="5">
        <f t="shared" si="15"/>
        <v>1881</v>
      </c>
      <c r="F242">
        <v>0.38571</v>
      </c>
      <c r="G242">
        <f t="shared" si="16"/>
        <v>-2.3247300000000002</v>
      </c>
      <c r="H242">
        <f t="shared" si="17"/>
        <v>-2.3247300000000002</v>
      </c>
      <c r="I242" s="5">
        <f t="shared" si="18"/>
        <v>229</v>
      </c>
      <c r="J242">
        <f>+H242+CF*F242*(1+($I242-1850)*slope/1000)+F242*hQc*COS(2*PI()*$I242/qbo+$L242)+F242*hQs*SIN(2*PI()*$I242/qbo+$L242)+F242*hCs*SIN(2*PI()*$I242/cw)+F242*hCc*COS(2*PI()*$I242/cw) +mix*F242*(hQc*COS(2*PI()*$I242/qbo+$L242)+hQs*SIN(2*PI()*$I242/qbo+$L242))*(hCs*SIN(2*PI()*$I242/cw)+hCc*COS(2*PI()*$I242/cw))</f>
        <v>0.78680658067612974</v>
      </c>
      <c r="K242">
        <f>fQc*COS(2*PI()*$I242/qbo+$L242)+fQs*SIN(2*PI()*$I242/qbo+$L242)+fCs*SIN(2*PI()*$I242/cw)+fCc*COS(2*PI()*$I242/cw)</f>
        <v>0.64973779323242664</v>
      </c>
      <c r="L242">
        <f>+QMA*COS(2*PI()*$I242/QM+QMP)</f>
        <v>0.57550725787623236</v>
      </c>
      <c r="P242">
        <f t="shared" si="19"/>
        <v>1</v>
      </c>
    </row>
    <row r="243" spans="1:16" x14ac:dyDescent="0.25">
      <c r="A243" s="1"/>
      <c r="B243" t="s">
        <v>256</v>
      </c>
      <c r="C243" t="s">
        <v>24</v>
      </c>
      <c r="D243" s="3">
        <v>9.7083333333333339</v>
      </c>
      <c r="E243" s="5">
        <f t="shared" si="15"/>
        <v>1882</v>
      </c>
      <c r="F243">
        <v>0.27065</v>
      </c>
      <c r="G243">
        <f t="shared" si="16"/>
        <v>-0.93714000000000008</v>
      </c>
      <c r="H243">
        <f t="shared" si="17"/>
        <v>-0.93714000000000008</v>
      </c>
      <c r="I243" s="5">
        <f t="shared" si="18"/>
        <v>230</v>
      </c>
      <c r="J243">
        <f>+H243+CF*F243*(1+($I243-1850)*slope/1000)+F243*hQc*COS(2*PI()*$I243/qbo+$L243)+F243*hQs*SIN(2*PI()*$I243/qbo+$L243)+F243*hCs*SIN(2*PI()*$I243/cw)+F243*hCc*COS(2*PI()*$I243/cw) +mix*F243*(hQc*COS(2*PI()*$I243/qbo+$L243)+hQs*SIN(2*PI()*$I243/qbo+$L243))*(hCs*SIN(2*PI()*$I243/cw)+hCc*COS(2*PI()*$I243/cw))</f>
        <v>4.7183757968390569</v>
      </c>
      <c r="K243">
        <f>fQc*COS(2*PI()*$I243/qbo+$L243)+fQs*SIN(2*PI()*$I243/qbo+$L243)+fCs*SIN(2*PI()*$I243/cw)+fCc*COS(2*PI()*$I243/cw)</f>
        <v>-0.94844690335579096</v>
      </c>
      <c r="L243">
        <f>+QMA*COS(2*PI()*$I243/QM+QMP)</f>
        <v>0.71929793160092592</v>
      </c>
      <c r="P243">
        <f t="shared" si="19"/>
        <v>0</v>
      </c>
    </row>
    <row r="244" spans="1:16" x14ac:dyDescent="0.25">
      <c r="A244" s="1"/>
      <c r="B244" t="s">
        <v>257</v>
      </c>
      <c r="C244" t="s">
        <v>24</v>
      </c>
      <c r="D244" s="3">
        <v>9.75</v>
      </c>
      <c r="E244" s="5">
        <f t="shared" si="15"/>
        <v>1883</v>
      </c>
      <c r="F244">
        <v>-0.78154999999999997</v>
      </c>
      <c r="G244">
        <f t="shared" si="16"/>
        <v>2.1461699999999997</v>
      </c>
      <c r="H244">
        <f t="shared" si="17"/>
        <v>2.1461699999999997</v>
      </c>
      <c r="I244" s="5">
        <f t="shared" si="18"/>
        <v>231</v>
      </c>
      <c r="J244">
        <f>+H244+CF*F244*(1+($I244-1850)*slope/1000)+F244*hQc*COS(2*PI()*$I244/qbo+$L244)+F244*hQs*SIN(2*PI()*$I244/qbo+$L244)+F244*hCs*SIN(2*PI()*$I244/cw)+F244*hCc*COS(2*PI()*$I244/cw) +mix*F244*(hQc*COS(2*PI()*$I244/qbo+$L244)+hQs*SIN(2*PI()*$I244/qbo+$L244))*(hCs*SIN(2*PI()*$I244/cw)+hCc*COS(2*PI()*$I244/cw))</f>
        <v>1.1505508897093968</v>
      </c>
      <c r="K244">
        <f>fQc*COS(2*PI()*$I244/qbo+$L244)+fQs*SIN(2*PI()*$I244/qbo+$L244)+fCs*SIN(2*PI()*$I244/cw)+fCc*COS(2*PI()*$I244/cw)</f>
        <v>-0.28670130067153798</v>
      </c>
      <c r="L244">
        <f>+QMA*COS(2*PI()*$I244/QM+QMP)</f>
        <v>0.85080867590572296</v>
      </c>
      <c r="P244">
        <f t="shared" si="19"/>
        <v>0</v>
      </c>
    </row>
    <row r="245" spans="1:16" x14ac:dyDescent="0.25">
      <c r="A245" s="1"/>
      <c r="B245" t="s">
        <v>258</v>
      </c>
      <c r="C245" t="s">
        <v>24</v>
      </c>
      <c r="D245" s="3">
        <v>9.7916666666666661</v>
      </c>
      <c r="E245" s="5">
        <f t="shared" si="15"/>
        <v>1884</v>
      </c>
      <c r="F245">
        <v>0.31241999999999998</v>
      </c>
      <c r="G245">
        <f t="shared" si="16"/>
        <v>0.26290000000000013</v>
      </c>
      <c r="H245">
        <f t="shared" si="17"/>
        <v>0.26290000000000013</v>
      </c>
      <c r="I245" s="5">
        <f t="shared" si="18"/>
        <v>232</v>
      </c>
      <c r="J245">
        <f>+H245+CF*F245*(1+($I245-1850)*slope/1000)+F245*hQc*COS(2*PI()*$I245/qbo+$L245)+F245*hQs*SIN(2*PI()*$I245/qbo+$L245)+F245*hCs*SIN(2*PI()*$I245/cw)+F245*hCc*COS(2*PI()*$I245/cw) +mix*F245*(hQc*COS(2*PI()*$I245/qbo+$L245)+hQs*SIN(2*PI()*$I245/qbo+$L245))*(hCs*SIN(2*PI()*$I245/cw)+hCc*COS(2*PI()*$I245/cw))</f>
        <v>4.2285043411084127</v>
      </c>
      <c r="K245">
        <f>fQc*COS(2*PI()*$I245/qbo+$L245)+fQs*SIN(2*PI()*$I245/qbo+$L245)+fCs*SIN(2*PI()*$I245/cw)+fCc*COS(2*PI()*$I245/cw)</f>
        <v>-0.55307690457748648</v>
      </c>
      <c r="L245">
        <f>+QMA*COS(2*PI()*$I245/QM+QMP)</f>
        <v>0.96779432562739309</v>
      </c>
      <c r="P245">
        <f t="shared" si="19"/>
        <v>0</v>
      </c>
    </row>
    <row r="246" spans="1:16" x14ac:dyDescent="0.25">
      <c r="A246" s="1"/>
      <c r="B246" t="s">
        <v>259</v>
      </c>
      <c r="C246" t="s">
        <v>24</v>
      </c>
      <c r="D246" s="3">
        <v>9.8333333333333339</v>
      </c>
      <c r="E246" s="5">
        <f t="shared" si="15"/>
        <v>1885</v>
      </c>
      <c r="F246">
        <v>1.6692899999999999</v>
      </c>
      <c r="G246">
        <f t="shared" si="16"/>
        <v>-3.0097399999999999</v>
      </c>
      <c r="H246">
        <f t="shared" si="17"/>
        <v>-3.0097399999999999</v>
      </c>
      <c r="I246" s="5">
        <f t="shared" si="18"/>
        <v>233</v>
      </c>
      <c r="J246">
        <f>+H246+CF*F246*(1+($I246-1850)*slope/1000)+F246*hQc*COS(2*PI()*$I246/qbo+$L246)+F246*hQs*SIN(2*PI()*$I246/qbo+$L246)+F246*hCs*SIN(2*PI()*$I246/cw)+F246*hCc*COS(2*PI()*$I246/cw) +mix*F246*(hQc*COS(2*PI()*$I246/qbo+$L246)+hQs*SIN(2*PI()*$I246/qbo+$L246))*(hCs*SIN(2*PI()*$I246/cw)+hCc*COS(2*PI()*$I246/cw))</f>
        <v>18.623165169144126</v>
      </c>
      <c r="K246">
        <f>fQc*COS(2*PI()*$I246/qbo+$L246)+fQs*SIN(2*PI()*$I246/qbo+$L246)+fCs*SIN(2*PI()*$I246/cw)+fCc*COS(2*PI()*$I246/cw)</f>
        <v>-0.37148998378867948</v>
      </c>
      <c r="L246">
        <f>+QMA*COS(2*PI()*$I246/QM+QMP)</f>
        <v>1.0682576895345859</v>
      </c>
      <c r="P246">
        <f t="shared" si="19"/>
        <v>0</v>
      </c>
    </row>
    <row r="247" spans="1:16" x14ac:dyDescent="0.25">
      <c r="A247" s="1"/>
      <c r="B247" t="s">
        <v>260</v>
      </c>
      <c r="C247" t="s">
        <v>24</v>
      </c>
      <c r="D247" s="3">
        <v>9.875</v>
      </c>
      <c r="E247" s="5">
        <f t="shared" si="15"/>
        <v>1886</v>
      </c>
      <c r="F247">
        <v>1.6420000000000001E-2</v>
      </c>
      <c r="G247">
        <f t="shared" si="16"/>
        <v>-0.11202000000000023</v>
      </c>
      <c r="H247">
        <f t="shared" si="17"/>
        <v>-0.11202000000000023</v>
      </c>
      <c r="I247" s="5">
        <f t="shared" si="18"/>
        <v>234</v>
      </c>
      <c r="J247">
        <f>+H247+CF*F247*(1+($I247-1850)*slope/1000)+F247*hQc*COS(2*PI()*$I247/qbo+$L247)+F247*hQs*SIN(2*PI()*$I247/qbo+$L247)+F247*hCs*SIN(2*PI()*$I247/cw)+F247*hCc*COS(2*PI()*$I247/cw) +mix*F247*(hQc*COS(2*PI()*$I247/qbo+$L247)+hQs*SIN(2*PI()*$I247/qbo+$L247))*(hCs*SIN(2*PI()*$I247/cw)+hCc*COS(2*PI()*$I247/cw))</f>
        <v>0.19098671719852101</v>
      </c>
      <c r="K247">
        <f>fQc*COS(2*PI()*$I247/qbo+$L247)+fQs*SIN(2*PI()*$I247/qbo+$L247)+fCs*SIN(2*PI()*$I247/cw)+fCc*COS(2*PI()*$I247/cw)</f>
        <v>0.75358891055199262</v>
      </c>
      <c r="L247">
        <f>+QMA*COS(2*PI()*$I247/QM+QMP)</f>
        <v>1.1504836465851498</v>
      </c>
      <c r="P247">
        <f t="shared" si="19"/>
        <v>1</v>
      </c>
    </row>
    <row r="248" spans="1:16" x14ac:dyDescent="0.25">
      <c r="A248" s="1"/>
      <c r="B248" t="s">
        <v>261</v>
      </c>
      <c r="C248" t="s">
        <v>24</v>
      </c>
      <c r="D248" s="3">
        <v>9.9166666666666661</v>
      </c>
      <c r="E248" s="5">
        <f t="shared" si="15"/>
        <v>1887</v>
      </c>
      <c r="F248">
        <v>-1.74847</v>
      </c>
      <c r="G248">
        <f t="shared" si="16"/>
        <v>4.7467000000000006</v>
      </c>
      <c r="H248">
        <f t="shared" si="17"/>
        <v>4.7467000000000006</v>
      </c>
      <c r="I248" s="5">
        <f t="shared" si="18"/>
        <v>235</v>
      </c>
      <c r="J248">
        <f>+H248+CF*F248*(1+($I248-1850)*slope/1000)+F248*hQc*COS(2*PI()*$I248/qbo+$L248)+F248*hQs*SIN(2*PI()*$I248/qbo+$L248)+F248*hCs*SIN(2*PI()*$I248/cw)+F248*hCc*COS(2*PI()*$I248/cw) +mix*F248*(hQc*COS(2*PI()*$I248/qbo+$L248)+hQs*SIN(2*PI()*$I248/qbo+$L248))*(hCs*SIN(2*PI()*$I248/cw)+hCc*COS(2*PI()*$I248/cw))</f>
        <v>-1.501363977583047</v>
      </c>
      <c r="K248">
        <f>fQc*COS(2*PI()*$I248/qbo+$L248)+fQs*SIN(2*PI()*$I248/qbo+$L248)+fCs*SIN(2*PI()*$I248/cw)+fCc*COS(2*PI()*$I248/cw)</f>
        <v>-0.12098571436878497</v>
      </c>
      <c r="L248">
        <f>+QMA*COS(2*PI()*$I248/QM+QMP)</f>
        <v>1.2130684266517116</v>
      </c>
      <c r="P248">
        <f t="shared" si="19"/>
        <v>1</v>
      </c>
    </row>
    <row r="249" spans="1:16" x14ac:dyDescent="0.25">
      <c r="A249" s="1"/>
      <c r="B249" t="s">
        <v>262</v>
      </c>
      <c r="C249" t="s">
        <v>24</v>
      </c>
      <c r="D249" s="3">
        <v>9.9583333333333339</v>
      </c>
      <c r="E249" s="5">
        <f t="shared" si="15"/>
        <v>1888</v>
      </c>
      <c r="F249">
        <v>1.2333400000000001</v>
      </c>
      <c r="G249">
        <f t="shared" si="16"/>
        <v>-2.8604800000000004</v>
      </c>
      <c r="H249">
        <f t="shared" si="17"/>
        <v>-2.8604800000000004</v>
      </c>
      <c r="I249" s="5">
        <f t="shared" si="18"/>
        <v>236</v>
      </c>
      <c r="J249">
        <f>+H249+CF*F249*(1+($I249-1850)*slope/1000)+F249*hQc*COS(2*PI()*$I249/qbo+$L249)+F249*hQs*SIN(2*PI()*$I249/qbo+$L249)+F249*hCs*SIN(2*PI()*$I249/cw)+F249*hCc*COS(2*PI()*$I249/cw) +mix*F249*(hQc*COS(2*PI()*$I249/qbo+$L249)+hQs*SIN(2*PI()*$I249/qbo+$L249))*(hCs*SIN(2*PI()*$I249/cw)+hCc*COS(2*PI()*$I249/cw))</f>
        <v>31.654808753396384</v>
      </c>
      <c r="K249">
        <f>fQc*COS(2*PI()*$I249/qbo+$L249)+fQs*SIN(2*PI()*$I249/qbo+$L249)+fCs*SIN(2*PI()*$I249/cw)+fCc*COS(2*PI()*$I249/cw)</f>
        <v>1.34531224626253</v>
      </c>
      <c r="L249">
        <f>+QMA*COS(2*PI()*$I249/QM+QMP)</f>
        <v>1.2549435758319105</v>
      </c>
      <c r="P249">
        <f t="shared" si="19"/>
        <v>1</v>
      </c>
    </row>
    <row r="250" spans="1:16" x14ac:dyDescent="0.25">
      <c r="A250" s="1"/>
      <c r="B250" t="s">
        <v>263</v>
      </c>
      <c r="C250" t="s">
        <v>24</v>
      </c>
      <c r="D250" s="3">
        <v>10</v>
      </c>
      <c r="E250" s="5">
        <f t="shared" si="15"/>
        <v>1889</v>
      </c>
      <c r="F250">
        <v>1.35467</v>
      </c>
      <c r="G250">
        <f t="shared" si="16"/>
        <v>-2.9236499999999999</v>
      </c>
      <c r="H250">
        <f t="shared" si="17"/>
        <v>-2.9236499999999999</v>
      </c>
      <c r="I250" s="5">
        <f t="shared" si="18"/>
        <v>237</v>
      </c>
      <c r="J250">
        <f>+H250+CF*F250*(1+($I250-1850)*slope/1000)+F250*hQc*COS(2*PI()*$I250/qbo+$L250)+F250*hQs*SIN(2*PI()*$I250/qbo+$L250)+F250*hCs*SIN(2*PI()*$I250/cw)+F250*hCc*COS(2*PI()*$I250/cw) +mix*F250*(hQc*COS(2*PI()*$I250/qbo+$L250)+hQs*SIN(2*PI()*$I250/qbo+$L250))*(hCs*SIN(2*PI()*$I250/cw)+hCc*COS(2*PI()*$I250/cw))</f>
        <v>9.2535167303399142</v>
      </c>
      <c r="K250">
        <f>fQc*COS(2*PI()*$I250/qbo+$L250)+fQs*SIN(2*PI()*$I250/qbo+$L250)+fCs*SIN(2*PI()*$I250/cw)+fCc*COS(2*PI()*$I250/cw)</f>
        <v>-0.39849601375939181</v>
      </c>
      <c r="L250">
        <f>+QMA*COS(2*PI()*$I250/QM+QMP)</f>
        <v>1.2753941972050304</v>
      </c>
      <c r="P250">
        <f t="shared" si="19"/>
        <v>0</v>
      </c>
    </row>
    <row r="251" spans="1:16" x14ac:dyDescent="0.25">
      <c r="A251" s="1"/>
      <c r="B251" t="s">
        <v>264</v>
      </c>
      <c r="C251" t="s">
        <v>24</v>
      </c>
      <c r="D251" s="3">
        <v>10.041666666666666</v>
      </c>
      <c r="E251" s="5">
        <f t="shared" si="15"/>
        <v>1890</v>
      </c>
      <c r="F251">
        <v>-1.4476500000000001</v>
      </c>
      <c r="G251">
        <f t="shared" si="16"/>
        <v>4.2313499999999999</v>
      </c>
      <c r="H251">
        <f t="shared" si="17"/>
        <v>4.2313499999999999</v>
      </c>
      <c r="I251" s="5">
        <f t="shared" si="18"/>
        <v>238</v>
      </c>
      <c r="J251">
        <f>+H251+CF*F251*(1+($I251-1850)*slope/1000)+F251*hQc*COS(2*PI()*$I251/qbo+$L251)+F251*hQs*SIN(2*PI()*$I251/qbo+$L251)+F251*hCs*SIN(2*PI()*$I251/cw)+F251*hCc*COS(2*PI()*$I251/cw) +mix*F251*(hQc*COS(2*PI()*$I251/qbo+$L251)+hQs*SIN(2*PI()*$I251/qbo+$L251))*(hCs*SIN(2*PI()*$I251/cw)+hCc*COS(2*PI()*$I251/cw))</f>
        <v>-6.3247303907758461</v>
      </c>
      <c r="K251">
        <f>fQc*COS(2*PI()*$I251/qbo+$L251)+fQs*SIN(2*PI()*$I251/qbo+$L251)+fCs*SIN(2*PI()*$I251/cw)+fCc*COS(2*PI()*$I251/cw)</f>
        <v>0.40752787067960489</v>
      </c>
      <c r="L251">
        <f>+QMA*COS(2*PI()*$I251/QM+QMP)</f>
        <v>1.2740711556268964</v>
      </c>
      <c r="P251">
        <f t="shared" si="19"/>
        <v>0</v>
      </c>
    </row>
    <row r="252" spans="1:16" x14ac:dyDescent="0.25">
      <c r="A252" s="1"/>
      <c r="B252" t="s">
        <v>265</v>
      </c>
      <c r="C252" t="s">
        <v>24</v>
      </c>
      <c r="D252" s="3">
        <v>10.083333333333334</v>
      </c>
      <c r="E252" s="5">
        <f t="shared" si="15"/>
        <v>1891</v>
      </c>
      <c r="F252">
        <v>-1.8620000000000001E-2</v>
      </c>
      <c r="G252">
        <f t="shared" si="16"/>
        <v>-1.7558</v>
      </c>
      <c r="H252">
        <f t="shared" si="17"/>
        <v>-1.7558</v>
      </c>
      <c r="I252" s="5">
        <f t="shared" si="18"/>
        <v>239</v>
      </c>
      <c r="J252">
        <f>+H252+CF*F252*(1+($I252-1850)*slope/1000)+F252*hQc*COS(2*PI()*$I252/qbo+$L252)+F252*hQs*SIN(2*PI()*$I252/qbo+$L252)+F252*hCs*SIN(2*PI()*$I252/cw)+F252*hCc*COS(2*PI()*$I252/cw) +mix*F252*(hQc*COS(2*PI()*$I252/qbo+$L252)+hQs*SIN(2*PI()*$I252/qbo+$L252))*(hCs*SIN(2*PI()*$I252/cw)+hCc*COS(2*PI()*$I252/cw))</f>
        <v>-2.0323520864788529</v>
      </c>
      <c r="K252">
        <f>fQc*COS(2*PI()*$I252/qbo+$L252)+fQs*SIN(2*PI()*$I252/qbo+$L252)+fCs*SIN(2*PI()*$I252/cw)+fCc*COS(2*PI()*$I252/cw)</f>
        <v>-0.63907276793207934</v>
      </c>
      <c r="L252">
        <f>+QMA*COS(2*PI()*$I252/QM+QMP)</f>
        <v>1.2509970382015232</v>
      </c>
      <c r="P252">
        <f t="shared" si="19"/>
        <v>1</v>
      </c>
    </row>
    <row r="253" spans="1:16" x14ac:dyDescent="0.25">
      <c r="A253" s="1"/>
      <c r="B253" t="s">
        <v>266</v>
      </c>
      <c r="C253" t="s">
        <v>24</v>
      </c>
      <c r="D253" s="3">
        <v>10.125</v>
      </c>
      <c r="E253" s="5">
        <f t="shared" si="15"/>
        <v>1892</v>
      </c>
      <c r="F253">
        <v>-0.34538999999999997</v>
      </c>
      <c r="G253">
        <f t="shared" si="16"/>
        <v>-1.5630200000000001</v>
      </c>
      <c r="H253">
        <f t="shared" si="17"/>
        <v>-1.5630200000000001</v>
      </c>
      <c r="I253" s="5">
        <f t="shared" si="18"/>
        <v>240</v>
      </c>
      <c r="J253">
        <f>+H253+CF*F253*(1+($I253-1850)*slope/1000)+F253*hQc*COS(2*PI()*$I253/qbo+$L253)+F253*hQs*SIN(2*PI()*$I253/qbo+$L253)+F253*hCs*SIN(2*PI()*$I253/cw)+F253*hCc*COS(2*PI()*$I253/cw) +mix*F253*(hQc*COS(2*PI()*$I253/qbo+$L253)+hQs*SIN(2*PI()*$I253/qbo+$L253))*(hCs*SIN(2*PI()*$I253/cw)+hCc*COS(2*PI()*$I253/cw))</f>
        <v>-6.0928202798798541</v>
      </c>
      <c r="K253">
        <f>fQc*COS(2*PI()*$I253/qbo+$L253)+fQs*SIN(2*PI()*$I253/qbo+$L253)+fCs*SIN(2*PI()*$I253/cw)+fCc*COS(2*PI()*$I253/cw)</f>
        <v>-0.82209936222059699</v>
      </c>
      <c r="L253">
        <f>+QMA*COS(2*PI()*$I253/QM+QMP)</f>
        <v>1.2065657686717166</v>
      </c>
      <c r="P253">
        <f t="shared" si="19"/>
        <v>1</v>
      </c>
    </row>
    <row r="254" spans="1:16" x14ac:dyDescent="0.25">
      <c r="A254" s="1"/>
      <c r="B254" t="s">
        <v>267</v>
      </c>
      <c r="C254" t="s">
        <v>24</v>
      </c>
      <c r="D254" s="3">
        <v>10.166666666666666</v>
      </c>
      <c r="E254" s="5">
        <f t="shared" si="15"/>
        <v>1893</v>
      </c>
      <c r="F254">
        <v>-2.2351800000000002</v>
      </c>
      <c r="G254">
        <f t="shared" si="16"/>
        <v>2.3824900000000002</v>
      </c>
      <c r="H254">
        <f t="shared" si="17"/>
        <v>2.3824900000000002</v>
      </c>
      <c r="I254" s="5">
        <f t="shared" si="18"/>
        <v>241</v>
      </c>
      <c r="J254">
        <f>+H254+CF*F254*(1+($I254-1850)*slope/1000)+F254*hQc*COS(2*PI()*$I254/qbo+$L254)+F254*hQs*SIN(2*PI()*$I254/qbo+$L254)+F254*hCs*SIN(2*PI()*$I254/cw)+F254*hCc*COS(2*PI()*$I254/cw) +mix*F254*(hQc*COS(2*PI()*$I254/qbo+$L254)+hQs*SIN(2*PI()*$I254/qbo+$L254))*(hCs*SIN(2*PI()*$I254/cw)+hCc*COS(2*PI()*$I254/cw))</f>
        <v>-4.0507571607646184</v>
      </c>
      <c r="K254">
        <f>fQc*COS(2*PI()*$I254/qbo+$L254)+fQs*SIN(2*PI()*$I254/qbo+$L254)+fCs*SIN(2*PI()*$I254/cw)+fCc*COS(2*PI()*$I254/cw)</f>
        <v>0.10732281283924781</v>
      </c>
      <c r="L254">
        <f>+QMA*COS(2*PI()*$I254/QM+QMP)</f>
        <v>1.1415358823117936</v>
      </c>
      <c r="P254">
        <f t="shared" si="19"/>
        <v>0</v>
      </c>
    </row>
    <row r="255" spans="1:16" x14ac:dyDescent="0.25">
      <c r="A255" s="1"/>
      <c r="B255" t="s">
        <v>268</v>
      </c>
      <c r="C255" t="s">
        <v>24</v>
      </c>
      <c r="D255" s="3">
        <v>10.208333333333334</v>
      </c>
      <c r="E255" s="5">
        <f t="shared" si="15"/>
        <v>1894</v>
      </c>
      <c r="F255">
        <v>-1.74248</v>
      </c>
      <c r="G255">
        <f t="shared" si="16"/>
        <v>0.96674999999999978</v>
      </c>
      <c r="H255">
        <f t="shared" si="17"/>
        <v>0.96674999999999978</v>
      </c>
      <c r="I255" s="5">
        <f t="shared" si="18"/>
        <v>242</v>
      </c>
      <c r="J255">
        <f>+H255+CF*F255*(1+($I255-1850)*slope/1000)+F255*hQc*COS(2*PI()*$I255/qbo+$L255)+F255*hQs*SIN(2*PI()*$I255/qbo+$L255)+F255*hCs*SIN(2*PI()*$I255/cw)+F255*hCc*COS(2*PI()*$I255/cw) +mix*F255*(hQc*COS(2*PI()*$I255/qbo+$L255)+hQs*SIN(2*PI()*$I255/qbo+$L255))*(hCs*SIN(2*PI()*$I255/cw)+hCc*COS(2*PI()*$I255/cw))</f>
        <v>-23.206112886916326</v>
      </c>
      <c r="K255">
        <f>fQc*COS(2*PI()*$I255/qbo+$L255)+fQs*SIN(2*PI()*$I255/qbo+$L255)+fCs*SIN(2*PI()*$I255/cw)+fCc*COS(2*PI()*$I255/cw)</f>
        <v>-0.83553164157515591</v>
      </c>
      <c r="L255">
        <f>+QMA*COS(2*PI()*$I255/QM+QMP)</f>
        <v>1.057017576134146</v>
      </c>
      <c r="P255">
        <f t="shared" si="19"/>
        <v>1</v>
      </c>
    </row>
    <row r="256" spans="1:16" x14ac:dyDescent="0.25">
      <c r="A256" s="1"/>
      <c r="B256" t="s">
        <v>269</v>
      </c>
      <c r="C256" t="s">
        <v>24</v>
      </c>
      <c r="D256" s="3">
        <v>10.25</v>
      </c>
      <c r="E256" s="5">
        <f t="shared" si="15"/>
        <v>1895</v>
      </c>
      <c r="F256">
        <v>-0.28303</v>
      </c>
      <c r="G256">
        <f t="shared" si="16"/>
        <v>-1.5630499999999998</v>
      </c>
      <c r="H256">
        <f t="shared" si="17"/>
        <v>-1.5630499999999998</v>
      </c>
      <c r="I256" s="5">
        <f t="shared" si="18"/>
        <v>243</v>
      </c>
      <c r="J256">
        <f>+H256+CF*F256*(1+($I256-1850)*slope/1000)+F256*hQc*COS(2*PI()*$I256/qbo+$L256)+F256*hQs*SIN(2*PI()*$I256/qbo+$L256)+F256*hCs*SIN(2*PI()*$I256/cw)+F256*hCc*COS(2*PI()*$I256/cw) +mix*F256*(hQc*COS(2*PI()*$I256/qbo+$L256)+hQs*SIN(2*PI()*$I256/qbo+$L256))*(hCs*SIN(2*PI()*$I256/cw)+hCc*COS(2*PI()*$I256/cw))</f>
        <v>-8.1070924934297981</v>
      </c>
      <c r="K256">
        <f>fQc*COS(2*PI()*$I256/qbo+$L256)+fQs*SIN(2*PI()*$I256/qbo+$L256)+fCs*SIN(2*PI()*$I256/cw)+fCc*COS(2*PI()*$I256/cw)</f>
        <v>1.0490051395920923</v>
      </c>
      <c r="L256">
        <f>+QMA*COS(2*PI()*$I256/QM+QMP)</f>
        <v>0.95445375548988842</v>
      </c>
      <c r="P256">
        <f t="shared" si="19"/>
        <v>0</v>
      </c>
    </row>
    <row r="257" spans="1:16" x14ac:dyDescent="0.25">
      <c r="A257" s="1"/>
      <c r="B257" t="s">
        <v>270</v>
      </c>
      <c r="C257" t="s">
        <v>24</v>
      </c>
      <c r="D257" s="3">
        <v>10.291666666666666</v>
      </c>
      <c r="E257" s="5">
        <f t="shared" si="15"/>
        <v>1896</v>
      </c>
      <c r="F257">
        <v>-0.38662999999999997</v>
      </c>
      <c r="G257">
        <f t="shared" si="16"/>
        <v>1.8875199999999999</v>
      </c>
      <c r="H257">
        <f t="shared" si="17"/>
        <v>1.8875199999999999</v>
      </c>
      <c r="I257" s="5">
        <f t="shared" si="18"/>
        <v>244</v>
      </c>
      <c r="J257">
        <f>+H257+CF*F257*(1+($I257-1850)*slope/1000)+F257*hQc*COS(2*PI()*$I257/qbo+$L257)+F257*hQs*SIN(2*PI()*$I257/qbo+$L257)+F257*hCs*SIN(2*PI()*$I257/cw)+F257*hCc*COS(2*PI()*$I257/cw) +mix*F257*(hQc*COS(2*PI()*$I257/qbo+$L257)+hQs*SIN(2*PI()*$I257/qbo+$L257))*(hCs*SIN(2*PI()*$I257/cw)+hCc*COS(2*PI()*$I257/cw))</f>
        <v>-0.42577556304791297</v>
      </c>
      <c r="K257">
        <f>fQc*COS(2*PI()*$I257/qbo+$L257)+fQs*SIN(2*PI()*$I257/qbo+$L257)+fCs*SIN(2*PI()*$I257/cw)+fCc*COS(2*PI()*$I257/cw)</f>
        <v>0.13632008159089826</v>
      </c>
      <c r="L257">
        <f>+QMA*COS(2*PI()*$I257/QM+QMP)</f>
        <v>0.83559540063798066</v>
      </c>
      <c r="P257">
        <f t="shared" si="19"/>
        <v>0</v>
      </c>
    </row>
    <row r="258" spans="1:16" x14ac:dyDescent="0.25">
      <c r="A258" s="1"/>
      <c r="B258" t="s">
        <v>271</v>
      </c>
      <c r="C258" t="s">
        <v>24</v>
      </c>
      <c r="D258" s="3">
        <v>10.333333333333334</v>
      </c>
      <c r="E258" s="5">
        <f t="shared" si="15"/>
        <v>1897</v>
      </c>
      <c r="F258">
        <v>1.3972899999999999</v>
      </c>
      <c r="G258">
        <f t="shared" si="16"/>
        <v>-3.03003</v>
      </c>
      <c r="H258">
        <f t="shared" si="17"/>
        <v>-3.03003</v>
      </c>
      <c r="I258" s="5">
        <f t="shared" si="18"/>
        <v>245</v>
      </c>
      <c r="J258">
        <f>+H258+CF*F258*(1+($I258-1850)*slope/1000)+F258*hQc*COS(2*PI()*$I258/qbo+$L258)+F258*hQs*SIN(2*PI()*$I258/qbo+$L258)+F258*hCs*SIN(2*PI()*$I258/cw)+F258*hCc*COS(2*PI()*$I258/cw) +mix*F258*(hQc*COS(2*PI()*$I258/qbo+$L258)+hQs*SIN(2*PI()*$I258/qbo+$L258))*(hCs*SIN(2*PI()*$I258/cw)+hCc*COS(2*PI()*$I258/cw))</f>
        <v>19.62147836063588</v>
      </c>
      <c r="K258">
        <f>fQc*COS(2*PI()*$I258/qbo+$L258)+fQs*SIN(2*PI()*$I258/qbo+$L258)+fCs*SIN(2*PI()*$I258/cw)+fCc*COS(2*PI()*$I258/cw)</f>
        <v>0.56514702032704434</v>
      </c>
      <c r="L258">
        <f>+QMA*COS(2*PI()*$I258/QM+QMP)</f>
        <v>0.7024716738273632</v>
      </c>
      <c r="P258">
        <f t="shared" si="19"/>
        <v>1</v>
      </c>
    </row>
    <row r="259" spans="1:16" x14ac:dyDescent="0.25">
      <c r="A259" s="1"/>
      <c r="B259" t="s">
        <v>272</v>
      </c>
      <c r="C259" t="s">
        <v>24</v>
      </c>
      <c r="D259" s="3">
        <v>10.375</v>
      </c>
      <c r="E259" s="5">
        <f t="shared" si="15"/>
        <v>1898</v>
      </c>
      <c r="F259">
        <v>0.15118000000000001</v>
      </c>
      <c r="G259">
        <f t="shared" si="16"/>
        <v>-0.33862000000000037</v>
      </c>
      <c r="H259">
        <f t="shared" si="17"/>
        <v>-0.33862000000000037</v>
      </c>
      <c r="I259" s="5">
        <f t="shared" si="18"/>
        <v>246</v>
      </c>
      <c r="J259">
        <f>+H259+CF*F259*(1+($I259-1850)*slope/1000)+F259*hQc*COS(2*PI()*$I259/qbo+$L259)+F259*hQs*SIN(2*PI()*$I259/qbo+$L259)+F259*hCs*SIN(2*PI()*$I259/cw)+F259*hCc*COS(2*PI()*$I259/cw) +mix*F259*(hQc*COS(2*PI()*$I259/qbo+$L259)+hQs*SIN(2*PI()*$I259/qbo+$L259))*(hCs*SIN(2*PI()*$I259/cw)+hCc*COS(2*PI()*$I259/cw))</f>
        <v>1.9175023229141415</v>
      </c>
      <c r="K259">
        <f>fQc*COS(2*PI()*$I259/qbo+$L259)+fQs*SIN(2*PI()*$I259/qbo+$L259)+fCs*SIN(2*PI()*$I259/cw)+fCc*COS(2*PI()*$I259/cw)</f>
        <v>0.68619871385920428</v>
      </c>
      <c r="L259">
        <f>+QMA*COS(2*PI()*$I259/QM+QMP)</f>
        <v>0.55735527722708378</v>
      </c>
      <c r="P259">
        <f t="shared" si="19"/>
        <v>1</v>
      </c>
    </row>
    <row r="260" spans="1:16" x14ac:dyDescent="0.25">
      <c r="A260" s="1"/>
      <c r="B260" t="s">
        <v>273</v>
      </c>
      <c r="C260" t="s">
        <v>24</v>
      </c>
      <c r="D260" s="3">
        <v>10.416666666666666</v>
      </c>
      <c r="E260" s="5">
        <f t="shared" si="15"/>
        <v>1899</v>
      </c>
      <c r="F260">
        <v>-1.4335500000000001</v>
      </c>
      <c r="G260">
        <f t="shared" si="16"/>
        <v>3.4573100000000005</v>
      </c>
      <c r="H260">
        <f t="shared" si="17"/>
        <v>3.4573100000000005</v>
      </c>
      <c r="I260" s="5">
        <f t="shared" si="18"/>
        <v>247</v>
      </c>
      <c r="J260">
        <f>+H260+CF*F260*(1+($I260-1850)*slope/1000)+F260*hQc*COS(2*PI()*$I260/qbo+$L260)+F260*hQs*SIN(2*PI()*$I260/qbo+$L260)+F260*hCs*SIN(2*PI()*$I260/cw)+F260*hCc*COS(2*PI()*$I260/cw) +mix*F260*(hQc*COS(2*PI()*$I260/qbo+$L260)+hQs*SIN(2*PI()*$I260/qbo+$L260))*(hCs*SIN(2*PI()*$I260/cw)+hCc*COS(2*PI()*$I260/cw))</f>
        <v>-23.055392458779863</v>
      </c>
      <c r="K260">
        <f>fQc*COS(2*PI()*$I260/qbo+$L260)+fQs*SIN(2*PI()*$I260/qbo+$L260)+fCs*SIN(2*PI()*$I260/cw)+fCc*COS(2*PI()*$I260/cw)</f>
        <v>-0.88850796482954408</v>
      </c>
      <c r="L260">
        <f>+QMA*COS(2*PI()*$I260/QM+QMP)</f>
        <v>0.40272365311751301</v>
      </c>
      <c r="P260">
        <f t="shared" si="19"/>
        <v>1</v>
      </c>
    </row>
    <row r="261" spans="1:16" x14ac:dyDescent="0.25">
      <c r="A261" s="1"/>
      <c r="B261" s="4">
        <v>1</v>
      </c>
      <c r="C261" t="s">
        <v>24</v>
      </c>
      <c r="D261" s="3">
        <v>10.458333333333334</v>
      </c>
      <c r="E261" s="5">
        <f t="shared" si="15"/>
        <v>1900</v>
      </c>
      <c r="F261">
        <v>0.43902999999999998</v>
      </c>
      <c r="G261">
        <f t="shared" si="16"/>
        <v>-1.2742800000000001</v>
      </c>
      <c r="H261">
        <f t="shared" si="17"/>
        <v>-1.2742800000000001</v>
      </c>
      <c r="I261" s="5">
        <f t="shared" si="18"/>
        <v>248</v>
      </c>
      <c r="J261">
        <f>+H261+CF*F261*(1+($I261-1850)*slope/1000)+F261*hQc*COS(2*PI()*$I261/qbo+$L261)+F261*hQs*SIN(2*PI()*$I261/qbo+$L261)+F261*hCs*SIN(2*PI()*$I261/cw)+F261*hCc*COS(2*PI()*$I261/cw) +mix*F261*(hQc*COS(2*PI()*$I261/qbo+$L261)+hQs*SIN(2*PI()*$I261/qbo+$L261))*(hCs*SIN(2*PI()*$I261/cw)+hCc*COS(2*PI()*$I261/cw))</f>
        <v>-3.7433301656589788</v>
      </c>
      <c r="K261">
        <f>fQc*COS(2*PI()*$I261/qbo+$L261)+fQs*SIN(2*PI()*$I261/qbo+$L261)+fCs*SIN(2*PI()*$I261/cw)+fCc*COS(2*PI()*$I261/cw)</f>
        <v>0.23454950916817469</v>
      </c>
      <c r="L261">
        <f>+QMA*COS(2*PI()*$I261/QM+QMP)</f>
        <v>0.24121668873691468</v>
      </c>
      <c r="P261">
        <f t="shared" si="19"/>
        <v>0</v>
      </c>
    </row>
    <row r="262" spans="1:16" x14ac:dyDescent="0.25">
      <c r="A262" s="1"/>
      <c r="B262" s="4">
        <v>367</v>
      </c>
      <c r="C262" t="s">
        <v>24</v>
      </c>
      <c r="D262" s="3">
        <v>10.5</v>
      </c>
      <c r="E262" s="5">
        <f t="shared" si="15"/>
        <v>1901</v>
      </c>
      <c r="F262">
        <v>1.0373300000000001</v>
      </c>
      <c r="G262">
        <f t="shared" si="16"/>
        <v>-2.6122100000000001</v>
      </c>
      <c r="H262">
        <f t="shared" si="17"/>
        <v>-2.6122100000000001</v>
      </c>
      <c r="I262" s="5">
        <f t="shared" si="18"/>
        <v>249</v>
      </c>
      <c r="J262">
        <f>+H262+CF*F262*(1+($I262-1850)*slope/1000)+F262*hQc*COS(2*PI()*$I262/qbo+$L262)+F262*hQs*SIN(2*PI()*$I262/qbo+$L262)+F262*hCs*SIN(2*PI()*$I262/cw)+F262*hCc*COS(2*PI()*$I262/cw) +mix*F262*(hQc*COS(2*PI()*$I262/qbo+$L262)+hQs*SIN(2*PI()*$I262/qbo+$L262))*(hCs*SIN(2*PI()*$I262/cw)+hCc*COS(2*PI()*$I262/cw))</f>
        <v>19.471264457203382</v>
      </c>
      <c r="K262">
        <f>fQc*COS(2*PI()*$I262/qbo+$L262)+fQs*SIN(2*PI()*$I262/qbo+$L262)+fCs*SIN(2*PI()*$I262/cw)+fCc*COS(2*PI()*$I262/cw)</f>
        <v>-1.075157777512407</v>
      </c>
      <c r="L262">
        <f>+QMA*COS(2*PI()*$I262/QM+QMP)</f>
        <v>7.5591647850805299E-2</v>
      </c>
      <c r="P262">
        <f t="shared" si="19"/>
        <v>0</v>
      </c>
    </row>
    <row r="263" spans="1:16" x14ac:dyDescent="0.25">
      <c r="A263" s="1"/>
      <c r="B263" s="4">
        <v>732</v>
      </c>
      <c r="C263" t="s">
        <v>24</v>
      </c>
      <c r="D263" s="3">
        <v>10.541666666666666</v>
      </c>
      <c r="E263" s="5">
        <f t="shared" si="15"/>
        <v>1902</v>
      </c>
      <c r="F263">
        <v>-0.97658</v>
      </c>
      <c r="G263">
        <f t="shared" si="16"/>
        <v>4.6636100000000003</v>
      </c>
      <c r="H263">
        <f t="shared" si="17"/>
        <v>4.6636100000000003</v>
      </c>
      <c r="I263" s="5">
        <f t="shared" si="18"/>
        <v>250</v>
      </c>
      <c r="J263">
        <f>+H263+CF*F263*(1+($I263-1850)*slope/1000)+F263*hQc*COS(2*PI()*$I263/qbo+$L263)+F263*hQs*SIN(2*PI()*$I263/qbo+$L263)+F263*hCs*SIN(2*PI()*$I263/cw)+F263*hCc*COS(2*PI()*$I263/cw) +mix*F263*(hQc*COS(2*PI()*$I263/qbo+$L263)+hQs*SIN(2*PI()*$I263/qbo+$L263))*(hCs*SIN(2*PI()*$I263/cw)+hCc*COS(2*PI()*$I263/cw))</f>
        <v>-4.808506122875027</v>
      </c>
      <c r="K263">
        <f>fQc*COS(2*PI()*$I263/qbo+$L263)+fQs*SIN(2*PI()*$I263/qbo+$L263)+fCs*SIN(2*PI()*$I263/cw)+fCc*COS(2*PI()*$I263/cw)</f>
        <v>-0.38307227866894689</v>
      </c>
      <c r="L263">
        <f>+QMA*COS(2*PI()*$I263/QM+QMP)</f>
        <v>-9.1323901543058236E-2</v>
      </c>
      <c r="P263">
        <f t="shared" si="19"/>
        <v>1</v>
      </c>
    </row>
    <row r="264" spans="1:16" x14ac:dyDescent="0.25">
      <c r="A264" s="1"/>
      <c r="B264" s="4">
        <v>1097</v>
      </c>
      <c r="C264" t="s">
        <v>24</v>
      </c>
      <c r="D264" s="3">
        <v>10.583333333333334</v>
      </c>
      <c r="E264" s="5">
        <f t="shared" si="15"/>
        <v>1903</v>
      </c>
      <c r="F264">
        <v>1.6731199999999999</v>
      </c>
      <c r="G264">
        <f t="shared" si="16"/>
        <v>-6.1806000000000001</v>
      </c>
      <c r="H264">
        <f t="shared" si="17"/>
        <v>-6.1806000000000001</v>
      </c>
      <c r="I264" s="5">
        <f t="shared" si="18"/>
        <v>251</v>
      </c>
      <c r="J264">
        <f>+H264+CF*F264*(1+($I264-1850)*slope/1000)+F264*hQc*COS(2*PI()*$I264/qbo+$L264)+F264*hQs*SIN(2*PI()*$I264/qbo+$L264)+F264*hCs*SIN(2*PI()*$I264/cw)+F264*hCc*COS(2*PI()*$I264/cw) +mix*F264*(hQc*COS(2*PI()*$I264/qbo+$L264)+hQs*SIN(2*PI()*$I264/qbo+$L264))*(hCs*SIN(2*PI()*$I264/cw)+hCc*COS(2*PI()*$I264/cw))</f>
        <v>15.648048425958569</v>
      </c>
      <c r="K264">
        <f>fQc*COS(2*PI()*$I264/qbo+$L264)+fQs*SIN(2*PI()*$I264/qbo+$L264)+fCs*SIN(2*PI()*$I264/cw)+fCc*COS(2*PI()*$I264/cw)</f>
        <v>0.42462670682131609</v>
      </c>
      <c r="L264">
        <f>+QMA*COS(2*PI()*$I264/QM+QMP)</f>
        <v>-0.25668035975088815</v>
      </c>
      <c r="P264">
        <f t="shared" si="19"/>
        <v>1</v>
      </c>
    </row>
    <row r="265" spans="1:16" x14ac:dyDescent="0.25">
      <c r="A265" s="1"/>
      <c r="B265" s="4">
        <v>1462</v>
      </c>
      <c r="C265" t="s">
        <v>24</v>
      </c>
      <c r="D265" s="3">
        <v>10.625</v>
      </c>
      <c r="E265" s="5">
        <f t="shared" si="15"/>
        <v>1904</v>
      </c>
      <c r="F265">
        <v>-1.85778</v>
      </c>
      <c r="G265">
        <f t="shared" si="16"/>
        <v>7.8058199999999998</v>
      </c>
      <c r="H265">
        <f t="shared" si="17"/>
        <v>7.8058199999999998</v>
      </c>
      <c r="I265" s="5">
        <f t="shared" si="18"/>
        <v>252</v>
      </c>
      <c r="J265">
        <f>+H265+CF*F265*(1+($I265-1850)*slope/1000)+F265*hQc*COS(2*PI()*$I265/qbo+$L265)+F265*hQs*SIN(2*PI()*$I265/qbo+$L265)+F265*hCs*SIN(2*PI()*$I265/cw)+F265*hCc*COS(2*PI()*$I265/cw) +mix*F265*(hQc*COS(2*PI()*$I265/qbo+$L265)+hQs*SIN(2*PI()*$I265/qbo+$L265))*(hCs*SIN(2*PI()*$I265/cw)+hCc*COS(2*PI()*$I265/cw))</f>
        <v>-1.7322159282859211</v>
      </c>
      <c r="K265">
        <f>fQc*COS(2*PI()*$I265/qbo+$L265)+fQs*SIN(2*PI()*$I265/qbo+$L265)+fCs*SIN(2*PI()*$I265/cw)+fCc*COS(2*PI()*$I265/cw)</f>
        <v>-0.34028026773756764</v>
      </c>
      <c r="L265">
        <f>+QMA*COS(2*PI()*$I265/QM+QMP)</f>
        <v>-0.41765474404644698</v>
      </c>
      <c r="P265">
        <f t="shared" si="19"/>
        <v>1</v>
      </c>
    </row>
    <row r="266" spans="1:16" x14ac:dyDescent="0.25">
      <c r="A266" s="1"/>
      <c r="B266" s="4">
        <v>1828</v>
      </c>
      <c r="C266" t="s">
        <v>24</v>
      </c>
      <c r="D266" s="3">
        <v>10.666666666666666</v>
      </c>
      <c r="E266" s="5">
        <f t="shared" si="15"/>
        <v>1905</v>
      </c>
      <c r="F266">
        <v>2.4171399999999998</v>
      </c>
      <c r="G266">
        <f t="shared" si="16"/>
        <v>-4.6000300000000003</v>
      </c>
      <c r="H266">
        <f t="shared" si="17"/>
        <v>-4.6000300000000003</v>
      </c>
      <c r="I266" s="5">
        <f t="shared" si="18"/>
        <v>253</v>
      </c>
      <c r="J266">
        <f>+H266+CF*F266*(1+($I266-1850)*slope/1000)+F266*hQc*COS(2*PI()*$I266/qbo+$L266)+F266*hQs*SIN(2*PI()*$I266/qbo+$L266)+F266*hCs*SIN(2*PI()*$I266/cw)+F266*hCc*COS(2*PI()*$I266/cw) +mix*F266*(hQc*COS(2*PI()*$I266/qbo+$L266)+hQs*SIN(2*PI()*$I266/qbo+$L266))*(hCs*SIN(2*PI()*$I266/cw)+hCc*COS(2*PI()*$I266/cw))</f>
        <v>66.9698179301636</v>
      </c>
      <c r="K266">
        <f>fQc*COS(2*PI()*$I266/qbo+$L266)+fQs*SIN(2*PI()*$I266/qbo+$L266)+fCs*SIN(2*PI()*$I266/cw)+fCc*COS(2*PI()*$I266/cw)</f>
        <v>1.3370428818581104</v>
      </c>
      <c r="L266">
        <f>+QMA*COS(2*PI()*$I266/QM+QMP)</f>
        <v>-0.57149888292706774</v>
      </c>
      <c r="P266">
        <f t="shared" si="19"/>
        <v>1</v>
      </c>
    </row>
    <row r="267" spans="1:16" x14ac:dyDescent="0.25">
      <c r="A267" s="1"/>
      <c r="B267" s="4">
        <v>2193</v>
      </c>
      <c r="C267" t="s">
        <v>24</v>
      </c>
      <c r="D267" s="3">
        <v>10.708333333333334</v>
      </c>
      <c r="E267" s="5">
        <f t="shared" si="15"/>
        <v>1906</v>
      </c>
      <c r="F267">
        <v>2.0920299999999998</v>
      </c>
      <c r="G267">
        <f t="shared" si="16"/>
        <v>-1.3063799999999999</v>
      </c>
      <c r="H267">
        <f t="shared" si="17"/>
        <v>-1.3063799999999999</v>
      </c>
      <c r="I267" s="5">
        <f t="shared" si="18"/>
        <v>254</v>
      </c>
      <c r="J267">
        <f>+H267+CF*F267*(1+($I267-1850)*slope/1000)+F267*hQc*COS(2*PI()*$I267/qbo+$L267)+F267*hQs*SIN(2*PI()*$I267/qbo+$L267)+F267*hCs*SIN(2*PI()*$I267/cw)+F267*hCc*COS(2*PI()*$I267/cw) +mix*F267*(hQc*COS(2*PI()*$I267/qbo+$L267)+hQs*SIN(2*PI()*$I267/qbo+$L267))*(hCs*SIN(2*PI()*$I267/cw)+hCc*COS(2*PI()*$I267/cw))</f>
        <v>13.373313144252332</v>
      </c>
      <c r="K267">
        <f>fQc*COS(2*PI()*$I267/qbo+$L267)+fQs*SIN(2*PI()*$I267/qbo+$L267)+fCs*SIN(2*PI()*$I267/cw)+fCc*COS(2*PI()*$I267/cw)</f>
        <v>3.7617143359899977E-2</v>
      </c>
      <c r="L267">
        <f>+QMA*COS(2*PI()*$I267/QM+QMP)</f>
        <v>-0.71558633318456177</v>
      </c>
      <c r="P267">
        <f t="shared" si="19"/>
        <v>1</v>
      </c>
    </row>
    <row r="268" spans="1:16" x14ac:dyDescent="0.25">
      <c r="A268" s="1"/>
      <c r="B268" s="4">
        <v>2558</v>
      </c>
      <c r="C268" t="s">
        <v>24</v>
      </c>
      <c r="D268" s="3">
        <v>10.75</v>
      </c>
      <c r="E268" s="5">
        <f t="shared" si="15"/>
        <v>1907</v>
      </c>
      <c r="F268">
        <v>0.46054</v>
      </c>
      <c r="G268">
        <f t="shared" si="16"/>
        <v>1.47526</v>
      </c>
      <c r="H268">
        <f t="shared" si="17"/>
        <v>1.47526</v>
      </c>
      <c r="I268" s="5">
        <f t="shared" si="18"/>
        <v>255</v>
      </c>
      <c r="J268">
        <f>+H268+CF*F268*(1+($I268-1850)*slope/1000)+F268*hQc*COS(2*PI()*$I268/qbo+$L268)+F268*hQs*SIN(2*PI()*$I268/qbo+$L268)+F268*hCs*SIN(2*PI()*$I268/cw)+F268*hCc*COS(2*PI()*$I268/cw) +mix*F268*(hQc*COS(2*PI()*$I268/qbo+$L268)+hQs*SIN(2*PI()*$I268/qbo+$L268))*(hCs*SIN(2*PI()*$I268/cw)+hCc*COS(2*PI()*$I268/cw))</f>
        <v>7.5626547109189914</v>
      </c>
      <c r="K268">
        <f>fQc*COS(2*PI()*$I268/qbo+$L268)+fQs*SIN(2*PI()*$I268/qbo+$L268)+fCs*SIN(2*PI()*$I268/cw)+fCc*COS(2*PI()*$I268/cw)</f>
        <v>0.25021917320521159</v>
      </c>
      <c r="L268">
        <f>+QMA*COS(2*PI()*$I268/QM+QMP)</f>
        <v>-0.84745721881801273</v>
      </c>
      <c r="P268">
        <f t="shared" si="19"/>
        <v>1</v>
      </c>
    </row>
    <row r="269" spans="1:16" x14ac:dyDescent="0.25">
      <c r="A269" s="1"/>
      <c r="B269" s="4">
        <v>2923</v>
      </c>
      <c r="C269" t="s">
        <v>24</v>
      </c>
      <c r="D269" s="3">
        <v>10.791666666666666</v>
      </c>
      <c r="E269" s="5">
        <f t="shared" ref="E269:E332" si="20">+E268+1</f>
        <v>1908</v>
      </c>
      <c r="F269">
        <v>0.30431000000000002</v>
      </c>
      <c r="G269">
        <f t="shared" ref="G269:G332" si="21">+(F270-F269)-(F269-F268)</f>
        <v>-1.2863600000000002</v>
      </c>
      <c r="H269">
        <f t="shared" ref="H269:H332" si="22">+G269</f>
        <v>-1.2863600000000002</v>
      </c>
      <c r="I269" s="5">
        <f t="shared" si="18"/>
        <v>256</v>
      </c>
      <c r="J269">
        <f>+H269+CF*F269*(1+($I269-1850)*slope/1000)+F269*hQc*COS(2*PI()*$I269/qbo+$L269)+F269*hQs*SIN(2*PI()*$I269/qbo+$L269)+F269*hCs*SIN(2*PI()*$I269/cw)+F269*hCc*COS(2*PI()*$I269/cw) +mix*F269*(hQc*COS(2*PI()*$I269/qbo+$L269)+hQs*SIN(2*PI()*$I269/qbo+$L269))*(hCs*SIN(2*PI()*$I269/cw)+hCc*COS(2*PI()*$I269/cw))</f>
        <v>0.89757075131678377</v>
      </c>
      <c r="K269">
        <f>fQc*COS(2*PI()*$I269/qbo+$L269)+fQs*SIN(2*PI()*$I269/qbo+$L269)+fCs*SIN(2*PI()*$I269/cw)+fCc*COS(2*PI()*$I269/cw)</f>
        <v>0.14244790508553157</v>
      </c>
      <c r="L269">
        <f>+QMA*COS(2*PI()*$I269/QM+QMP)</f>
        <v>-0.96486022629380219</v>
      </c>
      <c r="P269">
        <f t="shared" si="19"/>
        <v>1</v>
      </c>
    </row>
    <row r="270" spans="1:16" x14ac:dyDescent="0.25">
      <c r="A270" s="1"/>
      <c r="B270" s="4">
        <v>3289</v>
      </c>
      <c r="C270" t="s">
        <v>24</v>
      </c>
      <c r="D270" s="3">
        <v>10.833333333333334</v>
      </c>
      <c r="E270" s="5">
        <f t="shared" si="20"/>
        <v>1909</v>
      </c>
      <c r="F270">
        <v>-1.13828</v>
      </c>
      <c r="G270">
        <f t="shared" si="21"/>
        <v>0.48252000000000006</v>
      </c>
      <c r="H270">
        <f t="shared" si="22"/>
        <v>0.48252000000000006</v>
      </c>
      <c r="I270" s="5">
        <f t="shared" ref="I270:I333" si="23">+E270-1652</f>
        <v>257</v>
      </c>
      <c r="J270">
        <f>+H270+CF*F270*(1+($I270-1850)*slope/1000)+F270*hQc*COS(2*PI()*$I270/qbo+$L270)+F270*hQs*SIN(2*PI()*$I270/qbo+$L270)+F270*hCs*SIN(2*PI()*$I270/cw)+F270*hCc*COS(2*PI()*$I270/cw) +mix*F270*(hQc*COS(2*PI()*$I270/qbo+$L270)+hQs*SIN(2*PI()*$I270/qbo+$L270))*(hCs*SIN(2*PI()*$I270/cw)+hCc*COS(2*PI()*$I270/cw))</f>
        <v>-26.344008617844743</v>
      </c>
      <c r="K270">
        <f>fQc*COS(2*PI()*$I270/qbo+$L270)+fQs*SIN(2*PI()*$I270/qbo+$L270)+fCs*SIN(2*PI()*$I270/cw)+fCc*COS(2*PI()*$I270/cw)</f>
        <v>-1.2182612759361418</v>
      </c>
      <c r="L270">
        <f>+QMA*COS(2*PI()*$I270/QM+QMP)</f>
        <v>-1.065791039205408</v>
      </c>
      <c r="P270">
        <f t="shared" ref="P270:P333" si="24">+IF(J270*K270&gt;0,1, 0)</f>
        <v>1</v>
      </c>
    </row>
    <row r="271" spans="1:16" x14ac:dyDescent="0.25">
      <c r="A271" s="1"/>
      <c r="B271" s="4">
        <v>3654</v>
      </c>
      <c r="C271" t="s">
        <v>24</v>
      </c>
      <c r="D271" s="3">
        <v>10.875</v>
      </c>
      <c r="E271" s="5">
        <f t="shared" si="20"/>
        <v>1910</v>
      </c>
      <c r="F271">
        <v>-2.0983499999999999</v>
      </c>
      <c r="G271">
        <f t="shared" si="21"/>
        <v>2.6539299999999999</v>
      </c>
      <c r="H271">
        <f t="shared" si="22"/>
        <v>2.6539299999999999</v>
      </c>
      <c r="I271" s="5">
        <f t="shared" si="23"/>
        <v>258</v>
      </c>
      <c r="J271">
        <f>+H271+CF*F271*(1+($I271-1850)*slope/1000)+F271*hQc*COS(2*PI()*$I271/qbo+$L271)+F271*hQs*SIN(2*PI()*$I271/qbo+$L271)+F271*hCs*SIN(2*PI()*$I271/cw)+F271*hCc*COS(2*PI()*$I271/cw) +mix*F271*(hQc*COS(2*PI()*$I271/qbo+$L271)+hQs*SIN(2*PI()*$I271/qbo+$L271))*(hCs*SIN(2*PI()*$I271/cw)+hCc*COS(2*PI()*$I271/cw))</f>
        <v>16.183889048366591</v>
      </c>
      <c r="K271">
        <f>fQc*COS(2*PI()*$I271/qbo+$L271)+fQs*SIN(2*PI()*$I271/qbo+$L271)+fCs*SIN(2*PI()*$I271/cw)+fCc*COS(2*PI()*$I271/cw)</f>
        <v>0.18010530893830382</v>
      </c>
      <c r="L271">
        <f>+QMA*COS(2*PI()*$I271/QM+QMP)</f>
        <v>-1.1485265561724491</v>
      </c>
      <c r="P271">
        <f t="shared" si="24"/>
        <v>1</v>
      </c>
    </row>
    <row r="272" spans="1:16" x14ac:dyDescent="0.25">
      <c r="A272" s="1"/>
      <c r="B272" s="4">
        <v>4019</v>
      </c>
      <c r="C272" t="s">
        <v>24</v>
      </c>
      <c r="D272" s="3">
        <v>10.916666666666666</v>
      </c>
      <c r="E272" s="5">
        <f t="shared" si="20"/>
        <v>1911</v>
      </c>
      <c r="F272">
        <v>-0.40449000000000002</v>
      </c>
      <c r="G272">
        <f t="shared" si="21"/>
        <v>0.65920000000000023</v>
      </c>
      <c r="H272">
        <f t="shared" si="22"/>
        <v>0.65920000000000023</v>
      </c>
      <c r="I272" s="5">
        <f t="shared" si="23"/>
        <v>259</v>
      </c>
      <c r="J272">
        <f>+H272+CF*F272*(1+($I272-1850)*slope/1000)+F272*hQc*COS(2*PI()*$I272/qbo+$L272)+F272*hQs*SIN(2*PI()*$I272/qbo+$L272)+F272*hCs*SIN(2*PI()*$I272/cw)+F272*hCc*COS(2*PI()*$I272/cw) +mix*F272*(hQc*COS(2*PI()*$I272/qbo+$L272)+hQs*SIN(2*PI()*$I272/qbo+$L272))*(hCs*SIN(2*PI()*$I272/cw)+hCc*COS(2*PI()*$I272/cw))</f>
        <v>-6.9735971439267335</v>
      </c>
      <c r="K272">
        <f>fQc*COS(2*PI()*$I272/qbo+$L272)+fQs*SIN(2*PI()*$I272/qbo+$L272)+fCs*SIN(2*PI()*$I272/cw)+fCc*COS(2*PI()*$I272/cw)</f>
        <v>-0.99334656197986526</v>
      </c>
      <c r="L272">
        <f>+QMA*COS(2*PI()*$I272/QM+QMP)</f>
        <v>-1.2116543078074331</v>
      </c>
      <c r="P272">
        <f t="shared" si="24"/>
        <v>1</v>
      </c>
    </row>
    <row r="273" spans="1:16" x14ac:dyDescent="0.25">
      <c r="A273" s="1"/>
      <c r="B273" s="4">
        <v>4384</v>
      </c>
      <c r="C273" t="s">
        <v>24</v>
      </c>
      <c r="D273" s="3">
        <v>10.958333333333334</v>
      </c>
      <c r="E273" s="5">
        <f t="shared" si="20"/>
        <v>1912</v>
      </c>
      <c r="F273">
        <v>1.9485699999999999</v>
      </c>
      <c r="G273">
        <f t="shared" si="21"/>
        <v>-3.4008099999999999</v>
      </c>
      <c r="H273">
        <f t="shared" si="22"/>
        <v>-3.4008099999999999</v>
      </c>
      <c r="I273" s="5">
        <f t="shared" si="23"/>
        <v>260</v>
      </c>
      <c r="J273">
        <f>+H273+CF*F273*(1+($I273-1850)*slope/1000)+F273*hQc*COS(2*PI()*$I273/qbo+$L273)+F273*hQs*SIN(2*PI()*$I273/qbo+$L273)+F273*hCs*SIN(2*PI()*$I273/cw)+F273*hCc*COS(2*PI()*$I273/cw) +mix*F273*(hQc*COS(2*PI()*$I273/qbo+$L273)+hQs*SIN(2*PI()*$I273/qbo+$L273))*(hCs*SIN(2*PI()*$I273/cw)+hCc*COS(2*PI()*$I273/cw))</f>
        <v>24.415893551269715</v>
      </c>
      <c r="K273">
        <f>fQc*COS(2*PI()*$I273/qbo+$L273)+fQs*SIN(2*PI()*$I273/qbo+$L273)+fCs*SIN(2*PI()*$I273/cw)+fCc*COS(2*PI()*$I273/cw)</f>
        <v>0.40933221263988873</v>
      </c>
      <c r="L273">
        <f>+QMA*COS(2*PI()*$I273/QM+QMP)</f>
        <v>-1.2540965705406739</v>
      </c>
      <c r="P273">
        <f t="shared" si="24"/>
        <v>1</v>
      </c>
    </row>
    <row r="274" spans="1:16" x14ac:dyDescent="0.25">
      <c r="A274" s="1"/>
      <c r="B274" s="4">
        <v>4750</v>
      </c>
      <c r="C274" t="s">
        <v>24</v>
      </c>
      <c r="D274" s="3">
        <v>11</v>
      </c>
      <c r="E274" s="5">
        <f t="shared" si="20"/>
        <v>1913</v>
      </c>
      <c r="F274">
        <v>0.90081999999999995</v>
      </c>
      <c r="G274">
        <f t="shared" si="21"/>
        <v>1.9676</v>
      </c>
      <c r="H274">
        <f t="shared" si="22"/>
        <v>1.9676</v>
      </c>
      <c r="I274" s="5">
        <f t="shared" si="23"/>
        <v>261</v>
      </c>
      <c r="J274">
        <f>+H274+CF*F274*(1+($I274-1850)*slope/1000)+F274*hQc*COS(2*PI()*$I274/qbo+$L274)+F274*hQs*SIN(2*PI()*$I274/qbo+$L274)+F274*hCs*SIN(2*PI()*$I274/cw)+F274*hCc*COS(2*PI()*$I274/cw) +mix*F274*(hQc*COS(2*PI()*$I274/qbo+$L274)+hQs*SIN(2*PI()*$I274/qbo+$L274))*(hCs*SIN(2*PI()*$I274/cw)+hCc*COS(2*PI()*$I274/cw))</f>
        <v>14.411478528197657</v>
      </c>
      <c r="K274">
        <f>fQc*COS(2*PI()*$I274/qbo+$L274)+fQs*SIN(2*PI()*$I274/qbo+$L274)+fCs*SIN(2*PI()*$I274/cw)+fCc*COS(2*PI()*$I274/cw)</f>
        <v>0.44565483720991134</v>
      </c>
      <c r="L274">
        <f>+QMA*COS(2*PI()*$I274/QM+QMP)</f>
        <v>-1.275128765629636</v>
      </c>
      <c r="P274">
        <f t="shared" si="24"/>
        <v>1</v>
      </c>
    </row>
    <row r="275" spans="1:16" x14ac:dyDescent="0.25">
      <c r="A275" s="1"/>
      <c r="B275" s="4">
        <v>5115</v>
      </c>
      <c r="C275" t="s">
        <v>24</v>
      </c>
      <c r="D275" s="3">
        <v>11.041666666666666</v>
      </c>
      <c r="E275" s="5">
        <f t="shared" si="20"/>
        <v>1914</v>
      </c>
      <c r="F275">
        <v>1.82067</v>
      </c>
      <c r="G275">
        <f t="shared" si="21"/>
        <v>-0.67032000000000025</v>
      </c>
      <c r="H275">
        <f t="shared" si="22"/>
        <v>-0.67032000000000025</v>
      </c>
      <c r="I275" s="5">
        <f t="shared" si="23"/>
        <v>262</v>
      </c>
      <c r="J275">
        <f>+H275+CF*F275*(1+($I275-1850)*slope/1000)+F275*hQc*COS(2*PI()*$I275/qbo+$L275)+F275*hQs*SIN(2*PI()*$I275/qbo+$L275)+F275*hCs*SIN(2*PI()*$I275/cw)+F275*hCc*COS(2*PI()*$I275/cw) +mix*F275*(hQc*COS(2*PI()*$I275/qbo+$L275)+hQs*SIN(2*PI()*$I275/qbo+$L275))*(hCs*SIN(2*PI()*$I275/cw)+hCc*COS(2*PI()*$I275/cw))</f>
        <v>17.018581283426357</v>
      </c>
      <c r="K275">
        <f>fQc*COS(2*PI()*$I275/qbo+$L275)+fQs*SIN(2*PI()*$I275/qbo+$L275)+fCs*SIN(2*PI()*$I275/cw)+fCc*COS(2*PI()*$I275/cw)</f>
        <v>0.25098556742668743</v>
      </c>
      <c r="L275">
        <f>+QMA*COS(2*PI()*$I275/QM+QMP)</f>
        <v>-1.2743918292429235</v>
      </c>
      <c r="P275">
        <f t="shared" si="24"/>
        <v>1</v>
      </c>
    </row>
    <row r="276" spans="1:16" x14ac:dyDescent="0.25">
      <c r="A276" s="1"/>
      <c r="B276" s="4">
        <v>5480</v>
      </c>
      <c r="C276" t="s">
        <v>24</v>
      </c>
      <c r="D276" s="3">
        <v>11.083333333333334</v>
      </c>
      <c r="E276" s="5">
        <f t="shared" si="20"/>
        <v>1915</v>
      </c>
      <c r="F276">
        <v>2.0701999999999998</v>
      </c>
      <c r="G276">
        <f t="shared" si="21"/>
        <v>-2.86402</v>
      </c>
      <c r="H276">
        <f t="shared" si="22"/>
        <v>-2.86402</v>
      </c>
      <c r="I276" s="5">
        <f t="shared" si="23"/>
        <v>263</v>
      </c>
      <c r="J276">
        <f>+H276+CF*F276*(1+($I276-1850)*slope/1000)+F276*hQc*COS(2*PI()*$I276/qbo+$L276)+F276*hQs*SIN(2*PI()*$I276/qbo+$L276)+F276*hCs*SIN(2*PI()*$I276/cw)+F276*hCc*COS(2*PI()*$I276/cw) +mix*F276*(hQc*COS(2*PI()*$I276/qbo+$L276)+hQs*SIN(2*PI()*$I276/qbo+$L276))*(hCs*SIN(2*PI()*$I276/cw)+hCc*COS(2*PI()*$I276/cw))</f>
        <v>41.980020093326395</v>
      </c>
      <c r="K276">
        <f>fQc*COS(2*PI()*$I276/qbo+$L276)+fQs*SIN(2*PI()*$I276/qbo+$L276)+fCs*SIN(2*PI()*$I276/cw)+fCc*COS(2*PI()*$I276/cw)</f>
        <v>1.0951560275582397</v>
      </c>
      <c r="L276">
        <f>+QMA*COS(2*PI()*$I276/QM+QMP)</f>
        <v>-1.2518983424355041</v>
      </c>
      <c r="P276">
        <f t="shared" si="24"/>
        <v>1</v>
      </c>
    </row>
    <row r="277" spans="1:16" x14ac:dyDescent="0.25">
      <c r="A277" s="1"/>
      <c r="B277" s="4">
        <v>5845</v>
      </c>
      <c r="C277" t="s">
        <v>24</v>
      </c>
      <c r="D277" s="3">
        <v>11.125</v>
      </c>
      <c r="E277" s="5">
        <f t="shared" si="20"/>
        <v>1916</v>
      </c>
      <c r="F277">
        <v>-0.54429000000000005</v>
      </c>
      <c r="G277">
        <f t="shared" si="21"/>
        <v>1.9921000000000002</v>
      </c>
      <c r="H277">
        <f t="shared" si="22"/>
        <v>1.9921000000000002</v>
      </c>
      <c r="I277" s="5">
        <f t="shared" si="23"/>
        <v>264</v>
      </c>
      <c r="J277">
        <f>+H277+CF*F277*(1+($I277-1850)*slope/1000)+F277*hQc*COS(2*PI()*$I277/qbo+$L277)+F277*hQs*SIN(2*PI()*$I277/qbo+$L277)+F277*hCs*SIN(2*PI()*$I277/cw)+F277*hCc*COS(2*PI()*$I277/cw) +mix*F277*(hQc*COS(2*PI()*$I277/qbo+$L277)+hQs*SIN(2*PI()*$I277/qbo+$L277))*(hCs*SIN(2*PI()*$I277/cw)+hCc*COS(2*PI()*$I277/cw))</f>
        <v>-5.0300660028464215</v>
      </c>
      <c r="K277">
        <f>fQc*COS(2*PI()*$I277/qbo+$L277)+fQs*SIN(2*PI()*$I277/qbo+$L277)+fCs*SIN(2*PI()*$I277/cw)+fCc*COS(2*PI()*$I277/cw)</f>
        <v>-0.62682334713566701</v>
      </c>
      <c r="L277">
        <f>+QMA*COS(2*PI()*$I277/QM+QMP)</f>
        <v>-1.2080323163636255</v>
      </c>
      <c r="P277">
        <f t="shared" si="24"/>
        <v>1</v>
      </c>
    </row>
    <row r="278" spans="1:16" x14ac:dyDescent="0.25">
      <c r="A278" s="1"/>
      <c r="B278" s="4">
        <v>6211</v>
      </c>
      <c r="C278" t="s">
        <v>24</v>
      </c>
      <c r="D278" s="3">
        <v>11.166666666666666</v>
      </c>
      <c r="E278" s="5">
        <f t="shared" si="20"/>
        <v>1917</v>
      </c>
      <c r="F278">
        <v>-1.1666799999999999</v>
      </c>
      <c r="G278">
        <f t="shared" si="21"/>
        <v>9.9349999999999716E-2</v>
      </c>
      <c r="H278">
        <f t="shared" si="22"/>
        <v>9.9349999999999716E-2</v>
      </c>
      <c r="I278" s="5">
        <f t="shared" si="23"/>
        <v>265</v>
      </c>
      <c r="J278">
        <f>+H278+CF*F278*(1+($I278-1850)*slope/1000)+F278*hQc*COS(2*PI()*$I278/qbo+$L278)+F278*hQs*SIN(2*PI()*$I278/qbo+$L278)+F278*hCs*SIN(2*PI()*$I278/cw)+F278*hCc*COS(2*PI()*$I278/cw) +mix*F278*(hQc*COS(2*PI()*$I278/qbo+$L278)+hQs*SIN(2*PI()*$I278/qbo+$L278))*(hCs*SIN(2*PI()*$I278/cw)+hCc*COS(2*PI()*$I278/cw))</f>
        <v>0.4162200419478097</v>
      </c>
      <c r="K278">
        <f>fQc*COS(2*PI()*$I278/qbo+$L278)+fQs*SIN(2*PI()*$I278/qbo+$L278)+fCs*SIN(2*PI()*$I278/cw)+fCc*COS(2*PI()*$I278/cw)</f>
        <v>0.46427239042675156</v>
      </c>
      <c r="L278">
        <f>+QMA*COS(2*PI()*$I278/QM+QMP)</f>
        <v>-1.143542636406254</v>
      </c>
      <c r="P278">
        <f t="shared" si="24"/>
        <v>1</v>
      </c>
    </row>
    <row r="279" spans="1:16" x14ac:dyDescent="0.25">
      <c r="A279" s="1"/>
      <c r="B279" s="4">
        <v>6576</v>
      </c>
      <c r="C279" t="s">
        <v>24</v>
      </c>
      <c r="D279" s="3">
        <v>11.208333333333334</v>
      </c>
      <c r="E279" s="5">
        <f t="shared" si="20"/>
        <v>1918</v>
      </c>
      <c r="F279">
        <v>-1.6897200000000001</v>
      </c>
      <c r="G279">
        <f t="shared" si="21"/>
        <v>4.5624900000000004</v>
      </c>
      <c r="H279">
        <f t="shared" si="22"/>
        <v>4.5624900000000004</v>
      </c>
      <c r="I279" s="5">
        <f t="shared" si="23"/>
        <v>266</v>
      </c>
      <c r="J279">
        <f>+H279+CF*F279*(1+($I279-1850)*slope/1000)+F279*hQc*COS(2*PI()*$I279/qbo+$L279)+F279*hQs*SIN(2*PI()*$I279/qbo+$L279)+F279*hCs*SIN(2*PI()*$I279/cw)+F279*hCc*COS(2*PI()*$I279/cw) +mix*F279*(hQc*COS(2*PI()*$I279/qbo+$L279)+hQs*SIN(2*PI()*$I279/qbo+$L279))*(hCs*SIN(2*PI()*$I279/cw)+hCc*COS(2*PI()*$I279/cw))</f>
        <v>-37.323387145924364</v>
      </c>
      <c r="K279">
        <f>fQc*COS(2*PI()*$I279/qbo+$L279)+fQs*SIN(2*PI()*$I279/qbo+$L279)+fCs*SIN(2*PI()*$I279/cw)+fCc*COS(2*PI()*$I279/cw)</f>
        <v>-1.220199260348366</v>
      </c>
      <c r="L279">
        <f>+QMA*COS(2*PI()*$I279/QM+QMP)</f>
        <v>-1.0595302771156505</v>
      </c>
      <c r="P279">
        <f t="shared" si="24"/>
        <v>1</v>
      </c>
    </row>
    <row r="280" spans="1:16" x14ac:dyDescent="0.25">
      <c r="A280" s="1"/>
      <c r="B280" s="4">
        <v>6941</v>
      </c>
      <c r="C280" t="s">
        <v>24</v>
      </c>
      <c r="D280" s="3">
        <v>11.25</v>
      </c>
      <c r="E280" s="5">
        <f t="shared" si="20"/>
        <v>1919</v>
      </c>
      <c r="F280">
        <v>2.3497300000000001</v>
      </c>
      <c r="G280">
        <f t="shared" si="21"/>
        <v>-4.90611</v>
      </c>
      <c r="H280">
        <f t="shared" si="22"/>
        <v>-4.90611</v>
      </c>
      <c r="I280" s="5">
        <f t="shared" si="23"/>
        <v>267</v>
      </c>
      <c r="J280">
        <f>+H280+CF*F280*(1+($I280-1850)*slope/1000)+F280*hQc*COS(2*PI()*$I280/qbo+$L280)+F280*hQs*SIN(2*PI()*$I280/qbo+$L280)+F280*hCs*SIN(2*PI()*$I280/cw)+F280*hCc*COS(2*PI()*$I280/cw) +mix*F280*(hQc*COS(2*PI()*$I280/qbo+$L280)+hQs*SIN(2*PI()*$I280/qbo+$L280))*(hCs*SIN(2*PI()*$I280/cw)+hCc*COS(2*PI()*$I280/cw))</f>
        <v>-6.0606466565569868</v>
      </c>
      <c r="K280">
        <f>fQc*COS(2*PI()*$I280/qbo+$L280)+fQs*SIN(2*PI()*$I280/qbo+$L280)+fCs*SIN(2*PI()*$I280/cw)+fCc*COS(2*PI()*$I280/cw)</f>
        <v>-0.10620974183170148</v>
      </c>
      <c r="L280">
        <f>+QMA*COS(2*PI()*$I280/QM+QMP)</f>
        <v>-0.95742950626482359</v>
      </c>
      <c r="P280">
        <f t="shared" si="24"/>
        <v>1</v>
      </c>
    </row>
    <row r="281" spans="1:16" x14ac:dyDescent="0.25">
      <c r="A281" s="1"/>
      <c r="B281" s="4">
        <v>7306</v>
      </c>
      <c r="C281" t="s">
        <v>24</v>
      </c>
      <c r="D281" s="3">
        <v>11.291666666666666</v>
      </c>
      <c r="E281" s="5">
        <f t="shared" si="20"/>
        <v>1920</v>
      </c>
      <c r="F281">
        <v>1.4830700000000001</v>
      </c>
      <c r="G281">
        <f t="shared" si="21"/>
        <v>-1.3225099999999999</v>
      </c>
      <c r="H281">
        <f t="shared" si="22"/>
        <v>-1.3225099999999999</v>
      </c>
      <c r="I281" s="5">
        <f t="shared" si="23"/>
        <v>268</v>
      </c>
      <c r="J281">
        <f>+H281+CF*F281*(1+($I281-1850)*slope/1000)+F281*hQc*COS(2*PI()*$I281/qbo+$L281)+F281*hQs*SIN(2*PI()*$I281/qbo+$L281)+F281*hCs*SIN(2*PI()*$I281/cw)+F281*hCc*COS(2*PI()*$I281/cw) +mix*F281*(hQc*COS(2*PI()*$I281/qbo+$L281)+hQs*SIN(2*PI()*$I281/qbo+$L281))*(hCs*SIN(2*PI()*$I281/cw)+hCc*COS(2*PI()*$I281/cw))</f>
        <v>19.485490679132152</v>
      </c>
      <c r="K281">
        <f>fQc*COS(2*PI()*$I281/qbo+$L281)+fQs*SIN(2*PI()*$I281/qbo+$L281)+fCs*SIN(2*PI()*$I281/cw)+fCc*COS(2*PI()*$I281/cw)</f>
        <v>-0.5168353952313014</v>
      </c>
      <c r="L281">
        <f>+QMA*COS(2*PI()*$I281/QM+QMP)</f>
        <v>-0.83898339887829598</v>
      </c>
      <c r="P281">
        <f t="shared" si="24"/>
        <v>0</v>
      </c>
    </row>
    <row r="282" spans="1:16" x14ac:dyDescent="0.25">
      <c r="A282" s="1"/>
      <c r="B282" s="4">
        <v>7672</v>
      </c>
      <c r="C282" t="s">
        <v>24</v>
      </c>
      <c r="D282" s="3">
        <v>11.333333333333334</v>
      </c>
      <c r="E282" s="5">
        <f t="shared" si="20"/>
        <v>1921</v>
      </c>
      <c r="F282">
        <v>-0.70609999999999995</v>
      </c>
      <c r="G282">
        <f t="shared" si="21"/>
        <v>1.6403299999999998</v>
      </c>
      <c r="H282">
        <f t="shared" si="22"/>
        <v>1.6403299999999998</v>
      </c>
      <c r="I282" s="5">
        <f t="shared" si="23"/>
        <v>269</v>
      </c>
      <c r="J282">
        <f>+H282+CF*F282*(1+($I282-1850)*slope/1000)+F282*hQc*COS(2*PI()*$I282/qbo+$L282)+F282*hQs*SIN(2*PI()*$I282/qbo+$L282)+F282*hCs*SIN(2*PI()*$I282/cw)+F282*hCc*COS(2*PI()*$I282/cw) +mix*F282*(hQc*COS(2*PI()*$I282/qbo+$L282)+hQs*SIN(2*PI()*$I282/qbo+$L282))*(hCs*SIN(2*PI()*$I282/cw)+hCc*COS(2*PI()*$I282/cw))</f>
        <v>-7.899992676432352</v>
      </c>
      <c r="K282">
        <f>fQc*COS(2*PI()*$I282/qbo+$L282)+fQs*SIN(2*PI()*$I282/qbo+$L282)+fCs*SIN(2*PI()*$I282/cw)+fCc*COS(2*PI()*$I282/cw)</f>
        <v>9.4019540789766404E-2</v>
      </c>
      <c r="L282">
        <f>+QMA*COS(2*PI()*$I282/QM+QMP)</f>
        <v>-0.70621407927321911</v>
      </c>
      <c r="P282">
        <f t="shared" si="24"/>
        <v>0</v>
      </c>
    </row>
    <row r="283" spans="1:16" x14ac:dyDescent="0.25">
      <c r="A283" s="1"/>
      <c r="B283" s="4">
        <v>8037</v>
      </c>
      <c r="C283" t="s">
        <v>24</v>
      </c>
      <c r="D283" s="3">
        <v>11.375</v>
      </c>
      <c r="E283" s="5">
        <f t="shared" si="20"/>
        <v>1922</v>
      </c>
      <c r="F283">
        <v>-1.2549399999999999</v>
      </c>
      <c r="G283">
        <f t="shared" si="21"/>
        <v>1.2729200000000001</v>
      </c>
      <c r="H283">
        <f t="shared" si="22"/>
        <v>1.2729200000000001</v>
      </c>
      <c r="I283" s="5">
        <f t="shared" si="23"/>
        <v>270</v>
      </c>
      <c r="J283">
        <f>+H283+CF*F283*(1+($I283-1850)*slope/1000)+F283*hQc*COS(2*PI()*$I283/qbo+$L283)+F283*hQs*SIN(2*PI()*$I283/qbo+$L283)+F283*hCs*SIN(2*PI()*$I283/cw)+F283*hCc*COS(2*PI()*$I283/cw) +mix*F283*(hQc*COS(2*PI()*$I283/qbo+$L283)+hQs*SIN(2*PI()*$I283/qbo+$L283))*(hCs*SIN(2*PI()*$I283/cw)+hCc*COS(2*PI()*$I283/cw))</f>
        <v>-21.539841081015197</v>
      </c>
      <c r="K283">
        <f>fQc*COS(2*PI()*$I283/qbo+$L283)+fQs*SIN(2*PI()*$I283/qbo+$L283)+fCs*SIN(2*PI()*$I283/cw)+fCc*COS(2*PI()*$I283/cw)</f>
        <v>0.75404050187584426</v>
      </c>
      <c r="L283">
        <f>+QMA*COS(2*PI()*$I283/QM+QMP)</f>
        <v>-0.5613881991418177</v>
      </c>
      <c r="P283">
        <f t="shared" si="24"/>
        <v>0</v>
      </c>
    </row>
    <row r="284" spans="1:16" x14ac:dyDescent="0.25">
      <c r="A284" s="1"/>
      <c r="B284" s="4">
        <v>8402</v>
      </c>
      <c r="C284" t="s">
        <v>24</v>
      </c>
      <c r="D284" s="3">
        <v>11.416666666666666</v>
      </c>
      <c r="E284" s="5">
        <f t="shared" si="20"/>
        <v>1923</v>
      </c>
      <c r="F284">
        <v>-0.53086</v>
      </c>
      <c r="G284">
        <f t="shared" si="21"/>
        <v>0.36950000000000005</v>
      </c>
      <c r="H284">
        <f t="shared" si="22"/>
        <v>0.36950000000000005</v>
      </c>
      <c r="I284" s="5">
        <f t="shared" si="23"/>
        <v>271</v>
      </c>
      <c r="J284">
        <f>+H284+CF*F284*(1+($I284-1850)*slope/1000)+F284*hQc*COS(2*PI()*$I284/qbo+$L284)+F284*hQs*SIN(2*PI()*$I284/qbo+$L284)+F284*hCs*SIN(2*PI()*$I284/cw)+F284*hCc*COS(2*PI()*$I284/cw) +mix*F284*(hQc*COS(2*PI()*$I284/qbo+$L284)+hQs*SIN(2*PI()*$I284/qbo+$L284))*(hCs*SIN(2*PI()*$I284/cw)+hCc*COS(2*PI()*$I284/cw))</f>
        <v>-3.4661971883876257</v>
      </c>
      <c r="K284">
        <f>fQc*COS(2*PI()*$I284/qbo+$L284)+fQs*SIN(2*PI()*$I284/qbo+$L284)+fCs*SIN(2*PI()*$I284/cw)+fCc*COS(2*PI()*$I284/cw)</f>
        <v>0.12442536188402847</v>
      </c>
      <c r="L284">
        <f>+QMA*COS(2*PI()*$I284/QM+QMP)</f>
        <v>-0.4069782410369453</v>
      </c>
      <c r="P284">
        <f t="shared" si="24"/>
        <v>0</v>
      </c>
    </row>
    <row r="285" spans="1:16" x14ac:dyDescent="0.25">
      <c r="A285" s="1"/>
      <c r="B285" s="4">
        <v>8767</v>
      </c>
      <c r="C285" t="s">
        <v>24</v>
      </c>
      <c r="D285" s="3">
        <v>11.458333333333334</v>
      </c>
      <c r="E285" s="5">
        <f t="shared" si="20"/>
        <v>1924</v>
      </c>
      <c r="F285">
        <v>0.56272</v>
      </c>
      <c r="G285">
        <f t="shared" si="21"/>
        <v>-3.4095500000000003</v>
      </c>
      <c r="H285">
        <f t="shared" si="22"/>
        <v>-3.4095500000000003</v>
      </c>
      <c r="I285" s="5">
        <f t="shared" si="23"/>
        <v>272</v>
      </c>
      <c r="J285">
        <f>+H285+CF*F285*(1+($I285-1850)*slope/1000)+F285*hQc*COS(2*PI()*$I285/qbo+$L285)+F285*hQs*SIN(2*PI()*$I285/qbo+$L285)+F285*hCs*SIN(2*PI()*$I285/cw)+F285*hCc*COS(2*PI()*$I285/cw) +mix*F285*(hQc*COS(2*PI()*$I285/qbo+$L285)+hQs*SIN(2*PI()*$I285/qbo+$L285))*(hCs*SIN(2*PI()*$I285/cw)+hCc*COS(2*PI()*$I285/cw))</f>
        <v>8.215132260865122</v>
      </c>
      <c r="K285">
        <f>fQc*COS(2*PI()*$I285/qbo+$L285)+fQs*SIN(2*PI()*$I285/qbo+$L285)+fCs*SIN(2*PI()*$I285/cw)+fCc*COS(2*PI()*$I285/cw)</f>
        <v>1.0758387988940046</v>
      </c>
      <c r="L285">
        <f>+QMA*COS(2*PI()*$I285/QM+QMP)</f>
        <v>-0.24562030789167863</v>
      </c>
      <c r="P285">
        <f t="shared" si="24"/>
        <v>1</v>
      </c>
    </row>
    <row r="286" spans="1:16" x14ac:dyDescent="0.25">
      <c r="A286" s="1"/>
      <c r="B286" s="4">
        <v>9133</v>
      </c>
      <c r="C286" t="s">
        <v>24</v>
      </c>
      <c r="D286" s="3">
        <v>11.5</v>
      </c>
      <c r="E286" s="5">
        <f t="shared" si="20"/>
        <v>1925</v>
      </c>
      <c r="F286">
        <v>-1.75325</v>
      </c>
      <c r="G286">
        <f t="shared" si="21"/>
        <v>5.95662</v>
      </c>
      <c r="H286">
        <f t="shared" si="22"/>
        <v>5.95662</v>
      </c>
      <c r="I286" s="5">
        <f t="shared" si="23"/>
        <v>273</v>
      </c>
      <c r="J286">
        <f>+H286+CF*F286*(1+($I286-1850)*slope/1000)+F286*hQc*COS(2*PI()*$I286/qbo+$L286)+F286*hQs*SIN(2*PI()*$I286/qbo+$L286)+F286*hCs*SIN(2*PI()*$I286/cw)+F286*hCc*COS(2*PI()*$I286/cw) +mix*F286*(hQc*COS(2*PI()*$I286/qbo+$L286)+hQs*SIN(2*PI()*$I286/qbo+$L286))*(hCs*SIN(2*PI()*$I286/cw)+hCc*COS(2*PI()*$I286/cw))</f>
        <v>-18.93154117283953</v>
      </c>
      <c r="K286">
        <f>fQc*COS(2*PI()*$I286/qbo+$L286)+fQs*SIN(2*PI()*$I286/qbo+$L286)+fCs*SIN(2*PI()*$I286/cw)+fCc*COS(2*PI()*$I286/cw)</f>
        <v>-0.68244607140340396</v>
      </c>
      <c r="L286">
        <f>+QMA*COS(2*PI()*$I286/QM+QMP)</f>
        <v>-8.0069119194735611E-2</v>
      </c>
      <c r="P286">
        <f t="shared" si="24"/>
        <v>1</v>
      </c>
    </row>
    <row r="287" spans="1:16" x14ac:dyDescent="0.25">
      <c r="A287" s="1"/>
      <c r="B287" s="4">
        <v>9498</v>
      </c>
      <c r="C287" t="s">
        <v>24</v>
      </c>
      <c r="D287" s="3">
        <v>11.541666666666666</v>
      </c>
      <c r="E287" s="5">
        <f t="shared" si="20"/>
        <v>1926</v>
      </c>
      <c r="F287">
        <v>1.8874</v>
      </c>
      <c r="G287">
        <f t="shared" si="21"/>
        <v>-5.6693199999999999</v>
      </c>
      <c r="H287">
        <f t="shared" si="22"/>
        <v>-5.6693199999999999</v>
      </c>
      <c r="I287" s="5">
        <f t="shared" si="23"/>
        <v>274</v>
      </c>
      <c r="J287">
        <f>+H287+CF*F287*(1+($I287-1850)*slope/1000)+F287*hQc*COS(2*PI()*$I287/qbo+$L287)+F287*hQs*SIN(2*PI()*$I287/qbo+$L287)+F287*hCs*SIN(2*PI()*$I287/cw)+F287*hCc*COS(2*PI()*$I287/cw) +mix*F287*(hQc*COS(2*PI()*$I287/qbo+$L287)+hQs*SIN(2*PI()*$I287/qbo+$L287))*(hCs*SIN(2*PI()*$I287/cw)+hCc*COS(2*PI()*$I287/cw))</f>
        <v>-9.411385835842454</v>
      </c>
      <c r="K287">
        <f>fQc*COS(2*PI()*$I287/qbo+$L287)+fQs*SIN(2*PI()*$I287/qbo+$L287)+fCs*SIN(2*PI()*$I287/cw)+fCc*COS(2*PI()*$I287/cw)</f>
        <v>0.41813526765838693</v>
      </c>
      <c r="L287">
        <f>+QMA*COS(2*PI()*$I287/QM+QMP)</f>
        <v>8.6849017868422779E-2</v>
      </c>
      <c r="P287">
        <f t="shared" si="24"/>
        <v>0</v>
      </c>
    </row>
    <row r="288" spans="1:16" x14ac:dyDescent="0.25">
      <c r="A288" s="1"/>
      <c r="B288" s="4">
        <v>9863</v>
      </c>
      <c r="C288" t="s">
        <v>24</v>
      </c>
      <c r="D288" s="3">
        <v>11.583333333333334</v>
      </c>
      <c r="E288" s="5">
        <f t="shared" si="20"/>
        <v>1927</v>
      </c>
      <c r="F288">
        <v>-0.14127000000000001</v>
      </c>
      <c r="G288">
        <f t="shared" si="21"/>
        <v>2.4368499999999997</v>
      </c>
      <c r="H288">
        <f t="shared" si="22"/>
        <v>2.4368499999999997</v>
      </c>
      <c r="I288" s="5">
        <f t="shared" si="23"/>
        <v>275</v>
      </c>
      <c r="J288">
        <f>+H288+CF*F288*(1+($I288-1850)*slope/1000)+F288*hQc*COS(2*PI()*$I288/qbo+$L288)+F288*hQs*SIN(2*PI()*$I288/qbo+$L288)+F288*hCs*SIN(2*PI()*$I288/cw)+F288*hCc*COS(2*PI()*$I288/cw) +mix*F288*(hQc*COS(2*PI()*$I288/qbo+$L288)+hQs*SIN(2*PI()*$I288/qbo+$L288))*(hCs*SIN(2*PI()*$I288/cw)+hCc*COS(2*PI()*$I288/cw))</f>
        <v>-1.2915795317997329</v>
      </c>
      <c r="K288">
        <f>fQc*COS(2*PI()*$I288/qbo+$L288)+fQs*SIN(2*PI()*$I288/qbo+$L288)+fCs*SIN(2*PI()*$I288/cw)+fCc*COS(2*PI()*$I288/cw)</f>
        <v>-1.3211907880828009</v>
      </c>
      <c r="L288">
        <f>+QMA*COS(2*PI()*$I288/QM+QMP)</f>
        <v>0.25228445942703942</v>
      </c>
      <c r="P288">
        <f t="shared" si="24"/>
        <v>1</v>
      </c>
    </row>
    <row r="289" spans="1:16" x14ac:dyDescent="0.25">
      <c r="A289" s="1"/>
      <c r="B289" s="4">
        <v>10228</v>
      </c>
      <c r="C289" t="s">
        <v>24</v>
      </c>
      <c r="D289" s="3">
        <v>11.625</v>
      </c>
      <c r="E289" s="5">
        <f t="shared" si="20"/>
        <v>1928</v>
      </c>
      <c r="F289">
        <v>0.26690999999999998</v>
      </c>
      <c r="G289">
        <f t="shared" si="21"/>
        <v>-1.9864899999999999</v>
      </c>
      <c r="H289">
        <f t="shared" si="22"/>
        <v>-1.9864899999999999</v>
      </c>
      <c r="I289" s="5">
        <f t="shared" si="23"/>
        <v>276</v>
      </c>
      <c r="J289">
        <f>+H289+CF*F289*(1+($I289-1850)*slope/1000)+F289*hQc*COS(2*PI()*$I289/qbo+$L289)+F289*hQs*SIN(2*PI()*$I289/qbo+$L289)+F289*hCs*SIN(2*PI()*$I289/cw)+F289*hCc*COS(2*PI()*$I289/cw) +mix*F289*(hQc*COS(2*PI()*$I289/qbo+$L289)+hQs*SIN(2*PI()*$I289/qbo+$L289))*(hCs*SIN(2*PI()*$I289/cw)+hCc*COS(2*PI()*$I289/cw))</f>
        <v>-2.6716729854427932</v>
      </c>
      <c r="K289">
        <f>fQc*COS(2*PI()*$I289/qbo+$L289)+fQs*SIN(2*PI()*$I289/qbo+$L289)+fCs*SIN(2*PI()*$I289/cw)+fCc*COS(2*PI()*$I289/cw)</f>
        <v>8.5950291710102225E-2</v>
      </c>
      <c r="L289">
        <f>+QMA*COS(2*PI()*$I289/QM+QMP)</f>
        <v>0.41341287434288027</v>
      </c>
      <c r="P289">
        <f t="shared" si="24"/>
        <v>0</v>
      </c>
    </row>
    <row r="290" spans="1:16" x14ac:dyDescent="0.25">
      <c r="A290" s="1"/>
      <c r="B290" s="4">
        <v>10594</v>
      </c>
      <c r="C290" t="s">
        <v>24</v>
      </c>
      <c r="D290" s="3">
        <v>11.666666666666666</v>
      </c>
      <c r="E290" s="5">
        <f t="shared" si="20"/>
        <v>1929</v>
      </c>
      <c r="F290">
        <v>-1.3113999999999999</v>
      </c>
      <c r="G290">
        <f t="shared" si="21"/>
        <v>3.6171199999999999</v>
      </c>
      <c r="H290">
        <f t="shared" si="22"/>
        <v>3.6171199999999999</v>
      </c>
      <c r="I290" s="5">
        <f t="shared" si="23"/>
        <v>277</v>
      </c>
      <c r="J290">
        <f>+H290+CF*F290*(1+($I290-1850)*slope/1000)+F290*hQc*COS(2*PI()*$I290/qbo+$L290)+F290*hQs*SIN(2*PI()*$I290/qbo+$L290)+F290*hCs*SIN(2*PI()*$I290/cw)+F290*hCc*COS(2*PI()*$I290/cw) +mix*F290*(hQc*COS(2*PI()*$I290/qbo+$L290)+hQs*SIN(2*PI()*$I290/qbo+$L290))*(hCs*SIN(2*PI()*$I290/cw)+hCc*COS(2*PI()*$I290/cw))</f>
        <v>-16.300191361610473</v>
      </c>
      <c r="K290">
        <f>fQc*COS(2*PI()*$I290/qbo+$L290)+fQs*SIN(2*PI()*$I290/qbo+$L290)+fCs*SIN(2*PI()*$I290/cw)+fCc*COS(2*PI()*$I290/cw)</f>
        <v>-0.68923078704905971</v>
      </c>
      <c r="L290">
        <f>+QMA*COS(2*PI()*$I290/QM+QMP)</f>
        <v>0.56748346148643103</v>
      </c>
      <c r="P290">
        <f t="shared" si="24"/>
        <v>1</v>
      </c>
    </row>
    <row r="291" spans="1:16" x14ac:dyDescent="0.25">
      <c r="A291" s="1"/>
      <c r="B291" s="4">
        <v>10959</v>
      </c>
      <c r="C291" t="s">
        <v>24</v>
      </c>
      <c r="D291" s="3">
        <v>11.708333333333334</v>
      </c>
      <c r="E291" s="5">
        <f t="shared" si="20"/>
        <v>1930</v>
      </c>
      <c r="F291">
        <v>0.72741</v>
      </c>
      <c r="G291">
        <f t="shared" si="21"/>
        <v>-0.54781999999999975</v>
      </c>
      <c r="H291">
        <f t="shared" si="22"/>
        <v>-0.54781999999999975</v>
      </c>
      <c r="I291" s="5">
        <f t="shared" si="23"/>
        <v>278</v>
      </c>
      <c r="J291">
        <f>+H291+CF*F291*(1+($I291-1850)*slope/1000)+F291*hQc*COS(2*PI()*$I291/qbo+$L291)+F291*hQs*SIN(2*PI()*$I291/qbo+$L291)+F291*hCs*SIN(2*PI()*$I291/cw)+F291*hCc*COS(2*PI()*$I291/cw) +mix*F291*(hQc*COS(2*PI()*$I291/qbo+$L291)+hQs*SIN(2*PI()*$I291/qbo+$L291))*(hCs*SIN(2*PI()*$I291/cw)+hCc*COS(2*PI()*$I291/cw))</f>
        <v>10.921810343893833</v>
      </c>
      <c r="K291">
        <f>fQc*COS(2*PI()*$I291/qbo+$L291)+fQs*SIN(2*PI()*$I291/qbo+$L291)+fCs*SIN(2*PI()*$I291/cw)+fCc*COS(2*PI()*$I291/cw)</f>
        <v>0.42937374316611476</v>
      </c>
      <c r="L291">
        <f>+QMA*COS(2*PI()*$I291/QM+QMP)</f>
        <v>0.71186591170111313</v>
      </c>
      <c r="P291">
        <f t="shared" si="24"/>
        <v>1</v>
      </c>
    </row>
    <row r="292" spans="1:16" x14ac:dyDescent="0.25">
      <c r="A292" s="1"/>
      <c r="B292" s="4">
        <v>11324</v>
      </c>
      <c r="C292" t="s">
        <v>24</v>
      </c>
      <c r="D292" s="3">
        <v>11.75</v>
      </c>
      <c r="E292" s="5">
        <f t="shared" si="20"/>
        <v>1931</v>
      </c>
      <c r="F292">
        <v>2.2183999999999999</v>
      </c>
      <c r="G292">
        <f t="shared" si="21"/>
        <v>-3.2621199999999999</v>
      </c>
      <c r="H292">
        <f t="shared" si="22"/>
        <v>-3.2621199999999999</v>
      </c>
      <c r="I292" s="5">
        <f t="shared" si="23"/>
        <v>279</v>
      </c>
      <c r="J292">
        <f>+H292+CF*F292*(1+($I292-1850)*slope/1000)+F292*hQc*COS(2*PI()*$I292/qbo+$L292)+F292*hQs*SIN(2*PI()*$I292/qbo+$L292)+F292*hCs*SIN(2*PI()*$I292/cw)+F292*hCc*COS(2*PI()*$I292/cw) +mix*F292*(hQc*COS(2*PI()*$I292/qbo+$L292)+hQs*SIN(2*PI()*$I292/qbo+$L292))*(hCs*SIN(2*PI()*$I292/cw)+hCc*COS(2*PI()*$I292/cw))</f>
        <v>27.722281226464261</v>
      </c>
      <c r="K292">
        <f>fQc*COS(2*PI()*$I292/qbo+$L292)+fQs*SIN(2*PI()*$I292/qbo+$L292)+fCs*SIN(2*PI()*$I292/cw)+fCc*COS(2*PI()*$I292/cw)</f>
        <v>0.53569011805534328</v>
      </c>
      <c r="L292">
        <f>+QMA*COS(2*PI()*$I292/QM+QMP)</f>
        <v>0.8440953127159122</v>
      </c>
      <c r="P292">
        <f t="shared" si="24"/>
        <v>1</v>
      </c>
    </row>
    <row r="293" spans="1:16" x14ac:dyDescent="0.25">
      <c r="A293" s="1"/>
      <c r="B293" s="4">
        <v>11689</v>
      </c>
      <c r="C293" t="s">
        <v>24</v>
      </c>
      <c r="D293" s="3">
        <v>11.791666666666666</v>
      </c>
      <c r="E293" s="5">
        <f t="shared" si="20"/>
        <v>1932</v>
      </c>
      <c r="F293">
        <v>0.44727</v>
      </c>
      <c r="G293">
        <f t="shared" si="21"/>
        <v>1.1273599999999999</v>
      </c>
      <c r="H293">
        <f t="shared" si="22"/>
        <v>1.1273599999999999</v>
      </c>
      <c r="I293" s="5">
        <f t="shared" si="23"/>
        <v>280</v>
      </c>
      <c r="J293">
        <f>+H293+CF*F293*(1+($I293-1850)*slope/1000)+F293*hQc*COS(2*PI()*$I293/qbo+$L293)+F293*hQs*SIN(2*PI()*$I293/qbo+$L293)+F293*hCs*SIN(2*PI()*$I293/cw)+F293*hCc*COS(2*PI()*$I293/cw) +mix*F293*(hQc*COS(2*PI()*$I293/qbo+$L293)+hQs*SIN(2*PI()*$I293/qbo+$L293))*(hCs*SIN(2*PI()*$I293/cw)+hCc*COS(2*PI()*$I293/cw))</f>
        <v>6.1115076162049933</v>
      </c>
      <c r="K293">
        <f>fQc*COS(2*PI()*$I293/qbo+$L293)+fQs*SIN(2*PI()*$I293/qbo+$L293)+fCs*SIN(2*PI()*$I293/cw)+fCc*COS(2*PI()*$I293/cw)</f>
        <v>0.31941667101635407</v>
      </c>
      <c r="L293">
        <f>+QMA*COS(2*PI()*$I293/QM+QMP)</f>
        <v>0.96191423038518042</v>
      </c>
      <c r="P293">
        <f t="shared" si="24"/>
        <v>1</v>
      </c>
    </row>
    <row r="294" spans="1:16" x14ac:dyDescent="0.25">
      <c r="A294" s="1"/>
      <c r="B294" s="4">
        <v>12055</v>
      </c>
      <c r="C294" t="s">
        <v>24</v>
      </c>
      <c r="D294" s="3">
        <v>11.833333333333334</v>
      </c>
      <c r="E294" s="5">
        <f t="shared" si="20"/>
        <v>1933</v>
      </c>
      <c r="F294">
        <v>-0.19650000000000001</v>
      </c>
      <c r="G294">
        <f t="shared" si="21"/>
        <v>-0.84888999999999992</v>
      </c>
      <c r="H294">
        <f t="shared" si="22"/>
        <v>-0.84888999999999992</v>
      </c>
      <c r="I294" s="5">
        <f t="shared" si="23"/>
        <v>281</v>
      </c>
      <c r="J294">
        <f>+H294+CF*F294*(1+($I294-1850)*slope/1000)+F294*hQc*COS(2*PI()*$I294/qbo+$L294)+F294*hQs*SIN(2*PI()*$I294/qbo+$L294)+F294*hCs*SIN(2*PI()*$I294/cw)+F294*hCc*COS(2*PI()*$I294/cw) +mix*F294*(hQc*COS(2*PI()*$I294/qbo+$L294)+hQs*SIN(2*PI()*$I294/qbo+$L294))*(hCs*SIN(2*PI()*$I294/cw)+hCc*COS(2*PI()*$I294/cw))</f>
        <v>-4.3744184492216363</v>
      </c>
      <c r="K294">
        <f>fQc*COS(2*PI()*$I294/qbo+$L294)+fQs*SIN(2*PI()*$I294/qbo+$L294)+fCs*SIN(2*PI()*$I294/cw)+fCc*COS(2*PI()*$I294/cw)</f>
        <v>0.90208519798459974</v>
      </c>
      <c r="L294">
        <f>+QMA*COS(2*PI()*$I294/QM+QMP)</f>
        <v>1.0633112478401299</v>
      </c>
      <c r="P294">
        <f t="shared" si="24"/>
        <v>0</v>
      </c>
    </row>
    <row r="295" spans="1:16" x14ac:dyDescent="0.25">
      <c r="A295" s="1"/>
      <c r="B295" s="4">
        <v>12420</v>
      </c>
      <c r="C295" t="s">
        <v>24</v>
      </c>
      <c r="D295" s="3">
        <v>11.875</v>
      </c>
      <c r="E295" s="5">
        <f t="shared" si="20"/>
        <v>1934</v>
      </c>
      <c r="F295">
        <v>-1.68916</v>
      </c>
      <c r="G295">
        <f t="shared" si="21"/>
        <v>2.8805499999999999</v>
      </c>
      <c r="H295">
        <f t="shared" si="22"/>
        <v>2.8805499999999999</v>
      </c>
      <c r="I295" s="5">
        <f t="shared" si="23"/>
        <v>282</v>
      </c>
      <c r="J295">
        <f>+H295+CF*F295*(1+($I295-1850)*slope/1000)+F295*hQc*COS(2*PI()*$I295/qbo+$L295)+F295*hQs*SIN(2*PI()*$I295/qbo+$L295)+F295*hCs*SIN(2*PI()*$I295/cw)+F295*hCc*COS(2*PI()*$I295/cw) +mix*F295*(hQc*COS(2*PI()*$I295/qbo+$L295)+hQs*SIN(2*PI()*$I295/qbo+$L295))*(hCs*SIN(2*PI()*$I295/cw)+hCc*COS(2*PI()*$I295/cw))</f>
        <v>-22.801550675720215</v>
      </c>
      <c r="K295">
        <f>fQc*COS(2*PI()*$I295/qbo+$L295)+fQs*SIN(2*PI()*$I295/qbo+$L295)+fCs*SIN(2*PI()*$I295/cw)+fCc*COS(2*PI()*$I295/cw)</f>
        <v>-0.70603653956281787</v>
      </c>
      <c r="L295">
        <f>+QMA*COS(2*PI()*$I295/QM+QMP)</f>
        <v>1.1465553046077204</v>
      </c>
      <c r="P295">
        <f t="shared" si="24"/>
        <v>1</v>
      </c>
    </row>
    <row r="296" spans="1:16" x14ac:dyDescent="0.25">
      <c r="A296" s="1"/>
      <c r="B296" s="4">
        <v>12785</v>
      </c>
      <c r="C296" t="s">
        <v>24</v>
      </c>
      <c r="D296" s="3">
        <v>11.916666666666666</v>
      </c>
      <c r="E296" s="5">
        <f t="shared" si="20"/>
        <v>1935</v>
      </c>
      <c r="F296">
        <v>-0.30126999999999998</v>
      </c>
      <c r="G296">
        <f t="shared" si="21"/>
        <v>-1.0414099999999999</v>
      </c>
      <c r="H296">
        <f t="shared" si="22"/>
        <v>-1.0414099999999999</v>
      </c>
      <c r="I296" s="5">
        <f t="shared" si="23"/>
        <v>283</v>
      </c>
      <c r="J296">
        <f>+H296+CF*F296*(1+($I296-1850)*slope/1000)+F296*hQc*COS(2*PI()*$I296/qbo+$L296)+F296*hQs*SIN(2*PI()*$I296/qbo+$L296)+F296*hCs*SIN(2*PI()*$I296/cw)+F296*hCc*COS(2*PI()*$I296/cw) +mix*F296*(hQc*COS(2*PI()*$I296/qbo+$L296)+hQs*SIN(2*PI()*$I296/qbo+$L296))*(hCs*SIN(2*PI()*$I296/cw)+hCc*COS(2*PI()*$I296/cw))</f>
        <v>-8.2913651891018958E-3</v>
      </c>
      <c r="K296">
        <f>fQc*COS(2*PI()*$I296/qbo+$L296)+fQs*SIN(2*PI()*$I296/qbo+$L296)+fCs*SIN(2*PI()*$I296/cw)+fCc*COS(2*PI()*$I296/cw)</f>
        <v>0.363537001968604</v>
      </c>
      <c r="L296">
        <f>+QMA*COS(2*PI()*$I296/QM+QMP)</f>
        <v>1.2102252494558692</v>
      </c>
      <c r="P296">
        <f t="shared" si="24"/>
        <v>0</v>
      </c>
    </row>
    <row r="297" spans="1:16" x14ac:dyDescent="0.25">
      <c r="A297" s="1"/>
      <c r="B297" s="4">
        <v>13150</v>
      </c>
      <c r="C297" t="s">
        <v>24</v>
      </c>
      <c r="D297" s="3">
        <v>11.958333333333334</v>
      </c>
      <c r="E297" s="5">
        <f t="shared" si="20"/>
        <v>1936</v>
      </c>
      <c r="F297">
        <v>4.521E-2</v>
      </c>
      <c r="G297">
        <f t="shared" si="21"/>
        <v>4.8209999999999975E-2</v>
      </c>
      <c r="H297">
        <f t="shared" si="22"/>
        <v>4.8209999999999975E-2</v>
      </c>
      <c r="I297" s="5">
        <f t="shared" si="23"/>
        <v>284</v>
      </c>
      <c r="J297">
        <f>+H297+CF*F297*(1+($I297-1850)*slope/1000)+F297*hQc*COS(2*PI()*$I297/qbo+$L297)+F297*hQs*SIN(2*PI()*$I297/qbo+$L297)+F297*hCs*SIN(2*PI()*$I297/cw)+F297*hCc*COS(2*PI()*$I297/cw) +mix*F297*(hQc*COS(2*PI()*$I297/qbo+$L297)+hQs*SIN(2*PI()*$I297/qbo+$L297))*(hCs*SIN(2*PI()*$I297/cw)+hCc*COS(2*PI()*$I297/cw))</f>
        <v>1.228885530920844</v>
      </c>
      <c r="K297">
        <f>fQc*COS(2*PI()*$I297/qbo+$L297)+fQs*SIN(2*PI()*$I297/qbo+$L297)+fCs*SIN(2*PI()*$I297/cw)+fCc*COS(2*PI()*$I297/cw)</f>
        <v>-1.3174685922323466</v>
      </c>
      <c r="L297">
        <f>+QMA*COS(2*PI()*$I297/QM+QMP)</f>
        <v>1.2532341024357141</v>
      </c>
      <c r="P297">
        <f t="shared" si="24"/>
        <v>0</v>
      </c>
    </row>
    <row r="298" spans="1:16" x14ac:dyDescent="0.25">
      <c r="A298" s="1"/>
      <c r="B298" s="4">
        <v>13516</v>
      </c>
      <c r="C298" t="s">
        <v>24</v>
      </c>
      <c r="D298" s="3">
        <v>12</v>
      </c>
      <c r="E298" s="5">
        <f t="shared" si="20"/>
        <v>1937</v>
      </c>
      <c r="F298">
        <v>0.43990000000000001</v>
      </c>
      <c r="G298">
        <f t="shared" si="21"/>
        <v>-0.63463999999999998</v>
      </c>
      <c r="H298">
        <f t="shared" si="22"/>
        <v>-0.63463999999999998</v>
      </c>
      <c r="I298" s="5">
        <f t="shared" si="23"/>
        <v>285</v>
      </c>
      <c r="J298">
        <f>+H298+CF*F298*(1+($I298-1850)*slope/1000)+F298*hQc*COS(2*PI()*$I298/qbo+$L298)+F298*hQs*SIN(2*PI()*$I298/qbo+$L298)+F298*hCs*SIN(2*PI()*$I298/cw)+F298*hCc*COS(2*PI()*$I298/cw) +mix*F298*(hQc*COS(2*PI()*$I298/qbo+$L298)+hQs*SIN(2*PI()*$I298/qbo+$L298))*(hCs*SIN(2*PI()*$I298/cw)+hCc*COS(2*PI()*$I298/cw))</f>
        <v>-0.57640119160498315</v>
      </c>
      <c r="K298">
        <f>fQc*COS(2*PI()*$I298/qbo+$L298)+fQs*SIN(2*PI()*$I298/qbo+$L298)+fCs*SIN(2*PI()*$I298/cw)+fCc*COS(2*PI()*$I298/cw)</f>
        <v>1.792113897950429E-2</v>
      </c>
      <c r="L298">
        <f>+QMA*COS(2*PI()*$I298/QM+QMP)</f>
        <v>1.2748476119168568</v>
      </c>
      <c r="P298">
        <f t="shared" si="24"/>
        <v>0</v>
      </c>
    </row>
    <row r="299" spans="1:16" x14ac:dyDescent="0.25">
      <c r="A299" s="1"/>
      <c r="B299" s="4">
        <v>13881</v>
      </c>
      <c r="C299" t="s">
        <v>24</v>
      </c>
      <c r="D299" s="3">
        <v>12.041666666666666</v>
      </c>
      <c r="E299" s="5">
        <f t="shared" si="20"/>
        <v>1938</v>
      </c>
      <c r="F299">
        <v>0.19994999999999999</v>
      </c>
      <c r="G299">
        <f t="shared" si="21"/>
        <v>-0.62230999999999992</v>
      </c>
      <c r="H299">
        <f t="shared" si="22"/>
        <v>-0.62230999999999992</v>
      </c>
      <c r="I299" s="5">
        <f t="shared" si="23"/>
        <v>286</v>
      </c>
      <c r="J299">
        <f>+H299+CF*F299*(1+($I299-1850)*slope/1000)+F299*hQc*COS(2*PI()*$I299/qbo+$L299)+F299*hQs*SIN(2*PI()*$I299/qbo+$L299)+F299*hCs*SIN(2*PI()*$I299/cw)+F299*hCc*COS(2*PI()*$I299/cw) +mix*F299*(hQc*COS(2*PI()*$I299/qbo+$L299)+hQs*SIN(2*PI()*$I299/qbo+$L299))*(hCs*SIN(2*PI()*$I299/cw)+hCc*COS(2*PI()*$I299/cw))</f>
        <v>2.0074899579248968</v>
      </c>
      <c r="K299">
        <f>fQc*COS(2*PI()*$I299/qbo+$L299)+fQs*SIN(2*PI()*$I299/qbo+$L299)+fCs*SIN(2*PI()*$I299/cw)+fCc*COS(2*PI()*$I299/cw)</f>
        <v>-0.37937486159692135</v>
      </c>
      <c r="L299">
        <f>+QMA*COS(2*PI()*$I299/QM+QMP)</f>
        <v>1.2746967898078765</v>
      </c>
      <c r="P299">
        <f t="shared" si="24"/>
        <v>0</v>
      </c>
    </row>
    <row r="300" spans="1:16" x14ac:dyDescent="0.25">
      <c r="A300" s="1"/>
      <c r="B300" s="4">
        <v>14246</v>
      </c>
      <c r="C300" t="s">
        <v>24</v>
      </c>
      <c r="D300" s="3">
        <v>12.083333333333334</v>
      </c>
      <c r="E300" s="5">
        <f t="shared" si="20"/>
        <v>1939</v>
      </c>
      <c r="F300">
        <v>-0.66230999999999995</v>
      </c>
      <c r="G300">
        <f t="shared" si="21"/>
        <v>2.4085000000000001</v>
      </c>
      <c r="H300">
        <f t="shared" si="22"/>
        <v>2.4085000000000001</v>
      </c>
      <c r="I300" s="5">
        <f t="shared" si="23"/>
        <v>287</v>
      </c>
      <c r="J300">
        <f>+H300+CF*F300*(1+($I300-1850)*slope/1000)+F300*hQc*COS(2*PI()*$I300/qbo+$L300)+F300*hQs*SIN(2*PI()*$I300/qbo+$L300)+F300*hCs*SIN(2*PI()*$I300/cw)+F300*hCc*COS(2*PI()*$I300/cw) +mix*F300*(hQc*COS(2*PI()*$I300/qbo+$L300)+hQs*SIN(2*PI()*$I300/qbo+$L300))*(hCs*SIN(2*PI()*$I300/cw)+hCc*COS(2*PI()*$I300/cw))</f>
        <v>-6.1321720694634632</v>
      </c>
      <c r="K300">
        <f>fQc*COS(2*PI()*$I300/qbo+$L300)+fQs*SIN(2*PI()*$I300/qbo+$L300)+fCs*SIN(2*PI()*$I300/cw)+fCc*COS(2*PI()*$I300/cw)</f>
        <v>9.6035916448555136E-2</v>
      </c>
      <c r="L300">
        <f>+QMA*COS(2*PI()*$I300/QM+QMP)</f>
        <v>1.252784210959571</v>
      </c>
      <c r="P300">
        <f t="shared" si="24"/>
        <v>0</v>
      </c>
    </row>
    <row r="301" spans="1:16" x14ac:dyDescent="0.25">
      <c r="A301" s="1"/>
      <c r="B301" s="4">
        <v>14611</v>
      </c>
      <c r="C301" t="s">
        <v>24</v>
      </c>
      <c r="D301" s="3">
        <v>12.125</v>
      </c>
      <c r="E301" s="5">
        <f t="shared" si="20"/>
        <v>1940</v>
      </c>
      <c r="F301">
        <v>0.88392999999999999</v>
      </c>
      <c r="G301">
        <f t="shared" si="21"/>
        <v>0.60088000000000008</v>
      </c>
      <c r="H301">
        <f t="shared" si="22"/>
        <v>0.60088000000000008</v>
      </c>
      <c r="I301" s="5">
        <f t="shared" si="23"/>
        <v>288</v>
      </c>
      <c r="J301">
        <f>+H301+CF*F301*(1+($I301-1850)*slope/1000)+F301*hQc*COS(2*PI()*$I301/qbo+$L301)+F301*hQs*SIN(2*PI()*$I301/qbo+$L301)+F301*hCs*SIN(2*PI()*$I301/cw)+F301*hCc*COS(2*PI()*$I301/cw) +mix*F301*(hQc*COS(2*PI()*$I301/qbo+$L301)+hQs*SIN(2*PI()*$I301/qbo+$L301))*(hCs*SIN(2*PI()*$I301/cw)+hCc*COS(2*PI()*$I301/cw))</f>
        <v>21.039845712254085</v>
      </c>
      <c r="K301">
        <f>fQc*COS(2*PI()*$I301/qbo+$L301)+fQs*SIN(2*PI()*$I301/qbo+$L301)+fCs*SIN(2*PI()*$I301/cw)+fCc*COS(2*PI()*$I301/cw)</f>
        <v>1.059003305854701</v>
      </c>
      <c r="L301">
        <f>+QMA*COS(2*PI()*$I301/QM+QMP)</f>
        <v>1.209483969206836</v>
      </c>
      <c r="P301">
        <f t="shared" si="24"/>
        <v>1</v>
      </c>
    </row>
    <row r="302" spans="1:16" x14ac:dyDescent="0.25">
      <c r="A302" s="1"/>
      <c r="B302" s="4">
        <v>14977</v>
      </c>
      <c r="C302" t="s">
        <v>24</v>
      </c>
      <c r="D302" s="3">
        <v>12.166666666666666</v>
      </c>
      <c r="E302" s="5">
        <f t="shared" si="20"/>
        <v>1941</v>
      </c>
      <c r="F302">
        <v>3.03105</v>
      </c>
      <c r="G302">
        <f t="shared" si="21"/>
        <v>-2.4285700000000001</v>
      </c>
      <c r="H302">
        <f t="shared" si="22"/>
        <v>-2.4285700000000001</v>
      </c>
      <c r="I302" s="5">
        <f t="shared" si="23"/>
        <v>289</v>
      </c>
      <c r="J302">
        <f>+H302+CF*F302*(1+($I302-1850)*slope/1000)+F302*hQc*COS(2*PI()*$I302/qbo+$L302)+F302*hQs*SIN(2*PI()*$I302/qbo+$L302)+F302*hCs*SIN(2*PI()*$I302/cw)+F302*hCc*COS(2*PI()*$I302/cw) +mix*F302*(hQc*COS(2*PI()*$I302/qbo+$L302)+hQs*SIN(2*PI()*$I302/qbo+$L302))*(hCs*SIN(2*PI()*$I302/cw)+hCc*COS(2*PI()*$I302/cw))</f>
        <v>5.7672473733160174</v>
      </c>
      <c r="K302">
        <f>fQc*COS(2*PI()*$I302/qbo+$L302)+fQs*SIN(2*PI()*$I302/qbo+$L302)+fCs*SIN(2*PI()*$I302/cw)+fCc*COS(2*PI()*$I302/cw)</f>
        <v>-0.14861991382787143</v>
      </c>
      <c r="L302">
        <f>+QMA*COS(2*PI()*$I302/QM+QMP)</f>
        <v>1.1455352907996401</v>
      </c>
      <c r="P302">
        <f t="shared" si="24"/>
        <v>0</v>
      </c>
    </row>
    <row r="303" spans="1:16" x14ac:dyDescent="0.25">
      <c r="A303" s="1"/>
      <c r="B303" s="4">
        <v>15342</v>
      </c>
      <c r="C303" t="s">
        <v>24</v>
      </c>
      <c r="D303" s="3">
        <v>12.208333333333334</v>
      </c>
      <c r="E303" s="5">
        <f t="shared" si="20"/>
        <v>1942</v>
      </c>
      <c r="F303">
        <v>2.7496</v>
      </c>
      <c r="G303">
        <f t="shared" si="21"/>
        <v>-2.8032699999999999</v>
      </c>
      <c r="H303">
        <f t="shared" si="22"/>
        <v>-2.8032699999999999</v>
      </c>
      <c r="I303" s="5">
        <f t="shared" si="23"/>
        <v>290</v>
      </c>
      <c r="J303">
        <f>+H303+CF*F303*(1+($I303-1850)*slope/1000)+F303*hQc*COS(2*PI()*$I303/qbo+$L303)+F303*hQs*SIN(2*PI()*$I303/qbo+$L303)+F303*hCs*SIN(2*PI()*$I303/cw)+F303*hCc*COS(2*PI()*$I303/cw) +mix*F303*(hQc*COS(2*PI()*$I303/qbo+$L303)+hQs*SIN(2*PI()*$I303/qbo+$L303))*(hCs*SIN(2*PI()*$I303/cw)+hCc*COS(2*PI()*$I303/cw))</f>
        <v>48.635281592295968</v>
      </c>
      <c r="K303">
        <f>fQc*COS(2*PI()*$I303/qbo+$L303)+fQs*SIN(2*PI()*$I303/qbo+$L303)+fCs*SIN(2*PI()*$I303/cw)+fCc*COS(2*PI()*$I303/cw)</f>
        <v>1.079636789318879</v>
      </c>
      <c r="L303">
        <f>+QMA*COS(2*PI()*$I303/QM+QMP)</f>
        <v>1.0620299142552732</v>
      </c>
      <c r="P303">
        <f t="shared" si="24"/>
        <v>1</v>
      </c>
    </row>
    <row r="304" spans="1:16" x14ac:dyDescent="0.25">
      <c r="A304" s="1"/>
      <c r="B304" s="4">
        <v>15707</v>
      </c>
      <c r="C304" t="s">
        <v>24</v>
      </c>
      <c r="D304" s="3">
        <v>12.25</v>
      </c>
      <c r="E304" s="5">
        <f t="shared" si="20"/>
        <v>1943</v>
      </c>
      <c r="F304">
        <v>-0.33511999999999997</v>
      </c>
      <c r="G304">
        <f t="shared" si="21"/>
        <v>4.7054</v>
      </c>
      <c r="H304">
        <f t="shared" si="22"/>
        <v>4.7054</v>
      </c>
      <c r="I304" s="5">
        <f t="shared" si="23"/>
        <v>291</v>
      </c>
      <c r="J304">
        <f>+H304+CF*F304*(1+($I304-1850)*slope/1000)+F304*hQc*COS(2*PI()*$I304/qbo+$L304)+F304*hQs*SIN(2*PI()*$I304/qbo+$L304)+F304*hCs*SIN(2*PI()*$I304/cw)+F304*hCc*COS(2*PI()*$I304/cw) +mix*F304*(hQc*COS(2*PI()*$I304/qbo+$L304)+hQs*SIN(2*PI()*$I304/qbo+$L304))*(hCs*SIN(2*PI()*$I304/cw)+hCc*COS(2*PI()*$I304/cw))</f>
        <v>-0.58267265561405113</v>
      </c>
      <c r="K304">
        <f>fQc*COS(2*PI()*$I304/qbo+$L304)+fQs*SIN(2*PI()*$I304/qbo+$L304)+fCs*SIN(2*PI()*$I304/cw)+fCc*COS(2*PI()*$I304/cw)</f>
        <v>-0.61910303032861147</v>
      </c>
      <c r="L304">
        <f>+QMA*COS(2*PI()*$I304/QM+QMP)</f>
        <v>0.96039345208434468</v>
      </c>
      <c r="P304">
        <f t="shared" si="24"/>
        <v>1</v>
      </c>
    </row>
    <row r="305" spans="1:16" x14ac:dyDescent="0.25">
      <c r="A305" s="1"/>
      <c r="B305" s="4">
        <v>16072</v>
      </c>
      <c r="C305" t="s">
        <v>24</v>
      </c>
      <c r="D305" s="3">
        <v>12.291666666666666</v>
      </c>
      <c r="E305" s="5">
        <f t="shared" si="20"/>
        <v>1944</v>
      </c>
      <c r="F305">
        <v>1.28556</v>
      </c>
      <c r="G305">
        <f t="shared" si="21"/>
        <v>-2.65632</v>
      </c>
      <c r="H305">
        <f t="shared" si="22"/>
        <v>-2.65632</v>
      </c>
      <c r="I305" s="5">
        <f t="shared" si="23"/>
        <v>292</v>
      </c>
      <c r="J305">
        <f>+H305+CF*F305*(1+($I305-1850)*slope/1000)+F305*hQc*COS(2*PI()*$I305/qbo+$L305)+F305*hQs*SIN(2*PI()*$I305/qbo+$L305)+F305*hCs*SIN(2*PI()*$I305/cw)+F305*hCc*COS(2*PI()*$I305/cw) +mix*F305*(hQc*COS(2*PI()*$I305/qbo+$L305)+hQs*SIN(2*PI()*$I305/qbo+$L305))*(hCs*SIN(2*PI()*$I305/cw)+hCc*COS(2*PI()*$I305/cw))</f>
        <v>4.8146700644820966</v>
      </c>
      <c r="K305">
        <f>fQc*COS(2*PI()*$I305/qbo+$L305)+fQs*SIN(2*PI()*$I305/qbo+$L305)+fCs*SIN(2*PI()*$I305/cw)+fCc*COS(2*PI()*$I305/cw)</f>
        <v>-0.31097913482211997</v>
      </c>
      <c r="L305">
        <f>+QMA*COS(2*PI()*$I305/QM+QMP)</f>
        <v>0.84236105258508986</v>
      </c>
      <c r="P305">
        <f t="shared" si="24"/>
        <v>0</v>
      </c>
    </row>
    <row r="306" spans="1:16" x14ac:dyDescent="0.25">
      <c r="A306" s="1"/>
      <c r="B306" s="4">
        <v>16438</v>
      </c>
      <c r="C306" t="s">
        <v>24</v>
      </c>
      <c r="D306" s="3">
        <v>12.333333333333334</v>
      </c>
      <c r="E306" s="5">
        <f t="shared" si="20"/>
        <v>1945</v>
      </c>
      <c r="F306">
        <v>0.24992</v>
      </c>
      <c r="G306">
        <f t="shared" si="21"/>
        <v>-0.86904999999999988</v>
      </c>
      <c r="H306">
        <f t="shared" si="22"/>
        <v>-0.86904999999999988</v>
      </c>
      <c r="I306" s="5">
        <f t="shared" si="23"/>
        <v>293</v>
      </c>
      <c r="J306">
        <f>+H306+CF*F306*(1+($I306-1850)*slope/1000)+F306*hQc*COS(2*PI()*$I306/qbo+$L306)+F306*hQs*SIN(2*PI()*$I306/qbo+$L306)+F306*hCs*SIN(2*PI()*$I306/cw)+F306*hCc*COS(2*PI()*$I306/cw) +mix*F306*(hQc*COS(2*PI()*$I306/qbo+$L306)+hQs*SIN(2*PI()*$I306/qbo+$L306))*(hCs*SIN(2*PI()*$I306/cw)+hCc*COS(2*PI()*$I306/cw))</f>
        <v>9.9201605584074537E-2</v>
      </c>
      <c r="K306">
        <f>fQc*COS(2*PI()*$I306/qbo+$L306)+fQs*SIN(2*PI()*$I306/qbo+$L306)+fCs*SIN(2*PI()*$I306/cw)+fCc*COS(2*PI()*$I306/cw)</f>
        <v>-0.29748086091197085</v>
      </c>
      <c r="L306">
        <f>+QMA*COS(2*PI()*$I306/QM+QMP)</f>
        <v>0.70994777721040903</v>
      </c>
      <c r="P306">
        <f t="shared" si="24"/>
        <v>0</v>
      </c>
    </row>
    <row r="307" spans="1:16" x14ac:dyDescent="0.25">
      <c r="A307" s="1"/>
      <c r="B307" s="4">
        <v>16803</v>
      </c>
      <c r="C307" t="s">
        <v>24</v>
      </c>
      <c r="D307" s="3">
        <v>12.375</v>
      </c>
      <c r="E307" s="5">
        <f t="shared" si="20"/>
        <v>1946</v>
      </c>
      <c r="F307">
        <v>-1.6547700000000001</v>
      </c>
      <c r="G307">
        <f t="shared" si="21"/>
        <v>4.01302</v>
      </c>
      <c r="H307">
        <f t="shared" si="22"/>
        <v>4.01302</v>
      </c>
      <c r="I307" s="5">
        <f t="shared" si="23"/>
        <v>294</v>
      </c>
      <c r="J307">
        <f>+H307+CF*F307*(1+($I307-1850)*slope/1000)+F307*hQc*COS(2*PI()*$I307/qbo+$L307)+F307*hQs*SIN(2*PI()*$I307/qbo+$L307)+F307*hCs*SIN(2*PI()*$I307/cw)+F307*hCc*COS(2*PI()*$I307/cw) +mix*F307*(hQc*COS(2*PI()*$I307/qbo+$L307)+hQs*SIN(2*PI()*$I307/qbo+$L307))*(hCs*SIN(2*PI()*$I307/cw)+hCc*COS(2*PI()*$I307/cw))</f>
        <v>-29.169443096179041</v>
      </c>
      <c r="K307">
        <f>fQc*COS(2*PI()*$I307/qbo+$L307)+fQs*SIN(2*PI()*$I307/qbo+$L307)+fCs*SIN(2*PI()*$I307/cw)+fCc*COS(2*PI()*$I307/cw)</f>
        <v>-1.1228610618127721</v>
      </c>
      <c r="L307">
        <f>+QMA*COS(2*PI()*$I307/QM+QMP)</f>
        <v>0.56541419922823055</v>
      </c>
      <c r="P307">
        <f t="shared" si="24"/>
        <v>1</v>
      </c>
    </row>
    <row r="308" spans="1:16" x14ac:dyDescent="0.25">
      <c r="A308" s="1"/>
      <c r="B308" s="4">
        <v>17168</v>
      </c>
      <c r="C308" t="s">
        <v>24</v>
      </c>
      <c r="D308" s="3">
        <v>12.416666666666666</v>
      </c>
      <c r="E308" s="5">
        <f t="shared" si="20"/>
        <v>1947</v>
      </c>
      <c r="F308">
        <v>0.45356000000000002</v>
      </c>
      <c r="G308">
        <f t="shared" si="21"/>
        <v>-2.3007200000000001</v>
      </c>
      <c r="H308">
        <f t="shared" si="22"/>
        <v>-2.3007200000000001</v>
      </c>
      <c r="I308" s="5">
        <f t="shared" si="23"/>
        <v>295</v>
      </c>
      <c r="J308">
        <f>+H308+CF*F308*(1+($I308-1850)*slope/1000)+F308*hQc*COS(2*PI()*$I308/qbo+$L308)+F308*hQs*SIN(2*PI()*$I308/qbo+$L308)+F308*hCs*SIN(2*PI()*$I308/cw)+F308*hCc*COS(2*PI()*$I308/cw) +mix*F308*(hQc*COS(2*PI()*$I308/qbo+$L308)+hQs*SIN(2*PI()*$I308/qbo+$L308))*(hCs*SIN(2*PI()*$I308/cw)+hCc*COS(2*PI()*$I308/cw))</f>
        <v>2.3598187576686875</v>
      </c>
      <c r="K308">
        <f>fQc*COS(2*PI()*$I308/qbo+$L308)+fQs*SIN(2*PI()*$I308/qbo+$L308)+fCs*SIN(2*PI()*$I308/cw)+fCc*COS(2*PI()*$I308/cw)</f>
        <v>0.66932808650591546</v>
      </c>
      <c r="L308">
        <f>+QMA*COS(2*PI()*$I308/QM+QMP)</f>
        <v>0.4112278109785848</v>
      </c>
      <c r="P308">
        <f t="shared" si="24"/>
        <v>1</v>
      </c>
    </row>
    <row r="309" spans="1:16" x14ac:dyDescent="0.25">
      <c r="A309" s="1"/>
      <c r="B309" s="4">
        <v>17533</v>
      </c>
      <c r="C309" t="s">
        <v>24</v>
      </c>
      <c r="D309" s="3">
        <v>12.458333333333334</v>
      </c>
      <c r="E309" s="5">
        <f t="shared" si="20"/>
        <v>1948</v>
      </c>
      <c r="F309">
        <v>0.26117000000000001</v>
      </c>
      <c r="G309">
        <f t="shared" si="21"/>
        <v>0.22387999999999997</v>
      </c>
      <c r="H309">
        <f t="shared" si="22"/>
        <v>0.22387999999999997</v>
      </c>
      <c r="I309" s="5">
        <f t="shared" si="23"/>
        <v>296</v>
      </c>
      <c r="J309">
        <f>+H309+CF*F309*(1+($I309-1850)*slope/1000)+F309*hQc*COS(2*PI()*$I309/qbo+$L309)+F309*hQs*SIN(2*PI()*$I309/qbo+$L309)+F309*hCs*SIN(2*PI()*$I309/cw)+F309*hCc*COS(2*PI()*$I309/cw) +mix*F309*(hQc*COS(2*PI()*$I309/qbo+$L309)+hQs*SIN(2*PI()*$I309/qbo+$L309))*(hCs*SIN(2*PI()*$I309/cw)+hCc*COS(2*PI()*$I309/cw))</f>
        <v>2.0062211304088144</v>
      </c>
      <c r="K309">
        <f>fQc*COS(2*PI()*$I309/qbo+$L309)+fQs*SIN(2*PI()*$I309/qbo+$L309)+fCs*SIN(2*PI()*$I309/cw)+fCc*COS(2*PI()*$I309/cw)</f>
        <v>-0.2712879208526372</v>
      </c>
      <c r="L309">
        <f>+QMA*COS(2*PI()*$I309/QM+QMP)</f>
        <v>0.25002089858662807</v>
      </c>
      <c r="P309">
        <f t="shared" si="24"/>
        <v>0</v>
      </c>
    </row>
    <row r="310" spans="1:16" x14ac:dyDescent="0.25">
      <c r="A310" s="1"/>
      <c r="B310" s="4">
        <v>17899</v>
      </c>
      <c r="C310" t="s">
        <v>24</v>
      </c>
      <c r="D310" s="3">
        <v>12.5</v>
      </c>
      <c r="E310" s="5">
        <f t="shared" si="20"/>
        <v>1949</v>
      </c>
      <c r="F310">
        <v>0.29265999999999998</v>
      </c>
      <c r="G310">
        <f t="shared" si="21"/>
        <v>-1.9669099999999999</v>
      </c>
      <c r="H310">
        <f t="shared" si="22"/>
        <v>-1.9669099999999999</v>
      </c>
      <c r="I310" s="5">
        <f t="shared" si="23"/>
        <v>297</v>
      </c>
      <c r="J310">
        <f>+H310+CF*F310*(1+($I310-1850)*slope/1000)+F310*hQc*COS(2*PI()*$I310/qbo+$L310)+F310*hQs*SIN(2*PI()*$I310/qbo+$L310)+F310*hCs*SIN(2*PI()*$I310/cw)+F310*hCc*COS(2*PI()*$I310/cw) +mix*F310*(hQc*COS(2*PI()*$I310/qbo+$L310)+hQs*SIN(2*PI()*$I310/qbo+$L310))*(hCs*SIN(2*PI()*$I310/cw)+hCc*COS(2*PI()*$I310/cw))</f>
        <v>3.7381162794800691</v>
      </c>
      <c r="K310">
        <f>fQc*COS(2*PI()*$I310/qbo+$L310)+fQs*SIN(2*PI()*$I310/qbo+$L310)+fCs*SIN(2*PI()*$I310/cw)+fCc*COS(2*PI()*$I310/cw)</f>
        <v>0.75587291753855257</v>
      </c>
      <c r="L310">
        <f>+QMA*COS(2*PI()*$I310/QM+QMP)</f>
        <v>8.454560329900343E-2</v>
      </c>
      <c r="P310">
        <f t="shared" si="24"/>
        <v>1</v>
      </c>
    </row>
    <row r="311" spans="1:16" x14ac:dyDescent="0.25">
      <c r="A311" s="1"/>
      <c r="B311" s="4">
        <v>18264</v>
      </c>
      <c r="C311" t="s">
        <v>24</v>
      </c>
      <c r="D311" s="3">
        <v>12.541666666666666</v>
      </c>
      <c r="E311" s="5">
        <f t="shared" si="20"/>
        <v>1950</v>
      </c>
      <c r="F311">
        <v>-1.64276</v>
      </c>
      <c r="G311">
        <f t="shared" si="21"/>
        <v>1.5607</v>
      </c>
      <c r="H311">
        <f t="shared" si="22"/>
        <v>1.5607</v>
      </c>
      <c r="I311" s="5">
        <f t="shared" si="23"/>
        <v>298</v>
      </c>
      <c r="J311">
        <f>+H311+CF*F311*(1+($I311-1850)*slope/1000)+F311*hQc*COS(2*PI()*$I311/qbo+$L311)+F311*hQs*SIN(2*PI()*$I311/qbo+$L311)+F311*hCs*SIN(2*PI()*$I311/cw)+F311*hCc*COS(2*PI()*$I311/cw) +mix*F311*(hQc*COS(2*PI()*$I311/qbo+$L311)+hQs*SIN(2*PI()*$I311/qbo+$L311))*(hCs*SIN(2*PI()*$I311/cw)+hCc*COS(2*PI()*$I311/cw))</f>
        <v>-28.570385502280242</v>
      </c>
      <c r="K311">
        <f>fQc*COS(2*PI()*$I311/qbo+$L311)+fQs*SIN(2*PI()*$I311/qbo+$L311)+fCs*SIN(2*PI()*$I311/cw)+fCc*COS(2*PI()*$I311/cw)</f>
        <v>0.85855706999760995</v>
      </c>
      <c r="L311">
        <f>+QMA*COS(2*PI()*$I311/QM+QMP)</f>
        <v>-8.237306335903917E-2</v>
      </c>
      <c r="P311">
        <f t="shared" si="24"/>
        <v>0</v>
      </c>
    </row>
    <row r="312" spans="1:16" x14ac:dyDescent="0.25">
      <c r="A312" s="1"/>
      <c r="B312" s="4">
        <v>18629</v>
      </c>
      <c r="C312" t="s">
        <v>24</v>
      </c>
      <c r="D312" s="3">
        <v>12.583333333333334</v>
      </c>
      <c r="E312" s="5">
        <f t="shared" si="20"/>
        <v>1951</v>
      </c>
      <c r="F312">
        <v>-2.0174799999999999</v>
      </c>
      <c r="G312">
        <f t="shared" si="21"/>
        <v>3.1111800000000001</v>
      </c>
      <c r="H312">
        <f t="shared" si="22"/>
        <v>3.1111800000000001</v>
      </c>
      <c r="I312" s="5">
        <f t="shared" si="23"/>
        <v>299</v>
      </c>
      <c r="J312">
        <f>+H312+CF*F312*(1+($I312-1850)*slope/1000)+F312*hQc*COS(2*PI()*$I312/qbo+$L312)+F312*hQs*SIN(2*PI()*$I312/qbo+$L312)+F312*hCs*SIN(2*PI()*$I312/cw)+F312*hCc*COS(2*PI()*$I312/cw) +mix*F312*(hQc*COS(2*PI()*$I312/qbo+$L312)+hQs*SIN(2*PI()*$I312/qbo+$L312))*(hCs*SIN(2*PI()*$I312/cw)+hCc*COS(2*PI()*$I312/cw))</f>
        <v>-17.180398211209386</v>
      </c>
      <c r="K312">
        <f>fQc*COS(2*PI()*$I312/qbo+$L312)+fQs*SIN(2*PI()*$I312/qbo+$L312)+fCs*SIN(2*PI()*$I312/cw)+fCc*COS(2*PI()*$I312/cw)</f>
        <v>-0.39101882362674961</v>
      </c>
      <c r="L312">
        <f>+QMA*COS(2*PI()*$I312/QM+QMP)</f>
        <v>-0.24788544847544347</v>
      </c>
      <c r="P312">
        <f t="shared" si="24"/>
        <v>1</v>
      </c>
    </row>
    <row r="313" spans="1:16" x14ac:dyDescent="0.25">
      <c r="A313" s="1"/>
      <c r="B313" s="4">
        <v>18994</v>
      </c>
      <c r="C313" t="s">
        <v>24</v>
      </c>
      <c r="D313" s="3">
        <v>12.625</v>
      </c>
      <c r="E313" s="5">
        <f t="shared" si="20"/>
        <v>1952</v>
      </c>
      <c r="F313">
        <v>0.71897999999999995</v>
      </c>
      <c r="G313">
        <f t="shared" si="21"/>
        <v>-4.4628800000000002</v>
      </c>
      <c r="H313">
        <f t="shared" si="22"/>
        <v>-4.4628800000000002</v>
      </c>
      <c r="I313" s="5">
        <f t="shared" si="23"/>
        <v>300</v>
      </c>
      <c r="J313">
        <f>+H313+CF*F313*(1+($I313-1850)*slope/1000)+F313*hQc*COS(2*PI()*$I313/qbo+$L313)+F313*hQs*SIN(2*PI()*$I313/qbo+$L313)+F313*hCs*SIN(2*PI()*$I313/cw)+F313*hCc*COS(2*PI()*$I313/cw) +mix*F313*(hQc*COS(2*PI()*$I313/qbo+$L313)+hQs*SIN(2*PI()*$I313/qbo+$L313))*(hCs*SIN(2*PI()*$I313/cw)+hCc*COS(2*PI()*$I313/cw))</f>
        <v>-1.8719788102381281</v>
      </c>
      <c r="K313">
        <f>fQc*COS(2*PI()*$I313/qbo+$L313)+fQs*SIN(2*PI()*$I313/qbo+$L313)+fCs*SIN(2*PI()*$I313/cw)+fCc*COS(2*PI()*$I313/cw)</f>
        <v>0.61725185460778675</v>
      </c>
      <c r="L313">
        <f>+QMA*COS(2*PI()*$I313/QM+QMP)</f>
        <v>-0.40916590732351993</v>
      </c>
      <c r="P313">
        <f t="shared" si="24"/>
        <v>0</v>
      </c>
    </row>
    <row r="314" spans="1:16" x14ac:dyDescent="0.25">
      <c r="A314" s="1"/>
      <c r="B314" s="4">
        <v>19360</v>
      </c>
      <c r="C314" t="s">
        <v>24</v>
      </c>
      <c r="D314" s="3">
        <v>12.666666666666666</v>
      </c>
      <c r="E314" s="5">
        <f t="shared" si="20"/>
        <v>1953</v>
      </c>
      <c r="F314">
        <v>-1.0074399999999999</v>
      </c>
      <c r="G314">
        <f t="shared" si="21"/>
        <v>1.6179499999999998</v>
      </c>
      <c r="H314">
        <f t="shared" si="22"/>
        <v>1.6179499999999998</v>
      </c>
      <c r="I314" s="5">
        <f t="shared" si="23"/>
        <v>301</v>
      </c>
      <c r="J314">
        <f>+H314+CF*F314*(1+($I314-1850)*slope/1000)+F314*hQc*COS(2*PI()*$I314/qbo+$L314)+F314*hQs*SIN(2*PI()*$I314/qbo+$L314)+F314*hCs*SIN(2*PI()*$I314/cw)+F314*hCc*COS(2*PI()*$I314/cw) +mix*F314*(hQc*COS(2*PI()*$I314/qbo+$L314)+hQs*SIN(2*PI()*$I314/qbo+$L314))*(hCs*SIN(2*PI()*$I314/cw)+hCc*COS(2*PI()*$I314/cw))</f>
        <v>-20.866565811880694</v>
      </c>
      <c r="K314">
        <f>fQc*COS(2*PI()*$I314/qbo+$L314)+fQs*SIN(2*PI()*$I314/qbo+$L314)+fCs*SIN(2*PI()*$I314/cw)+fCc*COS(2*PI()*$I314/cw)</f>
        <v>-1.0796882146346691</v>
      </c>
      <c r="L314">
        <f>+QMA*COS(2*PI()*$I314/QM+QMP)</f>
        <v>-0.56346104306386213</v>
      </c>
      <c r="P314">
        <f t="shared" si="24"/>
        <v>1</v>
      </c>
    </row>
    <row r="315" spans="1:16" x14ac:dyDescent="0.25">
      <c r="A315" s="1"/>
      <c r="B315" s="4">
        <v>19725</v>
      </c>
      <c r="C315" t="s">
        <v>24</v>
      </c>
      <c r="D315" s="3">
        <v>12.708333333333334</v>
      </c>
      <c r="E315" s="5">
        <f t="shared" si="20"/>
        <v>1954</v>
      </c>
      <c r="F315">
        <v>-1.11591</v>
      </c>
      <c r="G315">
        <f t="shared" si="21"/>
        <v>-2.1549999999999958E-2</v>
      </c>
      <c r="H315">
        <f t="shared" si="22"/>
        <v>-2.1549999999999958E-2</v>
      </c>
      <c r="I315" s="5">
        <f t="shared" si="23"/>
        <v>302</v>
      </c>
      <c r="J315">
        <f>+H315+CF*F315*(1+($I315-1850)*slope/1000)+F315*hQc*COS(2*PI()*$I315/qbo+$L315)+F315*hQs*SIN(2*PI()*$I315/qbo+$L315)+F315*hCs*SIN(2*PI()*$I315/cw)+F315*hCc*COS(2*PI()*$I315/cw) +mix*F315*(hQc*COS(2*PI()*$I315/qbo+$L315)+hQs*SIN(2*PI()*$I315/qbo+$L315))*(hCs*SIN(2*PI()*$I315/cw)+hCc*COS(2*PI()*$I315/cw))</f>
        <v>-4.2230935184986906</v>
      </c>
      <c r="K315">
        <f>fQc*COS(2*PI()*$I315/qbo+$L315)+fQs*SIN(2*PI()*$I315/qbo+$L315)+fCs*SIN(2*PI()*$I315/cw)+fCc*COS(2*PI()*$I315/cw)</f>
        <v>-0.41511296200196046</v>
      </c>
      <c r="L315">
        <f>+QMA*COS(2*PI()*$I315/QM+QMP)</f>
        <v>-0.7081367130227848</v>
      </c>
      <c r="P315">
        <f t="shared" si="24"/>
        <v>1</v>
      </c>
    </row>
    <row r="316" spans="1:16" x14ac:dyDescent="0.25">
      <c r="A316" s="1"/>
      <c r="B316" s="4">
        <v>20090</v>
      </c>
      <c r="C316" t="s">
        <v>24</v>
      </c>
      <c r="D316" s="3">
        <v>12.75</v>
      </c>
      <c r="E316" s="5">
        <f t="shared" si="20"/>
        <v>1955</v>
      </c>
      <c r="F316">
        <v>-1.24593</v>
      </c>
      <c r="G316">
        <f t="shared" si="21"/>
        <v>-0.64243000000000006</v>
      </c>
      <c r="H316">
        <f t="shared" si="22"/>
        <v>-0.64243000000000006</v>
      </c>
      <c r="I316" s="5">
        <f t="shared" si="23"/>
        <v>303</v>
      </c>
      <c r="J316">
        <f>+H316+CF*F316*(1+($I316-1850)*slope/1000)+F316*hQc*COS(2*PI()*$I316/qbo+$L316)+F316*hQs*SIN(2*PI()*$I316/qbo+$L316)+F316*hCs*SIN(2*PI()*$I316/cw)+F316*hCc*COS(2*PI()*$I316/cw) +mix*F316*(hQc*COS(2*PI()*$I316/qbo+$L316)+hQs*SIN(2*PI()*$I316/qbo+$L316))*(hCs*SIN(2*PI()*$I316/cw)+hCc*COS(2*PI()*$I316/cw))</f>
        <v>-10.181197024752942</v>
      </c>
      <c r="K316">
        <f>fQc*COS(2*PI()*$I316/qbo+$L316)+fQs*SIN(2*PI()*$I316/qbo+$L316)+fCs*SIN(2*PI()*$I316/cw)+fCc*COS(2*PI()*$I316/cw)</f>
        <v>-0.15172952258359598</v>
      </c>
      <c r="L316">
        <f>+QMA*COS(2*PI()*$I316/QM+QMP)</f>
        <v>-0.84072299905118886</v>
      </c>
      <c r="P316">
        <f t="shared" si="24"/>
        <v>1</v>
      </c>
    </row>
    <row r="317" spans="1:16" x14ac:dyDescent="0.25">
      <c r="A317" s="1"/>
      <c r="B317" s="4">
        <v>20455</v>
      </c>
      <c r="C317" t="s">
        <v>24</v>
      </c>
      <c r="D317" s="3">
        <v>12.791666666666666</v>
      </c>
      <c r="E317" s="5">
        <f t="shared" si="20"/>
        <v>1956</v>
      </c>
      <c r="F317">
        <v>-2.0183800000000001</v>
      </c>
      <c r="G317">
        <f t="shared" si="21"/>
        <v>2.0367800000000003</v>
      </c>
      <c r="H317">
        <f t="shared" si="22"/>
        <v>2.0367800000000003</v>
      </c>
      <c r="I317" s="5">
        <f t="shared" si="23"/>
        <v>304</v>
      </c>
      <c r="J317">
        <f>+H317+CF*F317*(1+($I317-1850)*slope/1000)+F317*hQc*COS(2*PI()*$I317/qbo+$L317)+F317*hQs*SIN(2*PI()*$I317/qbo+$L317)+F317*hCs*SIN(2*PI()*$I317/cw)+F317*hCc*COS(2*PI()*$I317/cw) +mix*F317*(hQc*COS(2*PI()*$I317/qbo+$L317)+hQs*SIN(2*PI()*$I317/qbo+$L317))*(hCs*SIN(2*PI()*$I317/cw)+hCc*COS(2*PI()*$I317/cw))</f>
        <v>-22.879075176801472</v>
      </c>
      <c r="K317">
        <f>fQc*COS(2*PI()*$I317/qbo+$L317)+fQs*SIN(2*PI()*$I317/qbo+$L317)+fCs*SIN(2*PI()*$I317/cw)+fCc*COS(2*PI()*$I317/cw)</f>
        <v>-0.65091699792682434</v>
      </c>
      <c r="L317">
        <f>+QMA*COS(2*PI()*$I317/QM+QMP)</f>
        <v>-0.95895637422518853</v>
      </c>
      <c r="P317">
        <f t="shared" si="24"/>
        <v>1</v>
      </c>
    </row>
    <row r="318" spans="1:16" x14ac:dyDescent="0.25">
      <c r="A318" s="1"/>
      <c r="B318" s="4">
        <v>20821</v>
      </c>
      <c r="C318" t="s">
        <v>24</v>
      </c>
      <c r="D318" s="3">
        <v>12.833333333333334</v>
      </c>
      <c r="E318" s="5">
        <f t="shared" si="20"/>
        <v>1957</v>
      </c>
      <c r="F318">
        <v>-0.75405</v>
      </c>
      <c r="G318">
        <f t="shared" si="21"/>
        <v>1.1063399999999999</v>
      </c>
      <c r="H318">
        <f t="shared" si="22"/>
        <v>1.1063399999999999</v>
      </c>
      <c r="I318" s="5">
        <f t="shared" si="23"/>
        <v>305</v>
      </c>
      <c r="J318">
        <f>+H318+CF*F318*(1+($I318-1850)*slope/1000)+F318*hQc*COS(2*PI()*$I318/qbo+$L318)+F318*hQs*SIN(2*PI()*$I318/qbo+$L318)+F318*hCs*SIN(2*PI()*$I318/cw)+F318*hCc*COS(2*PI()*$I318/cw) +mix*F318*(hQc*COS(2*PI()*$I318/qbo+$L318)+hQs*SIN(2*PI()*$I318/qbo+$L318))*(hCs*SIN(2*PI()*$I318/cw)+hCc*COS(2*PI()*$I318/cw))</f>
        <v>-17.031458562569266</v>
      </c>
      <c r="K318">
        <f>fQc*COS(2*PI()*$I318/qbo+$L318)+fQs*SIN(2*PI()*$I318/qbo+$L318)+fCs*SIN(2*PI()*$I318/cw)+fCc*COS(2*PI()*$I318/cw)</f>
        <v>1.1408639141950165</v>
      </c>
      <c r="L318">
        <f>+QMA*COS(2*PI()*$I318/QM+QMP)</f>
        <v>-1.06081834601419</v>
      </c>
      <c r="P318">
        <f t="shared" si="24"/>
        <v>0</v>
      </c>
    </row>
    <row r="319" spans="1:16" x14ac:dyDescent="0.25">
      <c r="A319" s="1"/>
      <c r="B319" s="4">
        <v>21186</v>
      </c>
      <c r="C319" t="s">
        <v>24</v>
      </c>
      <c r="D319" s="3">
        <v>12.875</v>
      </c>
      <c r="E319" s="5">
        <f t="shared" si="20"/>
        <v>1958</v>
      </c>
      <c r="F319">
        <v>1.6166199999999999</v>
      </c>
      <c r="G319">
        <f t="shared" si="21"/>
        <v>-4.0720499999999999</v>
      </c>
      <c r="H319">
        <f t="shared" si="22"/>
        <v>-4.0720499999999999</v>
      </c>
      <c r="I319" s="5">
        <f t="shared" si="23"/>
        <v>306</v>
      </c>
      <c r="J319">
        <f>+H319+CF*F319*(1+($I319-1850)*slope/1000)+F319*hQc*COS(2*PI()*$I319/qbo+$L319)+F319*hQs*SIN(2*PI()*$I319/qbo+$L319)+F319*hCs*SIN(2*PI()*$I319/cw)+F319*hCc*COS(2*PI()*$I319/cw) +mix*F319*(hQc*COS(2*PI()*$I319/qbo+$L319)+hQs*SIN(2*PI()*$I319/qbo+$L319))*(hCs*SIN(2*PI()*$I319/cw)+hCc*COS(2*PI()*$I319/cw))</f>
        <v>-1.6659314161174557</v>
      </c>
      <c r="K319">
        <f>fQc*COS(2*PI()*$I319/qbo+$L319)+fQs*SIN(2*PI()*$I319/qbo+$L319)+fCs*SIN(2*PI()*$I319/cw)+fCc*COS(2*PI()*$I319/cw)</f>
        <v>-8.5713145979548655E-2</v>
      </c>
      <c r="L319">
        <f>+QMA*COS(2*PI()*$I319/QM+QMP)</f>
        <v>-1.1445699161961855</v>
      </c>
      <c r="P319">
        <f t="shared" si="24"/>
        <v>1</v>
      </c>
    </row>
    <row r="320" spans="1:16" x14ac:dyDescent="0.25">
      <c r="A320" s="1"/>
      <c r="B320" s="4">
        <v>21551</v>
      </c>
      <c r="C320" t="s">
        <v>24</v>
      </c>
      <c r="D320" s="3">
        <v>12.916666666666666</v>
      </c>
      <c r="E320" s="5">
        <f t="shared" si="20"/>
        <v>1959</v>
      </c>
      <c r="F320">
        <v>-8.4760000000000002E-2</v>
      </c>
      <c r="G320">
        <f t="shared" si="21"/>
        <v>1.8968999999999998</v>
      </c>
      <c r="H320">
        <f t="shared" si="22"/>
        <v>1.8968999999999998</v>
      </c>
      <c r="I320" s="5">
        <f t="shared" si="23"/>
        <v>307</v>
      </c>
      <c r="J320">
        <f>+H320+CF*F320*(1+($I320-1850)*slope/1000)+F320*hQc*COS(2*PI()*$I320/qbo+$L320)+F320*hQs*SIN(2*PI()*$I320/qbo+$L320)+F320*hCs*SIN(2*PI()*$I320/cw)+F320*hCc*COS(2*PI()*$I320/cw) +mix*F320*(hQc*COS(2*PI()*$I320/qbo+$L320)+hQs*SIN(2*PI()*$I320/qbo+$L320))*(hCs*SIN(2*PI()*$I320/cw)+hCc*COS(2*PI()*$I320/cw))</f>
        <v>0.10905548398233311</v>
      </c>
      <c r="K320">
        <f>fQc*COS(2*PI()*$I320/qbo+$L320)+fQs*SIN(2*PI()*$I320/qbo+$L320)+fCs*SIN(2*PI()*$I320/cw)+fCc*COS(2*PI()*$I320/cw)</f>
        <v>0.93209196818666973</v>
      </c>
      <c r="L320">
        <f>+QMA*COS(2*PI()*$I320/QM+QMP)</f>
        <v>-1.2087812692170747</v>
      </c>
      <c r="P320">
        <f t="shared" si="24"/>
        <v>1</v>
      </c>
    </row>
    <row r="321" spans="1:16" x14ac:dyDescent="0.25">
      <c r="A321" s="1"/>
      <c r="B321" s="4">
        <v>21916</v>
      </c>
      <c r="C321" t="s">
        <v>24</v>
      </c>
      <c r="D321" s="3">
        <v>12.958333333333334</v>
      </c>
      <c r="E321" s="5">
        <f t="shared" si="20"/>
        <v>1960</v>
      </c>
      <c r="F321">
        <v>0.11076</v>
      </c>
      <c r="G321">
        <f t="shared" si="21"/>
        <v>-1.1359599999999999</v>
      </c>
      <c r="H321">
        <f t="shared" si="22"/>
        <v>-1.1359599999999999</v>
      </c>
      <c r="I321" s="5">
        <f t="shared" si="23"/>
        <v>308</v>
      </c>
      <c r="J321">
        <f>+H321+CF*F321*(1+($I321-1850)*slope/1000)+F321*hQc*COS(2*PI()*$I321/qbo+$L321)+F321*hQs*SIN(2*PI()*$I321/qbo+$L321)+F321*hCs*SIN(2*PI()*$I321/cw)+F321*hCc*COS(2*PI()*$I321/cw) +mix*F321*(hQc*COS(2*PI()*$I321/qbo+$L321)+hQs*SIN(2*PI()*$I321/qbo+$L321))*(hCs*SIN(2*PI()*$I321/cw)+hCc*COS(2*PI()*$I321/cw))</f>
        <v>0.23808575465607279</v>
      </c>
      <c r="K321">
        <f>fQc*COS(2*PI()*$I321/qbo+$L321)+fQs*SIN(2*PI()*$I321/qbo+$L321)+fCs*SIN(2*PI()*$I321/cw)+fCc*COS(2*PI()*$I321/cw)</f>
        <v>0.17529625147210651</v>
      </c>
      <c r="L321">
        <f>+QMA*COS(2*PI()*$I321/QM+QMP)</f>
        <v>-1.2523561821511264</v>
      </c>
      <c r="P321">
        <f t="shared" si="24"/>
        <v>1</v>
      </c>
    </row>
    <row r="322" spans="1:16" x14ac:dyDescent="0.25">
      <c r="A322" s="1"/>
      <c r="B322" s="4">
        <v>22282</v>
      </c>
      <c r="C322" t="s">
        <v>24</v>
      </c>
      <c r="D322" s="3">
        <v>13</v>
      </c>
      <c r="E322" s="5">
        <f t="shared" si="20"/>
        <v>1961</v>
      </c>
      <c r="F322">
        <v>-0.82967999999999997</v>
      </c>
      <c r="G322">
        <f t="shared" si="21"/>
        <v>1.8454699999999999</v>
      </c>
      <c r="H322">
        <f t="shared" si="22"/>
        <v>1.8454699999999999</v>
      </c>
      <c r="I322" s="5">
        <f t="shared" si="23"/>
        <v>309</v>
      </c>
      <c r="J322">
        <f>+H322+CF*F322*(1+($I322-1850)*slope/1000)+F322*hQc*COS(2*PI()*$I322/qbo+$L322)+F322*hQs*SIN(2*PI()*$I322/qbo+$L322)+F322*hCs*SIN(2*PI()*$I322/cw)+F322*hCc*COS(2*PI()*$I322/cw) +mix*F322*(hQc*COS(2*PI()*$I322/qbo+$L322)+hQs*SIN(2*PI()*$I322/qbo+$L322))*(hCs*SIN(2*PI()*$I322/cw)+hCc*COS(2*PI()*$I322/cw))</f>
        <v>-9.6862379164228134</v>
      </c>
      <c r="K322">
        <f>fQc*COS(2*PI()*$I322/qbo+$L322)+fQs*SIN(2*PI()*$I322/qbo+$L322)+fCs*SIN(2*PI()*$I322/cw)+fCc*COS(2*PI()*$I322/cw)</f>
        <v>-0.54921853631554585</v>
      </c>
      <c r="L322">
        <f>+QMA*COS(2*PI()*$I322/QM+QMP)</f>
        <v>-1.274550739533274</v>
      </c>
      <c r="P322">
        <f t="shared" si="24"/>
        <v>1</v>
      </c>
    </row>
    <row r="323" spans="1:16" x14ac:dyDescent="0.25">
      <c r="A323" s="1"/>
      <c r="B323" s="4">
        <v>22647</v>
      </c>
      <c r="C323" t="s">
        <v>24</v>
      </c>
      <c r="D323" s="3">
        <v>13.041666666666666</v>
      </c>
      <c r="E323" s="5">
        <f t="shared" si="20"/>
        <v>1962</v>
      </c>
      <c r="F323">
        <v>7.535E-2</v>
      </c>
      <c r="G323">
        <f t="shared" si="21"/>
        <v>-1.6600299999999999</v>
      </c>
      <c r="H323">
        <f t="shared" si="22"/>
        <v>-1.6600299999999999</v>
      </c>
      <c r="I323" s="5">
        <f t="shared" si="23"/>
        <v>310</v>
      </c>
      <c r="J323">
        <f>+H323+CF*F323*(1+($I323-1850)*slope/1000)+F323*hQc*COS(2*PI()*$I323/qbo+$L323)+F323*hQs*SIN(2*PI()*$I323/qbo+$L323)+F323*hCs*SIN(2*PI()*$I323/cw)+F323*hCc*COS(2*PI()*$I323/cw) +mix*F323*(hQc*COS(2*PI()*$I323/qbo+$L323)+hQs*SIN(2*PI()*$I323/qbo+$L323))*(hCs*SIN(2*PI()*$I323/cw)+hCc*COS(2*PI()*$I323/cw))</f>
        <v>-1.8605997257848177</v>
      </c>
      <c r="K323">
        <f>fQc*COS(2*PI()*$I323/qbo+$L323)+fQs*SIN(2*PI()*$I323/qbo+$L323)+fCs*SIN(2*PI()*$I323/cw)+fCc*COS(2*PI()*$I323/cw)</f>
        <v>7.7864438689179416E-2</v>
      </c>
      <c r="L323">
        <f>+QMA*COS(2*PI()*$I323/QM+QMP)</f>
        <v>-1.2749860335616394</v>
      </c>
      <c r="P323">
        <f t="shared" si="24"/>
        <v>0</v>
      </c>
    </row>
    <row r="324" spans="1:16" x14ac:dyDescent="0.25">
      <c r="A324" s="1"/>
      <c r="B324" s="4">
        <v>23012</v>
      </c>
      <c r="C324" t="s">
        <v>24</v>
      </c>
      <c r="D324" s="3">
        <v>13.083333333333334</v>
      </c>
      <c r="E324" s="5">
        <f t="shared" si="20"/>
        <v>1963</v>
      </c>
      <c r="F324">
        <v>-0.67964999999999998</v>
      </c>
      <c r="G324">
        <f t="shared" si="21"/>
        <v>2.6599699999999999</v>
      </c>
      <c r="H324">
        <f t="shared" si="22"/>
        <v>2.6599699999999999</v>
      </c>
      <c r="I324" s="5">
        <f t="shared" si="23"/>
        <v>311</v>
      </c>
      <c r="J324">
        <f>+H324+CF*F324*(1+($I324-1850)*slope/1000)+F324*hQc*COS(2*PI()*$I324/qbo+$L324)+F324*hQs*SIN(2*PI()*$I324/qbo+$L324)+F324*hCs*SIN(2*PI()*$I324/cw)+F324*hCc*COS(2*PI()*$I324/cw) +mix*F324*(hQc*COS(2*PI()*$I324/qbo+$L324)+hQs*SIN(2*PI()*$I324/qbo+$L324))*(hCs*SIN(2*PI()*$I324/cw)+hCc*COS(2*PI()*$I324/cw))</f>
        <v>-14.39828526851209</v>
      </c>
      <c r="K324">
        <f>fQc*COS(2*PI()*$I324/qbo+$L324)+fQs*SIN(2*PI()*$I324/qbo+$L324)+fCs*SIN(2*PI()*$I324/cw)+fCc*COS(2*PI()*$I324/cw)</f>
        <v>-1.3458567324958934</v>
      </c>
      <c r="L324">
        <f>+QMA*COS(2*PI()*$I324/QM+QMP)</f>
        <v>-1.2536546328511029</v>
      </c>
      <c r="P324">
        <f t="shared" si="24"/>
        <v>1</v>
      </c>
    </row>
    <row r="325" spans="1:16" x14ac:dyDescent="0.25">
      <c r="A325" s="1"/>
      <c r="B325" s="4">
        <v>23377</v>
      </c>
      <c r="C325" t="s">
        <v>24</v>
      </c>
      <c r="D325" s="3">
        <v>13.125</v>
      </c>
      <c r="E325" s="5">
        <f t="shared" si="20"/>
        <v>1964</v>
      </c>
      <c r="F325">
        <v>1.22532</v>
      </c>
      <c r="G325">
        <f t="shared" si="21"/>
        <v>-2.9074200000000001</v>
      </c>
      <c r="H325">
        <f t="shared" si="22"/>
        <v>-2.9074200000000001</v>
      </c>
      <c r="I325" s="5">
        <f t="shared" si="23"/>
        <v>312</v>
      </c>
      <c r="J325">
        <f>+H325+CF*F325*(1+($I325-1850)*slope/1000)+F325*hQc*COS(2*PI()*$I325/qbo+$L325)+F325*hQs*SIN(2*PI()*$I325/qbo+$L325)+F325*hCs*SIN(2*PI()*$I325/cw)+F325*hCc*COS(2*PI()*$I325/cw) +mix*F325*(hQc*COS(2*PI()*$I325/qbo+$L325)+hQs*SIN(2*PI()*$I325/qbo+$L325))*(hCs*SIN(2*PI()*$I325/cw)+hCc*COS(2*PI()*$I325/cw))</f>
        <v>-1.0339687942074924</v>
      </c>
      <c r="K325">
        <f>fQc*COS(2*PI()*$I325/qbo+$L325)+fQs*SIN(2*PI()*$I325/qbo+$L325)+fCs*SIN(2*PI()*$I325/cw)+fCc*COS(2*PI()*$I325/cw)</f>
        <v>0.38681559014179112</v>
      </c>
      <c r="L325">
        <f>+QMA*COS(2*PI()*$I325/QM+QMP)</f>
        <v>-1.2109207093026879</v>
      </c>
      <c r="P325">
        <f t="shared" si="24"/>
        <v>0</v>
      </c>
    </row>
    <row r="326" spans="1:16" x14ac:dyDescent="0.25">
      <c r="A326" s="1"/>
      <c r="B326" s="4">
        <v>23743</v>
      </c>
      <c r="C326" t="s">
        <v>24</v>
      </c>
      <c r="D326" s="3">
        <v>13.166666666666666</v>
      </c>
      <c r="E326" s="5">
        <f t="shared" si="20"/>
        <v>1965</v>
      </c>
      <c r="F326">
        <v>0.22287000000000001</v>
      </c>
      <c r="G326">
        <f t="shared" si="21"/>
        <v>2.5870000000000002</v>
      </c>
      <c r="H326">
        <f t="shared" si="22"/>
        <v>2.5870000000000002</v>
      </c>
      <c r="I326" s="5">
        <f t="shared" si="23"/>
        <v>313</v>
      </c>
      <c r="J326">
        <f>+H326+CF*F326*(1+($I326-1850)*slope/1000)+F326*hQc*COS(2*PI()*$I326/qbo+$L326)+F326*hQs*SIN(2*PI()*$I326/qbo+$L326)+F326*hCs*SIN(2*PI()*$I326/cw)+F326*hCc*COS(2*PI()*$I326/cw) +mix*F326*(hQc*COS(2*PI()*$I326/qbo+$L326)+hQs*SIN(2*PI()*$I326/qbo+$L326))*(hCs*SIN(2*PI()*$I326/cw)+hCc*COS(2*PI()*$I326/cw))</f>
        <v>5.0481990026493682</v>
      </c>
      <c r="K326">
        <f>fQc*COS(2*PI()*$I326/qbo+$L326)+fQs*SIN(2*PI()*$I326/qbo+$L326)+fCs*SIN(2*PI()*$I326/cw)+fCc*COS(2*PI()*$I326/cw)</f>
        <v>-0.58768768468742594</v>
      </c>
      <c r="L326">
        <f>+QMA*COS(2*PI()*$I326/QM+QMP)</f>
        <v>-1.1475138209228264</v>
      </c>
      <c r="P326">
        <f t="shared" si="24"/>
        <v>0</v>
      </c>
    </row>
    <row r="327" spans="1:16" x14ac:dyDescent="0.25">
      <c r="A327" s="1"/>
      <c r="B327" s="4">
        <v>24108</v>
      </c>
      <c r="C327" t="s">
        <v>24</v>
      </c>
      <c r="D327" s="3">
        <v>13.208333333333334</v>
      </c>
      <c r="E327" s="5">
        <f t="shared" si="20"/>
        <v>1966</v>
      </c>
      <c r="F327">
        <v>1.80742</v>
      </c>
      <c r="G327">
        <f t="shared" si="21"/>
        <v>-3.9504299999999999</v>
      </c>
      <c r="H327">
        <f t="shared" si="22"/>
        <v>-3.9504299999999999</v>
      </c>
      <c r="I327" s="5">
        <f t="shared" si="23"/>
        <v>314</v>
      </c>
      <c r="J327">
        <f>+H327+CF*F327*(1+($I327-1850)*slope/1000)+F327*hQc*COS(2*PI()*$I327/qbo+$L327)+F327*hQs*SIN(2*PI()*$I327/qbo+$L327)+F327*hCs*SIN(2*PI()*$I327/cw)+F327*hCc*COS(2*PI()*$I327/cw) +mix*F327*(hQc*COS(2*PI()*$I327/qbo+$L327)+hQs*SIN(2*PI()*$I327/qbo+$L327))*(hCs*SIN(2*PI()*$I327/cw)+hCc*COS(2*PI()*$I327/cw))</f>
        <v>34.21787579956915</v>
      </c>
      <c r="K327">
        <f>fQc*COS(2*PI()*$I327/qbo+$L327)+fQs*SIN(2*PI()*$I327/qbo+$L327)+fCs*SIN(2*PI()*$I327/cw)+fCc*COS(2*PI()*$I327/cw)</f>
        <v>0.83768846413806253</v>
      </c>
      <c r="L327">
        <f>+QMA*COS(2*PI()*$I327/QM+QMP)</f>
        <v>-1.0645164567328704</v>
      </c>
      <c r="P327">
        <f t="shared" si="24"/>
        <v>1</v>
      </c>
    </row>
    <row r="328" spans="1:16" x14ac:dyDescent="0.25">
      <c r="A328" s="1"/>
      <c r="B328" s="4">
        <v>24473</v>
      </c>
      <c r="C328" t="s">
        <v>24</v>
      </c>
      <c r="D328" s="3">
        <v>13.25</v>
      </c>
      <c r="E328" s="5">
        <f t="shared" si="20"/>
        <v>1967</v>
      </c>
      <c r="F328">
        <v>-0.55845999999999996</v>
      </c>
      <c r="G328">
        <f t="shared" si="21"/>
        <v>3.9300299999999995</v>
      </c>
      <c r="H328">
        <f t="shared" si="22"/>
        <v>3.9300299999999995</v>
      </c>
      <c r="I328" s="5">
        <f t="shared" si="23"/>
        <v>315</v>
      </c>
      <c r="J328">
        <f>+H328+CF*F328*(1+($I328-1850)*slope/1000)+F328*hQc*COS(2*PI()*$I328/qbo+$L328)+F328*hQs*SIN(2*PI()*$I328/qbo+$L328)+F328*hCs*SIN(2*PI()*$I328/cw)+F328*hCc*COS(2*PI()*$I328/cw) +mix*F328*(hQc*COS(2*PI()*$I328/qbo+$L328)+hQs*SIN(2*PI()*$I328/qbo+$L328))*(hCs*SIN(2*PI()*$I328/cw)+hCc*COS(2*PI()*$I328/cw))</f>
        <v>-2.0318793079113728</v>
      </c>
      <c r="K328">
        <f>fQc*COS(2*PI()*$I328/qbo+$L328)+fQs*SIN(2*PI()*$I328/qbo+$L328)+fCs*SIN(2*PI()*$I328/cw)+fCc*COS(2*PI()*$I328/cw)</f>
        <v>0.45079513308510505</v>
      </c>
      <c r="L328">
        <f>+QMA*COS(2*PI()*$I328/QM+QMP)</f>
        <v>-0.96334555640344732</v>
      </c>
      <c r="P328">
        <f t="shared" si="24"/>
        <v>0</v>
      </c>
    </row>
    <row r="329" spans="1:16" x14ac:dyDescent="0.25">
      <c r="A329" s="1"/>
      <c r="B329" s="4">
        <v>24838</v>
      </c>
      <c r="C329" t="s">
        <v>24</v>
      </c>
      <c r="D329" s="3">
        <v>13.291666666666666</v>
      </c>
      <c r="E329" s="5">
        <f t="shared" si="20"/>
        <v>1968</v>
      </c>
      <c r="F329">
        <v>1.00569</v>
      </c>
      <c r="G329">
        <f t="shared" si="21"/>
        <v>-1.7698700000000001</v>
      </c>
      <c r="H329">
        <f t="shared" si="22"/>
        <v>-1.7698700000000001</v>
      </c>
      <c r="I329" s="5">
        <f t="shared" si="23"/>
        <v>316</v>
      </c>
      <c r="J329">
        <f>+H329+CF*F329*(1+($I329-1850)*slope/1000)+F329*hQc*COS(2*PI()*$I329/qbo+$L329)+F329*hQs*SIN(2*PI()*$I329/qbo+$L329)+F329*hCs*SIN(2*PI()*$I329/cw)+F329*hCc*COS(2*PI()*$I329/cw) +mix*F329*(hQc*COS(2*PI()*$I329/qbo+$L329)+hQs*SIN(2*PI()*$I329/qbo+$L329))*(hCs*SIN(2*PI()*$I329/cw)+hCc*COS(2*PI()*$I329/cw))</f>
        <v>11.748003039122228</v>
      </c>
      <c r="K329">
        <f>fQc*COS(2*PI()*$I329/qbo+$L329)+fQs*SIN(2*PI()*$I329/qbo+$L329)+fCs*SIN(2*PI()*$I329/cw)+fCc*COS(2*PI()*$I329/cw)</f>
        <v>0.37710451516418325</v>
      </c>
      <c r="L329">
        <f>+QMA*COS(2*PI()*$I329/QM+QMP)</f>
        <v>-0.8457283201124226</v>
      </c>
      <c r="P329">
        <f t="shared" si="24"/>
        <v>1</v>
      </c>
    </row>
    <row r="330" spans="1:16" x14ac:dyDescent="0.25">
      <c r="A330" s="1"/>
      <c r="B330" s="4">
        <v>25204</v>
      </c>
      <c r="C330" t="s">
        <v>24</v>
      </c>
      <c r="D330" s="3">
        <v>13.333333333333334</v>
      </c>
      <c r="E330" s="5">
        <f t="shared" si="20"/>
        <v>1969</v>
      </c>
      <c r="F330">
        <v>0.79996999999999996</v>
      </c>
      <c r="G330">
        <f t="shared" si="21"/>
        <v>-0.42859999999999998</v>
      </c>
      <c r="H330">
        <f t="shared" si="22"/>
        <v>-0.42859999999999998</v>
      </c>
      <c r="I330" s="5">
        <f t="shared" si="23"/>
        <v>317</v>
      </c>
      <c r="J330">
        <f>+H330+CF*F330*(1+($I330-1850)*slope/1000)+F330*hQc*COS(2*PI()*$I330/qbo+$L330)+F330*hQs*SIN(2*PI()*$I330/qbo+$L330)+F330*hCs*SIN(2*PI()*$I330/cw)+F330*hCc*COS(2*PI()*$I330/cw) +mix*F330*(hQc*COS(2*PI()*$I330/qbo+$L330)+hQs*SIN(2*PI()*$I330/qbo+$L330))*(hCs*SIN(2*PI()*$I330/cw)+hCc*COS(2*PI()*$I330/cw))</f>
        <v>9.4244404332535652</v>
      </c>
      <c r="K330">
        <f>fQc*COS(2*PI()*$I330/qbo+$L330)+fQs*SIN(2*PI()*$I330/qbo+$L330)+fCs*SIN(2*PI()*$I330/cw)+fCc*COS(2*PI()*$I330/cw)</f>
        <v>0.49913542505818032</v>
      </c>
      <c r="L330">
        <f>+QMA*COS(2*PI()*$I330/QM+QMP)</f>
        <v>-0.71367272160302397</v>
      </c>
      <c r="P330">
        <f t="shared" si="24"/>
        <v>1</v>
      </c>
    </row>
    <row r="331" spans="1:16" x14ac:dyDescent="0.25">
      <c r="A331" s="1"/>
      <c r="B331" s="4">
        <v>25569</v>
      </c>
      <c r="C331" t="s">
        <v>24</v>
      </c>
      <c r="D331" s="3">
        <v>13.375</v>
      </c>
      <c r="E331" s="5">
        <f t="shared" si="20"/>
        <v>1970</v>
      </c>
      <c r="F331">
        <v>0.16564999999999999</v>
      </c>
      <c r="G331">
        <f t="shared" si="21"/>
        <v>-2.63009</v>
      </c>
      <c r="H331">
        <f t="shared" si="22"/>
        <v>-2.63009</v>
      </c>
      <c r="I331" s="5">
        <f t="shared" si="23"/>
        <v>318</v>
      </c>
      <c r="J331">
        <f>+H331+CF*F331*(1+($I331-1850)*slope/1000)+F331*hQc*COS(2*PI()*$I331/qbo+$L331)+F331*hQs*SIN(2*PI()*$I331/qbo+$L331)+F331*hCs*SIN(2*PI()*$I331/cw)+F331*hCc*COS(2*PI()*$I331/cw) +mix*F331*(hQc*COS(2*PI()*$I331/qbo+$L331)+hQs*SIN(2*PI()*$I331/qbo+$L331))*(hCs*SIN(2*PI()*$I331/cw)+hCc*COS(2*PI()*$I331/cw))</f>
        <v>0.24540335991508433</v>
      </c>
      <c r="K331">
        <f>fQc*COS(2*PI()*$I331/qbo+$L331)+fQs*SIN(2*PI()*$I331/qbo+$L331)+fCs*SIN(2*PI()*$I331/cw)+fCc*COS(2*PI()*$I331/cw)</f>
        <v>-0.83440644910551187</v>
      </c>
      <c r="L331">
        <f>+QMA*COS(2*PI()*$I331/QM+QMP)</f>
        <v>-0.56943322784638162</v>
      </c>
      <c r="P331">
        <f t="shared" si="24"/>
        <v>0</v>
      </c>
    </row>
    <row r="332" spans="1:16" x14ac:dyDescent="0.25">
      <c r="A332" s="1"/>
      <c r="B332" s="4">
        <v>25934</v>
      </c>
      <c r="C332" t="s">
        <v>24</v>
      </c>
      <c r="D332" s="3">
        <v>13.416666666666666</v>
      </c>
      <c r="E332" s="5">
        <f t="shared" si="20"/>
        <v>1971</v>
      </c>
      <c r="F332">
        <v>-3.09876</v>
      </c>
      <c r="G332">
        <f t="shared" si="21"/>
        <v>5.3416499999999996</v>
      </c>
      <c r="H332">
        <f t="shared" si="22"/>
        <v>5.3416499999999996</v>
      </c>
      <c r="I332" s="5">
        <f t="shared" si="23"/>
        <v>319</v>
      </c>
      <c r="J332">
        <f>+H332+CF*F332*(1+($I332-1850)*slope/1000)+F332*hQc*COS(2*PI()*$I332/qbo+$L332)+F332*hQs*SIN(2*PI()*$I332/qbo+$L332)+F332*hCs*SIN(2*PI()*$I332/cw)+F332*hCc*COS(2*PI()*$I332/cw) +mix*F332*(hQc*COS(2*PI()*$I332/qbo+$L332)+hQs*SIN(2*PI()*$I332/qbo+$L332))*(hCs*SIN(2*PI()*$I332/cw)+hCc*COS(2*PI()*$I332/cw))</f>
        <v>21.73291848924196</v>
      </c>
      <c r="K332">
        <f>fQc*COS(2*PI()*$I332/qbo+$L332)+fQs*SIN(2*PI()*$I332/qbo+$L332)+fCs*SIN(2*PI()*$I332/cw)+fCc*COS(2*PI()*$I332/cw)</f>
        <v>0.13085614692387859</v>
      </c>
      <c r="L332">
        <f>+QMA*COS(2*PI()*$I332/QM+QMP)</f>
        <v>-0.41547231054591016</v>
      </c>
      <c r="P332">
        <f t="shared" si="24"/>
        <v>1</v>
      </c>
    </row>
    <row r="333" spans="1:16" x14ac:dyDescent="0.25">
      <c r="A333" s="1"/>
      <c r="B333" s="4">
        <v>26299</v>
      </c>
      <c r="C333" t="s">
        <v>24</v>
      </c>
      <c r="D333" s="3">
        <v>13.458333333333334</v>
      </c>
      <c r="E333" s="5">
        <f t="shared" ref="E333:E338" si="25">+E332+1</f>
        <v>1972</v>
      </c>
      <c r="F333">
        <v>-1.02152</v>
      </c>
      <c r="G333">
        <f t="shared" ref="G333:G337" si="26">+(F334-F333)-(F333-F332)</f>
        <v>0.82197999999999993</v>
      </c>
      <c r="H333">
        <f t="shared" ref="H333:H337" si="27">+G333</f>
        <v>0.82197999999999993</v>
      </c>
      <c r="I333" s="5">
        <f t="shared" si="23"/>
        <v>320</v>
      </c>
      <c r="J333">
        <f>+H333+CF*F333*(1+($I333-1850)*slope/1000)+F333*hQc*COS(2*PI()*$I333/qbo+$L333)+F333*hQs*SIN(2*PI()*$I333/qbo+$L333)+F333*hCs*SIN(2*PI()*$I333/cw)+F333*hCc*COS(2*PI()*$I333/cw) +mix*F333*(hQc*COS(2*PI()*$I333/qbo+$L333)+hQs*SIN(2*PI()*$I333/qbo+$L333))*(hCs*SIN(2*PI()*$I333/cw)+hCc*COS(2*PI()*$I333/cw))</f>
        <v>-24.44461109883601</v>
      </c>
      <c r="K333">
        <f>fQc*COS(2*PI()*$I333/qbo+$L333)+fQs*SIN(2*PI()*$I333/qbo+$L333)+fCs*SIN(2*PI()*$I333/cw)+fCc*COS(2*PI()*$I333/cw)</f>
        <v>-1.3361502125787688</v>
      </c>
      <c r="L333">
        <f>+QMA*COS(2*PI()*$I333/QM+QMP)</f>
        <v>-0.25441840656317988</v>
      </c>
      <c r="P333">
        <f t="shared" si="24"/>
        <v>1</v>
      </c>
    </row>
    <row r="334" spans="1:16" x14ac:dyDescent="0.25">
      <c r="A334" s="1"/>
      <c r="B334" s="4">
        <v>26665</v>
      </c>
      <c r="C334" t="s">
        <v>24</v>
      </c>
      <c r="D334" s="3">
        <v>13.5</v>
      </c>
      <c r="E334" s="5">
        <f t="shared" si="25"/>
        <v>1973</v>
      </c>
      <c r="F334">
        <v>1.8776999999999999</v>
      </c>
      <c r="G334">
        <f t="shared" si="26"/>
        <v>-7.8435699999999997</v>
      </c>
      <c r="H334">
        <f t="shared" si="27"/>
        <v>-7.8435699999999997</v>
      </c>
      <c r="I334" s="5">
        <f t="shared" ref="I334:I336" si="28">+E334-1652</f>
        <v>321</v>
      </c>
      <c r="J334">
        <f>+H334+CF*F334*(1+($I334-1850)*slope/1000)+F334*hQc*COS(2*PI()*$I334/qbo+$L334)+F334*hQs*SIN(2*PI()*$I334/qbo+$L334)+F334*hCs*SIN(2*PI()*$I334/cw)+F334*hCc*COS(2*PI()*$I334/cw) +mix*F334*(hQc*COS(2*PI()*$I334/qbo+$L334)+hQs*SIN(2*PI()*$I334/qbo+$L334))*(hCs*SIN(2*PI()*$I334/cw)+hCc*COS(2*PI()*$I334/cw))</f>
        <v>-1.5896493342989295</v>
      </c>
      <c r="K334">
        <f>fQc*COS(2*PI()*$I334/qbo+$L334)+fQs*SIN(2*PI()*$I334/qbo+$L334)+fCs*SIN(2*PI()*$I334/cw)+fCc*COS(2*PI()*$I334/cw)</f>
        <v>0.45241866278692711</v>
      </c>
      <c r="L334">
        <f>+QMA*COS(2*PI()*$I334/QM+QMP)</f>
        <v>-8.9021044969271976E-2</v>
      </c>
      <c r="P334">
        <f t="shared" ref="P334:P336" si="29">+IF(J334*K334&gt;0,1, 0)</f>
        <v>0</v>
      </c>
    </row>
    <row r="335" spans="1:16" x14ac:dyDescent="0.25">
      <c r="A335" s="1"/>
      <c r="B335" s="4">
        <v>27030</v>
      </c>
      <c r="C335" t="s">
        <v>24</v>
      </c>
      <c r="D335" s="3">
        <v>13.541666666666666</v>
      </c>
      <c r="E335" s="5">
        <f t="shared" si="25"/>
        <v>1974</v>
      </c>
      <c r="F335">
        <v>-3.0666500000000001</v>
      </c>
      <c r="G335">
        <f t="shared" si="26"/>
        <v>7.5886700000000005</v>
      </c>
      <c r="H335">
        <f t="shared" si="27"/>
        <v>7.5886700000000005</v>
      </c>
      <c r="I335" s="5">
        <f t="shared" si="28"/>
        <v>322</v>
      </c>
      <c r="J335">
        <f>+H335+CF*F335*(1+($I335-1850)*slope/1000)+F335*hQc*COS(2*PI()*$I335/qbo+$L335)+F335*hQs*SIN(2*PI()*$I335/qbo+$L335)+F335*hCs*SIN(2*PI()*$I335/cw)+F335*hCc*COS(2*PI()*$I335/cw) +mix*F335*(hQc*COS(2*PI()*$I335/qbo+$L335)+hQs*SIN(2*PI()*$I335/qbo+$L335))*(hCs*SIN(2*PI()*$I335/cw)+hCc*COS(2*PI()*$I335/cw))</f>
        <v>-21.608066516043337</v>
      </c>
      <c r="K335">
        <f>fQc*COS(2*PI()*$I335/qbo+$L335)+fQs*SIN(2*PI()*$I335/qbo+$L335)+fCs*SIN(2*PI()*$I335/cw)+fCc*COS(2*PI()*$I335/cw)</f>
        <v>-0.58309460346551722</v>
      </c>
      <c r="L335">
        <f>+QMA*COS(2*PI()*$I335/QM+QMP)</f>
        <v>7.7896093202714359E-2</v>
      </c>
      <c r="P335">
        <f t="shared" si="29"/>
        <v>1</v>
      </c>
    </row>
    <row r="336" spans="1:16" x14ac:dyDescent="0.25">
      <c r="A336" s="1"/>
      <c r="B336" s="4">
        <v>27395</v>
      </c>
      <c r="C336" t="s">
        <v>24</v>
      </c>
      <c r="D336" s="3">
        <v>13.583333333333334</v>
      </c>
      <c r="E336" s="5">
        <f t="shared" si="25"/>
        <v>1975</v>
      </c>
      <c r="F336">
        <v>-0.42232999999999998</v>
      </c>
      <c r="G336">
        <f t="shared" si="26"/>
        <v>-2.9693899999999998</v>
      </c>
      <c r="H336">
        <f t="shared" si="27"/>
        <v>-2.9693899999999998</v>
      </c>
      <c r="I336" s="5">
        <f t="shared" si="28"/>
        <v>323</v>
      </c>
      <c r="J336">
        <f>+H336+CF*F336*(1+($I336-1850)*slope/1000)+F336*hQc*COS(2*PI()*$I336/qbo+$L336)+F336*hQs*SIN(2*PI()*$I336/qbo+$L336)+F336*hCs*SIN(2*PI()*$I336/cw)+F336*hCc*COS(2*PI()*$I336/cw) +mix*F336*(hQc*COS(2*PI()*$I336/qbo+$L336)+hQs*SIN(2*PI()*$I336/qbo+$L336))*(hCs*SIN(2*PI()*$I336/cw)+hCc*COS(2*PI()*$I336/cw))</f>
        <v>-13.100670944884985</v>
      </c>
      <c r="K336">
        <f>fQc*COS(2*PI()*$I336/qbo+$L336)+fQs*SIN(2*PI()*$I336/qbo+$L336)+fCs*SIN(2*PI()*$I336/cw)+fCc*COS(2*PI()*$I336/cw)</f>
        <v>1.0289159705805666</v>
      </c>
      <c r="L336">
        <f>+QMA*COS(2*PI()*$I336/QM+QMP)</f>
        <v>0.24348338113519649</v>
      </c>
      <c r="P336">
        <f t="shared" si="29"/>
        <v>0</v>
      </c>
    </row>
    <row r="337" spans="1:8" x14ac:dyDescent="0.25">
      <c r="A337" s="1"/>
      <c r="B337" s="4">
        <v>27760</v>
      </c>
      <c r="C337" t="s">
        <v>24</v>
      </c>
      <c r="D337" s="3">
        <v>13.625</v>
      </c>
      <c r="E337" s="5">
        <f t="shared" si="25"/>
        <v>1976</v>
      </c>
      <c r="F337">
        <v>-0.74739999999999995</v>
      </c>
      <c r="G337">
        <f t="shared" si="26"/>
        <v>1.7224299999999999</v>
      </c>
      <c r="H337">
        <f t="shared" si="27"/>
        <v>1.7224299999999999</v>
      </c>
    </row>
    <row r="338" spans="1:8" x14ac:dyDescent="0.25">
      <c r="A338" s="1"/>
      <c r="B338" s="4">
        <v>28126</v>
      </c>
      <c r="C338" t="s">
        <v>24</v>
      </c>
      <c r="D338" s="3">
        <v>13.666666666666666</v>
      </c>
      <c r="E338" s="5">
        <f t="shared" si="25"/>
        <v>1977</v>
      </c>
      <c r="F338">
        <v>0.64995999999999998</v>
      </c>
    </row>
  </sheetData>
  <scenarios current="0">
    <scenario name="one" count="11" user="pp" comment="Created by pp on 5/2/2015">
      <inputCells r="J2" val="2.44727948999265"/>
      <inputCells r="K2" val="6.07934967694303"/>
      <inputCells r="J3" val="0.347720040202742"/>
      <inputCells r="K3" val="3.61739153290966"/>
      <inputCells r="J4" val="0.776554919003634"/>
      <inputCells r="K4" val="0.589496773979215"/>
      <inputCells r="J5" val="1.02769968466291"/>
      <inputCells r="K5" val="-0.946007353755426"/>
      <inputCells r="K6" val="-1.43772752989027"/>
      <inputCells r="J6" val="-2.46737299932513"/>
      <inputCells r="J7" val="1.65313392088483"/>
    </scenario>
  </scenarios>
  <pageMargins left="0.25" right="0.25" top="0.75" bottom="0.75" header="0.3" footer="0.3"/>
  <pageSetup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zoomScale="60" zoomScaleNormal="60" workbookViewId="0">
      <selection activeCell="K10" sqref="K10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E2" t="s">
        <v>12</v>
      </c>
      <c r="F2" t="s">
        <v>9</v>
      </c>
      <c r="G2" t="s">
        <v>10</v>
      </c>
      <c r="H2" t="s">
        <v>11</v>
      </c>
      <c r="I2" t="s">
        <v>284</v>
      </c>
      <c r="J2">
        <v>2.3408125618802487</v>
      </c>
      <c r="K2">
        <v>8.8502870848259239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285</v>
      </c>
      <c r="J3">
        <v>4.7744121797289107</v>
      </c>
      <c r="K3">
        <v>-0.56099974769429461</v>
      </c>
    </row>
    <row r="4" spans="1:16" x14ac:dyDescent="0.25">
      <c r="A4" s="1"/>
      <c r="B4" t="s">
        <v>15</v>
      </c>
      <c r="C4" t="s">
        <v>1</v>
      </c>
      <c r="I4" t="s">
        <v>286</v>
      </c>
      <c r="J4">
        <v>0.76474394366881404</v>
      </c>
      <c r="K4">
        <v>-2.949556864124217E-2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287</v>
      </c>
      <c r="J5">
        <v>9.8074195218294372E-2</v>
      </c>
      <c r="K5">
        <v>0.31258821534996439</v>
      </c>
    </row>
    <row r="6" spans="1:16" x14ac:dyDescent="0.25">
      <c r="A6" s="1"/>
      <c r="B6" t="s">
        <v>20</v>
      </c>
      <c r="C6" t="s">
        <v>21</v>
      </c>
      <c r="I6" t="s">
        <v>288</v>
      </c>
      <c r="J6">
        <v>3.6475740461616013</v>
      </c>
      <c r="K6">
        <v>-0.90555405200772277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289</v>
      </c>
      <c r="J7">
        <v>1.1461264830863906</v>
      </c>
      <c r="K7">
        <v>40.285198395488493</v>
      </c>
    </row>
    <row r="8" spans="1:16" x14ac:dyDescent="0.25">
      <c r="A8" s="1"/>
      <c r="B8" t="s">
        <v>21</v>
      </c>
      <c r="I8" t="s">
        <v>290</v>
      </c>
      <c r="J8">
        <v>-0.54944925502174158</v>
      </c>
      <c r="K8">
        <v>-1.4899568202565119</v>
      </c>
    </row>
    <row r="9" spans="1:16" x14ac:dyDescent="0.25">
      <c r="A9" s="1">
        <v>1</v>
      </c>
      <c r="H9">
        <f>+AVERAGE(F11:F338)</f>
        <v>-1.25238572899789E-17</v>
      </c>
      <c r="I9" t="s">
        <v>291</v>
      </c>
      <c r="J9">
        <v>-2.2355507630524656</v>
      </c>
      <c r="K9">
        <v>-25.79133831030061</v>
      </c>
    </row>
    <row r="10" spans="1:16" x14ac:dyDescent="0.25">
      <c r="A10" s="1"/>
      <c r="K10" s="6">
        <f>+CORREL(J13:J230,K13:K230)</f>
        <v>0.28327413189968548</v>
      </c>
      <c r="L10">
        <f>+K10*P10</f>
        <v>0.19581161191222499</v>
      </c>
      <c r="P10">
        <f>+SUM(P13:P230)/(230-13)</f>
        <v>0.69124423963133641</v>
      </c>
    </row>
    <row r="11" spans="1:16" x14ac:dyDescent="0.25">
      <c r="A11" s="1"/>
      <c r="B11" t="s">
        <v>23</v>
      </c>
      <c r="C11" t="s">
        <v>24</v>
      </c>
      <c r="D11" s="2">
        <v>4.1666666666666664E-2</v>
      </c>
      <c r="E11" s="5">
        <v>1650</v>
      </c>
      <c r="F11">
        <v>0.34445999999999999</v>
      </c>
      <c r="K11" s="6">
        <f>+CORREL(J231:J335,K231:K335)</f>
        <v>9.6060608111009239E-3</v>
      </c>
      <c r="L11">
        <f>+K11*P11</f>
        <v>5.0317461391481029E-3</v>
      </c>
      <c r="P11">
        <f>+SUM(P231:P335)/(335-230)</f>
        <v>0.52380952380952384</v>
      </c>
    </row>
    <row r="12" spans="1:16" x14ac:dyDescent="0.25">
      <c r="A12" s="1"/>
      <c r="B12" t="s">
        <v>25</v>
      </c>
      <c r="C12" t="s">
        <v>24</v>
      </c>
      <c r="D12" s="2">
        <v>8.3333333333333329E-2</v>
      </c>
      <c r="E12" s="5">
        <f>+E11+1</f>
        <v>1651</v>
      </c>
      <c r="F12">
        <v>1.25427</v>
      </c>
      <c r="G12">
        <f>+(F13-F12)-(F12-F11)</f>
        <v>-1.4716800000000001</v>
      </c>
      <c r="H12">
        <f>+G12</f>
        <v>-1.4716800000000001</v>
      </c>
      <c r="K12" s="6">
        <f>+CORREL(J50:J336,K50:K336)</f>
        <v>0.16269755164935454</v>
      </c>
      <c r="L12">
        <f>+K12*P12</f>
        <v>0.10389808561467553</v>
      </c>
      <c r="P12">
        <f>+SUM(P50:P336)/(335-50)</f>
        <v>0.63859649122807016</v>
      </c>
    </row>
    <row r="13" spans="1:16" x14ac:dyDescent="0.25">
      <c r="A13" s="1"/>
      <c r="B13" t="s">
        <v>26</v>
      </c>
      <c r="C13" t="s">
        <v>24</v>
      </c>
      <c r="D13" s="2">
        <v>0.125</v>
      </c>
      <c r="E13" s="5">
        <f t="shared" ref="E13:E76" si="0">+E12+1</f>
        <v>1652</v>
      </c>
      <c r="F13">
        <v>0.69240000000000002</v>
      </c>
      <c r="G13">
        <f t="shared" ref="G13:G76" si="1">+(F14-F13)-(F13-F12)</f>
        <v>-0.72932999999999992</v>
      </c>
      <c r="H13">
        <f t="shared" ref="H13:H76" si="2">+G13</f>
        <v>-0.72932999999999992</v>
      </c>
      <c r="I13" s="5">
        <f>+E13</f>
        <v>1652</v>
      </c>
      <c r="J13">
        <f>+H13+CF*F13*(1+($I13-1850)*slope/1000)+F13*hQc*COS(2*PI()*$I13/qbo+$L13)+F13*hQs*SIN(2*PI()*$I13/qbo+$L13)+F13*hCs*SIN(2*PI()*$I13/cw)+F13*hCc*COS(2*PI()*$I13/cw) +mix*F13*(hQc*COS(2*PI()*$I13/qbo+$L13)+hQs*SIN(2*PI()*$I13/qbo+$L13))*(hCs*SIN(2*PI()*$I13/cw)+hCc*COS(2*PI()*$I13/cw))</f>
        <v>-4.0706126592142713</v>
      </c>
      <c r="K13">
        <f>fQc*COS(2*PI()*$I13/qbo+$L13)+fQs*SIN(2*PI()*$I13/qbo+$L13)+fCs*SIN(2*PI()*$I13/cw)+fCc*COS(2*PI()*$I13/cw)</f>
        <v>-2.7477378078773658</v>
      </c>
      <c r="L13">
        <f>+QMA*COS(2*PI()*$I13/QM+QMP)</f>
        <v>-7.0519406010434826E-2</v>
      </c>
      <c r="N13">
        <f>+$K$8*COS(2*PI()*$I13/$K$6+$K$5*COS($J$5*$I13+$K$8)+$K$7)</f>
        <v>-1.3611575912754765</v>
      </c>
      <c r="P13">
        <f>+IF(J13*K13&gt;0,1, 0)</f>
        <v>1</v>
      </c>
    </row>
    <row r="14" spans="1:16" x14ac:dyDescent="0.25">
      <c r="A14" s="1"/>
      <c r="B14" t="s">
        <v>27</v>
      </c>
      <c r="C14" t="s">
        <v>24</v>
      </c>
      <c r="D14" s="2">
        <v>0.16666666666666666</v>
      </c>
      <c r="E14" s="5">
        <f t="shared" si="0"/>
        <v>1653</v>
      </c>
      <c r="F14">
        <v>-0.5988</v>
      </c>
      <c r="G14">
        <f t="shared" si="1"/>
        <v>1.2937099999999999</v>
      </c>
      <c r="H14">
        <f t="shared" si="2"/>
        <v>1.2937099999999999</v>
      </c>
      <c r="I14" s="5">
        <f t="shared" ref="I14:I77" si="3">+E14</f>
        <v>1653</v>
      </c>
      <c r="J14">
        <f>+H14+CF*F14*(1+($I14-1850)*slope/1000)+F14*hQc*COS(2*PI()*$I14/qbo+$L14)+F14*hQs*SIN(2*PI()*$I14/qbo+$L14)+F14*hCs*SIN(2*PI()*$I14/cw)+F14*hCc*COS(2*PI()*$I14/cw) +mix*F14*(hQc*COS(2*PI()*$I14/qbo+$L14)+hQs*SIN(2*PI()*$I14/qbo+$L14))*(hCs*SIN(2*PI()*$I14/cw)+hCc*COS(2*PI()*$I14/cw))</f>
        <v>-7.8118298738141387</v>
      </c>
      <c r="K14">
        <f>fQc*COS(2*PI()*$I14/qbo+$L14)+fQs*SIN(2*PI()*$I14/qbo+$L14)+fCs*SIN(2*PI()*$I14/cw)+fCc*COS(2*PI()*$I14/cw)</f>
        <v>-3.4670618310964292</v>
      </c>
      <c r="L14">
        <f>+QMA*COS(2*PI()*$I14/QM+QMP)</f>
        <v>-0.15430679748687667</v>
      </c>
      <c r="P14">
        <f t="shared" ref="P14:P77" si="4">+IF(J14*K14&gt;0,1, 0)</f>
        <v>1</v>
      </c>
    </row>
    <row r="15" spans="1:16" x14ac:dyDescent="0.25">
      <c r="A15" s="1"/>
      <c r="B15" t="s">
        <v>28</v>
      </c>
      <c r="C15" t="s">
        <v>24</v>
      </c>
      <c r="D15" s="2">
        <v>0.20833333333333334</v>
      </c>
      <c r="E15" s="5">
        <f t="shared" si="0"/>
        <v>1654</v>
      </c>
      <c r="F15">
        <v>-0.59628999999999999</v>
      </c>
      <c r="G15">
        <f t="shared" si="1"/>
        <v>0.75729999999999997</v>
      </c>
      <c r="H15">
        <f t="shared" si="2"/>
        <v>0.75729999999999997</v>
      </c>
      <c r="I15" s="5">
        <f t="shared" si="3"/>
        <v>1654</v>
      </c>
      <c r="J15">
        <f>+H15+CF*F15*(1+($I15-1850)*slope/1000)+F15*hQc*COS(2*PI()*$I15/qbo+$L15)+F15*hQs*SIN(2*PI()*$I15/qbo+$L15)+F15*hCs*SIN(2*PI()*$I15/cw)+F15*hCc*COS(2*PI()*$I15/cw) +mix*F15*(hQc*COS(2*PI()*$I15/qbo+$L15)+hQs*SIN(2*PI()*$I15/qbo+$L15))*(hCs*SIN(2*PI()*$I15/cw)+hCc*COS(2*PI()*$I15/cw))</f>
        <v>-1.6634009783074508</v>
      </c>
      <c r="K15">
        <f>fQc*COS(2*PI()*$I15/qbo+$L15)+fQs*SIN(2*PI()*$I15/qbo+$L15)+fCs*SIN(2*PI()*$I15/cw)+fCc*COS(2*PI()*$I15/cw)</f>
        <v>-3.3972386576282729</v>
      </c>
      <c r="L15">
        <f>+QMA*COS(2*PI()*$I15/QM+QMP)</f>
        <v>-0.23434814198690929</v>
      </c>
      <c r="P15">
        <f t="shared" si="4"/>
        <v>1</v>
      </c>
    </row>
    <row r="16" spans="1:16" x14ac:dyDescent="0.25">
      <c r="A16" s="1"/>
      <c r="B16" t="s">
        <v>29</v>
      </c>
      <c r="C16" t="s">
        <v>24</v>
      </c>
      <c r="D16" s="2">
        <v>0.25</v>
      </c>
      <c r="E16" s="5">
        <f t="shared" si="0"/>
        <v>1655</v>
      </c>
      <c r="F16">
        <v>0.16352</v>
      </c>
      <c r="G16">
        <f t="shared" si="1"/>
        <v>0.10324</v>
      </c>
      <c r="H16">
        <f t="shared" si="2"/>
        <v>0.10324</v>
      </c>
      <c r="I16" s="5">
        <f t="shared" si="3"/>
        <v>1655</v>
      </c>
      <c r="J16">
        <f>+H16+CF*F16*(1+($I16-1850)*slope/1000)+F16*hQc*COS(2*PI()*$I16/qbo+$L16)+F16*hQs*SIN(2*PI()*$I16/qbo+$L16)+F16*hCs*SIN(2*PI()*$I16/cw)+F16*hCc*COS(2*PI()*$I16/cw) +mix*F16*(hQc*COS(2*PI()*$I16/qbo+$L16)+hQs*SIN(2*PI()*$I16/qbo+$L16))*(hCs*SIN(2*PI()*$I16/cw)+hCc*COS(2*PI()*$I16/cw))</f>
        <v>0.97661121547763563</v>
      </c>
      <c r="K16">
        <f>fQc*COS(2*PI()*$I16/qbo+$L16)+fQs*SIN(2*PI()*$I16/qbo+$L16)+fCs*SIN(2*PI()*$I16/cw)+fCc*COS(2*PI()*$I16/cw)</f>
        <v>-0.62611340915415359</v>
      </c>
      <c r="L16">
        <f>+QMA*COS(2*PI()*$I16/QM+QMP)</f>
        <v>-0.30870030647010493</v>
      </c>
      <c r="P16">
        <f t="shared" si="4"/>
        <v>0</v>
      </c>
    </row>
    <row r="17" spans="1:16" x14ac:dyDescent="0.25">
      <c r="A17" s="1"/>
      <c r="B17" t="s">
        <v>30</v>
      </c>
      <c r="C17" t="s">
        <v>24</v>
      </c>
      <c r="D17" s="2">
        <v>0.29166666666666669</v>
      </c>
      <c r="E17" s="5">
        <f t="shared" si="0"/>
        <v>1656</v>
      </c>
      <c r="F17">
        <v>1.02657</v>
      </c>
      <c r="G17">
        <f t="shared" si="1"/>
        <v>-1.7184300000000001</v>
      </c>
      <c r="H17">
        <f t="shared" si="2"/>
        <v>-1.7184300000000001</v>
      </c>
      <c r="I17" s="5">
        <f t="shared" si="3"/>
        <v>1656</v>
      </c>
      <c r="J17">
        <f>+H17+CF*F17*(1+($I17-1850)*slope/1000)+F17*hQc*COS(2*PI()*$I17/qbo+$L17)+F17*hQs*SIN(2*PI()*$I17/qbo+$L17)+F17*hCs*SIN(2*PI()*$I17/cw)+F17*hCc*COS(2*PI()*$I17/cw) +mix*F17*(hQc*COS(2*PI()*$I17/qbo+$L17)+hQs*SIN(2*PI()*$I17/qbo+$L17))*(hCs*SIN(2*PI()*$I17/cw)+hCc*COS(2*PI()*$I17/cw))</f>
        <v>5.6113544907727828</v>
      </c>
      <c r="K17">
        <f>fQc*COS(2*PI()*$I17/qbo+$L17)+fQs*SIN(2*PI()*$I17/qbo+$L17)+fCs*SIN(2*PI()*$I17/cw)+fCc*COS(2*PI()*$I17/cw)</f>
        <v>1.508981103123225</v>
      </c>
      <c r="L17">
        <f>+QMA*COS(2*PI()*$I17/QM+QMP)</f>
        <v>-0.37555827193863722</v>
      </c>
      <c r="P17">
        <f t="shared" si="4"/>
        <v>1</v>
      </c>
    </row>
    <row r="18" spans="1:16" x14ac:dyDescent="0.25">
      <c r="A18" s="1"/>
      <c r="B18" t="s">
        <v>31</v>
      </c>
      <c r="C18" t="s">
        <v>24</v>
      </c>
      <c r="D18" s="2">
        <v>0.33333333333333331</v>
      </c>
      <c r="E18" s="5">
        <f t="shared" si="0"/>
        <v>1657</v>
      </c>
      <c r="F18">
        <v>0.17119000000000001</v>
      </c>
      <c r="G18">
        <f t="shared" si="1"/>
        <v>1.14673</v>
      </c>
      <c r="H18">
        <f t="shared" si="2"/>
        <v>1.14673</v>
      </c>
      <c r="I18" s="5">
        <f t="shared" si="3"/>
        <v>1657</v>
      </c>
      <c r="J18">
        <f>+H18+CF*F18*(1+($I18-1850)*slope/1000)+F18*hQc*COS(2*PI()*$I18/qbo+$L18)+F18*hQs*SIN(2*PI()*$I18/qbo+$L18)+F18*hCs*SIN(2*PI()*$I18/cw)+F18*hCc*COS(2*PI()*$I18/cw) +mix*F18*(hQc*COS(2*PI()*$I18/qbo+$L18)+hQs*SIN(2*PI()*$I18/qbo+$L18))*(hCs*SIN(2*PI()*$I18/cw)+hCc*COS(2*PI()*$I18/cw))</f>
        <v>2.9928787603423213</v>
      </c>
      <c r="K18">
        <f>fQc*COS(2*PI()*$I18/qbo+$L18)+fQs*SIN(2*PI()*$I18/qbo+$L18)+fCs*SIN(2*PI()*$I18/cw)+fCc*COS(2*PI()*$I18/cw)</f>
        <v>3.4795650151754116</v>
      </c>
      <c r="L18">
        <f>+QMA*COS(2*PI()*$I18/QM+QMP)</f>
        <v>-0.43329895319166711</v>
      </c>
      <c r="P18">
        <f t="shared" si="4"/>
        <v>1</v>
      </c>
    </row>
    <row r="19" spans="1:16" x14ac:dyDescent="0.25">
      <c r="A19" s="1"/>
      <c r="B19" t="s">
        <v>32</v>
      </c>
      <c r="C19" t="s">
        <v>24</v>
      </c>
      <c r="D19" s="2">
        <v>0.375</v>
      </c>
      <c r="E19" s="5">
        <f t="shared" si="0"/>
        <v>1658</v>
      </c>
      <c r="F19">
        <v>0.46254000000000001</v>
      </c>
      <c r="G19">
        <f t="shared" si="1"/>
        <v>-0.77851999999999999</v>
      </c>
      <c r="H19">
        <f t="shared" si="2"/>
        <v>-0.77851999999999999</v>
      </c>
      <c r="I19" s="5">
        <f t="shared" si="3"/>
        <v>1658</v>
      </c>
      <c r="J19">
        <f>+H19+CF*F19*(1+($I19-1850)*slope/1000)+F19*hQc*COS(2*PI()*$I19/qbo+$L19)+F19*hQs*SIN(2*PI()*$I19/qbo+$L19)+F19*hCs*SIN(2*PI()*$I19/cw)+F19*hCc*COS(2*PI()*$I19/cw) +mix*F19*(hQc*COS(2*PI()*$I19/qbo+$L19)+hQs*SIN(2*PI()*$I19/qbo+$L19))*(hCs*SIN(2*PI()*$I19/cw)+hCc*COS(2*PI()*$I19/cw))</f>
        <v>1.6436126835992853</v>
      </c>
      <c r="K19">
        <f>fQc*COS(2*PI()*$I19/qbo+$L19)+fQs*SIN(2*PI()*$I19/qbo+$L19)+fCs*SIN(2*PI()*$I19/cw)+fCc*COS(2*PI()*$I19/cw)</f>
        <v>3.7221695502297161</v>
      </c>
      <c r="L19">
        <f>+QMA*COS(2*PI()*$I19/QM+QMP)</f>
        <v>-0.48052060184256634</v>
      </c>
      <c r="P19">
        <f t="shared" si="4"/>
        <v>1</v>
      </c>
    </row>
    <row r="20" spans="1:16" x14ac:dyDescent="0.25">
      <c r="A20" s="1"/>
      <c r="B20" t="s">
        <v>33</v>
      </c>
      <c r="C20" t="s">
        <v>24</v>
      </c>
      <c r="D20" s="2">
        <v>0.41666666666666669</v>
      </c>
      <c r="E20" s="5">
        <f t="shared" si="0"/>
        <v>1659</v>
      </c>
      <c r="F20">
        <v>-2.4629999999999999E-2</v>
      </c>
      <c r="G20">
        <f t="shared" si="1"/>
        <v>0.71074999999999999</v>
      </c>
      <c r="H20">
        <f t="shared" si="2"/>
        <v>0.71074999999999999</v>
      </c>
      <c r="I20" s="5">
        <f t="shared" si="3"/>
        <v>1659</v>
      </c>
      <c r="J20">
        <f>+H20+CF*F20*(1+($I20-1850)*slope/1000)+F20*hQc*COS(2*PI()*$I20/qbo+$L20)+F20*hQs*SIN(2*PI()*$I20/qbo+$L20)+F20*hCs*SIN(2*PI()*$I20/cw)+F20*hCc*COS(2*PI()*$I20/cw) +mix*F20*(hQc*COS(2*PI()*$I20/qbo+$L20)+hQs*SIN(2*PI()*$I20/qbo+$L20))*(hCs*SIN(2*PI()*$I20/cw)+hCc*COS(2*PI()*$I20/cw))</f>
        <v>0.57322558453684291</v>
      </c>
      <c r="K20">
        <f>fQc*COS(2*PI()*$I20/qbo+$L20)+fQs*SIN(2*PI()*$I20/qbo+$L20)+fCs*SIN(2*PI()*$I20/cw)+fCc*COS(2*PI()*$I20/cw)</f>
        <v>1.6895528283025163</v>
      </c>
      <c r="L20">
        <f>+QMA*COS(2*PI()*$I20/QM+QMP)</f>
        <v>-0.51607683602716958</v>
      </c>
      <c r="P20">
        <f t="shared" si="4"/>
        <v>1</v>
      </c>
    </row>
    <row r="21" spans="1:16" x14ac:dyDescent="0.25">
      <c r="A21" s="1"/>
      <c r="B21" t="s">
        <v>34</v>
      </c>
      <c r="C21" t="s">
        <v>24</v>
      </c>
      <c r="D21" s="2">
        <v>0.45833333333333331</v>
      </c>
      <c r="E21" s="5">
        <f t="shared" si="0"/>
        <v>1660</v>
      </c>
      <c r="F21">
        <v>0.19894999999999999</v>
      </c>
      <c r="G21">
        <f t="shared" si="1"/>
        <v>0.13978000000000002</v>
      </c>
      <c r="H21">
        <f t="shared" si="2"/>
        <v>0.13978000000000002</v>
      </c>
      <c r="I21" s="5">
        <f t="shared" si="3"/>
        <v>1660</v>
      </c>
      <c r="J21">
        <f>+H21+CF*F21*(1+($I21-1850)*slope/1000)+F21*hQc*COS(2*PI()*$I21/qbo+$L21)+F21*hQs*SIN(2*PI()*$I21/qbo+$L21)+F21*hCs*SIN(2*PI()*$I21/cw)+F21*hCc*COS(2*PI()*$I21/cw) +mix*F21*(hQc*COS(2*PI()*$I21/qbo+$L21)+hQs*SIN(2*PI()*$I21/qbo+$L21))*(hCs*SIN(2*PI()*$I21/cw)+hCc*COS(2*PI()*$I21/cw))</f>
        <v>1.9170957781930758</v>
      </c>
      <c r="K21">
        <f>fQc*COS(2*PI()*$I21/qbo+$L21)+fQs*SIN(2*PI()*$I21/qbo+$L21)+fCs*SIN(2*PI()*$I21/cw)+fCc*COS(2*PI()*$I21/cw)</f>
        <v>-0.2820726029157461</v>
      </c>
      <c r="L21">
        <f>+QMA*COS(2*PI()*$I21/QM+QMP)</f>
        <v>-0.53910447067698886</v>
      </c>
      <c r="P21">
        <f t="shared" si="4"/>
        <v>0</v>
      </c>
    </row>
    <row r="22" spans="1:16" x14ac:dyDescent="0.25">
      <c r="A22" s="1"/>
      <c r="B22" t="s">
        <v>35</v>
      </c>
      <c r="C22" t="s">
        <v>24</v>
      </c>
      <c r="D22" s="2">
        <v>0.5</v>
      </c>
      <c r="E22" s="5">
        <f t="shared" si="0"/>
        <v>1661</v>
      </c>
      <c r="F22">
        <v>0.56230999999999998</v>
      </c>
      <c r="G22">
        <f t="shared" si="1"/>
        <v>-0.79430999999999996</v>
      </c>
      <c r="H22">
        <f t="shared" si="2"/>
        <v>-0.79430999999999996</v>
      </c>
      <c r="I22" s="5">
        <f t="shared" si="3"/>
        <v>1661</v>
      </c>
      <c r="J22">
        <f>+H22+CF*F22*(1+($I22-1850)*slope/1000)+F22*hQc*COS(2*PI()*$I22/qbo+$L22)+F22*hQs*SIN(2*PI()*$I22/qbo+$L22)+F22*hCs*SIN(2*PI()*$I22/cw)+F22*hCc*COS(2*PI()*$I22/cw) +mix*F22*(hQc*COS(2*PI()*$I22/qbo+$L22)+hQs*SIN(2*PI()*$I22/qbo+$L22))*(hCs*SIN(2*PI()*$I22/cw)+hCc*COS(2*PI()*$I22/cw))</f>
        <v>3.6028629796833709</v>
      </c>
      <c r="K22">
        <f>fQc*COS(2*PI()*$I22/qbo+$L22)+fQs*SIN(2*PI()*$I22/qbo+$L22)+fCs*SIN(2*PI()*$I22/cw)+fCc*COS(2*PI()*$I22/cw)</f>
        <v>-3.1871942980974355</v>
      </c>
      <c r="L22">
        <f>+QMA*COS(2*PI()*$I22/QM+QMP)</f>
        <v>-0.54904447273216062</v>
      </c>
      <c r="P22">
        <f t="shared" si="4"/>
        <v>0</v>
      </c>
    </row>
    <row r="23" spans="1:16" x14ac:dyDescent="0.25">
      <c r="A23" s="1"/>
      <c r="B23" t="s">
        <v>36</v>
      </c>
      <c r="C23" t="s">
        <v>24</v>
      </c>
      <c r="D23" s="2">
        <v>0.54166666666666663</v>
      </c>
      <c r="E23" s="5">
        <f t="shared" si="0"/>
        <v>1662</v>
      </c>
      <c r="F23">
        <v>0.13136</v>
      </c>
      <c r="G23">
        <f t="shared" si="1"/>
        <v>-7.5390000000000068E-2</v>
      </c>
      <c r="H23">
        <f t="shared" si="2"/>
        <v>-7.5390000000000068E-2</v>
      </c>
      <c r="I23" s="5">
        <f t="shared" si="3"/>
        <v>1662</v>
      </c>
      <c r="J23">
        <f>+H23+CF*F23*(1+($I23-1850)*slope/1000)+F23*hQc*COS(2*PI()*$I23/qbo+$L23)+F23*hQs*SIN(2*PI()*$I23/qbo+$L23)+F23*hCs*SIN(2*PI()*$I23/cw)+F23*hCc*COS(2*PI()*$I23/cw) +mix*F23*(hQc*COS(2*PI()*$I23/qbo+$L23)+hQs*SIN(2*PI()*$I23/qbo+$L23))*(hCs*SIN(2*PI()*$I23/cw)+hCc*COS(2*PI()*$I23/cw))</f>
        <v>-0.24636936169210488</v>
      </c>
      <c r="K23">
        <f>fQc*COS(2*PI()*$I23/qbo+$L23)+fQs*SIN(2*PI()*$I23/qbo+$L23)+fCs*SIN(2*PI()*$I23/cw)+fCc*COS(2*PI()*$I23/cw)</f>
        <v>-3.5269456016944662</v>
      </c>
      <c r="L23">
        <f>+QMA*COS(2*PI()*$I23/QM+QMP)</f>
        <v>-0.54565553257282051</v>
      </c>
      <c r="P23">
        <f t="shared" si="4"/>
        <v>1</v>
      </c>
    </row>
    <row r="24" spans="1:16" x14ac:dyDescent="0.25">
      <c r="A24" s="1"/>
      <c r="B24" t="s">
        <v>37</v>
      </c>
      <c r="C24" t="s">
        <v>24</v>
      </c>
      <c r="D24" s="2">
        <v>0.58333333333333337</v>
      </c>
      <c r="E24" s="5">
        <f t="shared" si="0"/>
        <v>1663</v>
      </c>
      <c r="F24">
        <v>-0.37497999999999998</v>
      </c>
      <c r="G24">
        <f t="shared" si="1"/>
        <v>-9.8799999999999999E-2</v>
      </c>
      <c r="H24">
        <f t="shared" si="2"/>
        <v>-9.8799999999999999E-2</v>
      </c>
      <c r="I24" s="5">
        <f t="shared" si="3"/>
        <v>1663</v>
      </c>
      <c r="J24">
        <f>+H24+CF*F24*(1+($I24-1850)*slope/1000)+F24*hQc*COS(2*PI()*$I24/qbo+$L24)+F24*hQs*SIN(2*PI()*$I24/qbo+$L24)+F24*hCs*SIN(2*PI()*$I24/cw)+F24*hCc*COS(2*PI()*$I24/cw) +mix*F24*(hQc*COS(2*PI()*$I24/qbo+$L24)+hQs*SIN(2*PI()*$I24/qbo+$L24))*(hCs*SIN(2*PI()*$I24/cw)+hCc*COS(2*PI()*$I24/cw))</f>
        <v>-5.5847737866371538</v>
      </c>
      <c r="K24">
        <f>fQc*COS(2*PI()*$I24/qbo+$L24)+fQs*SIN(2*PI()*$I24/qbo+$L24)+fCs*SIN(2*PI()*$I24/cw)+fCc*COS(2*PI()*$I24/cw)</f>
        <v>-2.9325420799843847</v>
      </c>
      <c r="L24">
        <f>+QMA*COS(2*PI()*$I24/QM+QMP)</f>
        <v>-0.52901992220022609</v>
      </c>
      <c r="P24">
        <f t="shared" si="4"/>
        <v>1</v>
      </c>
    </row>
    <row r="25" spans="1:16" x14ac:dyDescent="0.25">
      <c r="A25" s="1"/>
      <c r="B25" t="s">
        <v>38</v>
      </c>
      <c r="C25" t="s">
        <v>24</v>
      </c>
      <c r="D25" s="2">
        <v>0.625</v>
      </c>
      <c r="E25" s="5">
        <f t="shared" si="0"/>
        <v>1664</v>
      </c>
      <c r="F25">
        <v>-0.98011999999999999</v>
      </c>
      <c r="G25">
        <f t="shared" si="1"/>
        <v>1.1643399999999999</v>
      </c>
      <c r="H25">
        <f t="shared" si="2"/>
        <v>1.1643399999999999</v>
      </c>
      <c r="I25" s="5">
        <f t="shared" si="3"/>
        <v>1664</v>
      </c>
      <c r="J25">
        <f>+H25+CF*F25*(1+($I25-1850)*slope/1000)+F25*hQc*COS(2*PI()*$I25/qbo+$L25)+F25*hQs*SIN(2*PI()*$I25/qbo+$L25)+F25*hCs*SIN(2*PI()*$I25/cw)+F25*hCc*COS(2*PI()*$I25/cw) +mix*F25*(hQc*COS(2*PI()*$I25/qbo+$L25)+hQs*SIN(2*PI()*$I25/qbo+$L25))*(hCs*SIN(2*PI()*$I25/cw)+hCc*COS(2*PI()*$I25/cw))</f>
        <v>-1.2311142310788457</v>
      </c>
      <c r="K25">
        <f>fQc*COS(2*PI()*$I25/qbo+$L25)+fQs*SIN(2*PI()*$I25/qbo+$L25)+fCs*SIN(2*PI()*$I25/cw)+fCc*COS(2*PI()*$I25/cw)</f>
        <v>-0.55123572499929718</v>
      </c>
      <c r="L25">
        <f>+QMA*COS(2*PI()*$I25/QM+QMP)</f>
        <v>-0.49954149795092373</v>
      </c>
      <c r="P25">
        <f t="shared" si="4"/>
        <v>1</v>
      </c>
    </row>
    <row r="26" spans="1:16" x14ac:dyDescent="0.25">
      <c r="A26" s="1"/>
      <c r="B26" t="s">
        <v>39</v>
      </c>
      <c r="C26" t="s">
        <v>24</v>
      </c>
      <c r="D26" s="2">
        <v>0.66666666666666663</v>
      </c>
      <c r="E26" s="5">
        <f t="shared" si="0"/>
        <v>1665</v>
      </c>
      <c r="F26">
        <v>-0.42092000000000002</v>
      </c>
      <c r="G26">
        <f t="shared" si="1"/>
        <v>-0.38831999999999989</v>
      </c>
      <c r="H26">
        <f t="shared" si="2"/>
        <v>-0.38831999999999989</v>
      </c>
      <c r="I26" s="5">
        <f t="shared" si="3"/>
        <v>1665</v>
      </c>
      <c r="J26">
        <f>+H26+CF*F26*(1+($I26-1850)*slope/1000)+F26*hQc*COS(2*PI()*$I26/qbo+$L26)+F26*hQs*SIN(2*PI()*$I26/qbo+$L26)+F26*hCs*SIN(2*PI()*$I26/cw)+F26*hCc*COS(2*PI()*$I26/cw) +mix*F26*(hQc*COS(2*PI()*$I26/qbo+$L26)+hQs*SIN(2*PI()*$I26/qbo+$L26))*(hCs*SIN(2*PI()*$I26/cw)+hCc*COS(2*PI()*$I26/cw))</f>
        <v>-3.018511518398943</v>
      </c>
      <c r="K26">
        <f>fQc*COS(2*PI()*$I26/qbo+$L26)+fQs*SIN(2*PI()*$I26/qbo+$L26)+fCs*SIN(2*PI()*$I26/cw)+fCc*COS(2*PI()*$I26/cw)</f>
        <v>2.1864282870314193</v>
      </c>
      <c r="L26">
        <f>+QMA*COS(2*PI()*$I26/QM+QMP)</f>
        <v>-0.45793589623128383</v>
      </c>
      <c r="P26">
        <f t="shared" si="4"/>
        <v>0</v>
      </c>
    </row>
    <row r="27" spans="1:16" x14ac:dyDescent="0.25">
      <c r="A27" s="1"/>
      <c r="B27" t="s">
        <v>40</v>
      </c>
      <c r="C27" t="s">
        <v>24</v>
      </c>
      <c r="D27" s="2">
        <v>0.70833333333333337</v>
      </c>
      <c r="E27" s="5">
        <f t="shared" si="0"/>
        <v>1666</v>
      </c>
      <c r="F27">
        <v>-0.25003999999999998</v>
      </c>
      <c r="G27">
        <f t="shared" si="1"/>
        <v>-0.16959000000000005</v>
      </c>
      <c r="H27">
        <f t="shared" si="2"/>
        <v>-0.16959000000000005</v>
      </c>
      <c r="I27" s="5">
        <f t="shared" si="3"/>
        <v>1666</v>
      </c>
      <c r="J27">
        <f>+H27+CF*F27*(1+($I27-1850)*slope/1000)+F27*hQc*COS(2*PI()*$I27/qbo+$L27)+F27*hQs*SIN(2*PI()*$I27/qbo+$L27)+F27*hCs*SIN(2*PI()*$I27/cw)+F27*hCc*COS(2*PI()*$I27/cw) +mix*F27*(hQc*COS(2*PI()*$I27/qbo+$L27)+hQs*SIN(2*PI()*$I27/qbo+$L27))*(hCs*SIN(2*PI()*$I27/cw)+hCc*COS(2*PI()*$I27/cw))</f>
        <v>-2.6440747127000304</v>
      </c>
      <c r="K27">
        <f>fQc*COS(2*PI()*$I27/qbo+$L27)+fQs*SIN(2*PI()*$I27/qbo+$L27)+fCs*SIN(2*PI()*$I27/cw)+fCc*COS(2*PI()*$I27/cw)</f>
        <v>3.3428756402965698</v>
      </c>
      <c r="L27">
        <f>+QMA*COS(2*PI()*$I27/QM+QMP)</f>
        <v>-0.40521316028670135</v>
      </c>
      <c r="P27">
        <f t="shared" si="4"/>
        <v>0</v>
      </c>
    </row>
    <row r="28" spans="1:16" x14ac:dyDescent="0.25">
      <c r="A28" s="1"/>
      <c r="B28" t="s">
        <v>41</v>
      </c>
      <c r="C28" t="s">
        <v>24</v>
      </c>
      <c r="D28" s="2">
        <v>0.75</v>
      </c>
      <c r="E28" s="5">
        <f t="shared" si="0"/>
        <v>1667</v>
      </c>
      <c r="F28">
        <v>-0.24875</v>
      </c>
      <c r="G28">
        <f t="shared" si="1"/>
        <v>-0.28654000000000002</v>
      </c>
      <c r="H28">
        <f t="shared" si="2"/>
        <v>-0.28654000000000002</v>
      </c>
      <c r="I28" s="5">
        <f t="shared" si="3"/>
        <v>1667</v>
      </c>
      <c r="J28">
        <f>+H28+CF*F28*(1+($I28-1850)*slope/1000)+F28*hQc*COS(2*PI()*$I28/qbo+$L28)+F28*hQs*SIN(2*PI()*$I28/qbo+$L28)+F28*hCs*SIN(2*PI()*$I28/cw)+F28*hCc*COS(2*PI()*$I28/cw) +mix*F28*(hQc*COS(2*PI()*$I28/qbo+$L28)+hQs*SIN(2*PI()*$I28/qbo+$L28))*(hCs*SIN(2*PI()*$I28/cw)+hCc*COS(2*PI()*$I28/cw))</f>
        <v>-1.866865434876626</v>
      </c>
      <c r="K28">
        <f>fQc*COS(2*PI()*$I28/qbo+$L28)+fQs*SIN(2*PI()*$I28/qbo+$L28)+fCs*SIN(2*PI()*$I28/cw)+fCc*COS(2*PI()*$I28/cw)</f>
        <v>3.7484033405291011</v>
      </c>
      <c r="L28">
        <f>+QMA*COS(2*PI()*$I28/QM+QMP)</f>
        <v>-0.34265321976899493</v>
      </c>
      <c r="P28">
        <f t="shared" si="4"/>
        <v>0</v>
      </c>
    </row>
    <row r="29" spans="1:16" x14ac:dyDescent="0.25">
      <c r="A29" s="1"/>
      <c r="B29" t="s">
        <v>42</v>
      </c>
      <c r="C29" t="s">
        <v>24</v>
      </c>
      <c r="D29" s="2">
        <v>0.79166666666666663</v>
      </c>
      <c r="E29" s="5">
        <f t="shared" si="0"/>
        <v>1668</v>
      </c>
      <c r="F29">
        <v>-0.53400000000000003</v>
      </c>
      <c r="G29">
        <f t="shared" si="1"/>
        <v>0.54977000000000009</v>
      </c>
      <c r="H29">
        <f t="shared" si="2"/>
        <v>0.54977000000000009</v>
      </c>
      <c r="I29" s="5">
        <f t="shared" si="3"/>
        <v>1668</v>
      </c>
      <c r="J29">
        <f>+H29+CF*F29*(1+($I29-1850)*slope/1000)+F29*hQc*COS(2*PI()*$I29/qbo+$L29)+F29*hQs*SIN(2*PI()*$I29/qbo+$L29)+F29*hCs*SIN(2*PI()*$I29/cw)+F29*hCc*COS(2*PI()*$I29/cw) +mix*F29*(hQc*COS(2*PI()*$I29/qbo+$L29)+hQs*SIN(2*PI()*$I29/qbo+$L29))*(hCs*SIN(2*PI()*$I29/cw)+hCc*COS(2*PI()*$I29/cw))</f>
        <v>-2.9228770854446351</v>
      </c>
      <c r="K29">
        <f>fQc*COS(2*PI()*$I29/qbo+$L29)+fQs*SIN(2*PI()*$I29/qbo+$L29)+fCs*SIN(2*PI()*$I29/cw)+fCc*COS(2*PI()*$I29/cw)</f>
        <v>1.2805147011259539</v>
      </c>
      <c r="L29">
        <f>+QMA*COS(2*PI()*$I29/QM+QMP)</f>
        <v>-0.27177481837469897</v>
      </c>
      <c r="P29">
        <f t="shared" si="4"/>
        <v>0</v>
      </c>
    </row>
    <row r="30" spans="1:16" x14ac:dyDescent="0.25">
      <c r="A30" s="1"/>
      <c r="B30" t="s">
        <v>43</v>
      </c>
      <c r="C30" t="s">
        <v>24</v>
      </c>
      <c r="D30" s="2">
        <v>0.83333333333333337</v>
      </c>
      <c r="E30" s="5">
        <f t="shared" si="0"/>
        <v>1669</v>
      </c>
      <c r="F30">
        <v>-0.26948</v>
      </c>
      <c r="G30">
        <f t="shared" si="1"/>
        <v>-0.27870000000000006</v>
      </c>
      <c r="H30">
        <f t="shared" si="2"/>
        <v>-0.27870000000000006</v>
      </c>
      <c r="I30" s="5">
        <f t="shared" si="3"/>
        <v>1669</v>
      </c>
      <c r="J30">
        <f>+H30+CF*F30*(1+($I30-1850)*slope/1000)+F30*hQc*COS(2*PI()*$I30/qbo+$L30)+F30*hQs*SIN(2*PI()*$I30/qbo+$L30)+F30*hCs*SIN(2*PI()*$I30/cw)+F30*hCc*COS(2*PI()*$I30/cw) +mix*F30*(hQc*COS(2*PI()*$I30/qbo+$L30)+hQs*SIN(2*PI()*$I30/qbo+$L30))*(hCs*SIN(2*PI()*$I30/cw)+hCc*COS(2*PI()*$I30/cw))</f>
        <v>-1.2330505711567057</v>
      </c>
      <c r="K30">
        <f>fQc*COS(2*PI()*$I30/qbo+$L30)+fQs*SIN(2*PI()*$I30/qbo+$L30)+fCs*SIN(2*PI()*$I30/cw)+fCc*COS(2*PI()*$I30/cw)</f>
        <v>-0.70877767820764515</v>
      </c>
      <c r="L30">
        <f>+QMA*COS(2*PI()*$I30/QM+QMP)</f>
        <v>-0.19429864388665974</v>
      </c>
      <c r="P30">
        <f t="shared" si="4"/>
        <v>1</v>
      </c>
    </row>
    <row r="31" spans="1:16" x14ac:dyDescent="0.25">
      <c r="A31" s="1"/>
      <c r="B31" t="s">
        <v>44</v>
      </c>
      <c r="C31" t="s">
        <v>24</v>
      </c>
      <c r="D31" s="2">
        <v>0.875</v>
      </c>
      <c r="E31" s="5">
        <f t="shared" si="0"/>
        <v>1670</v>
      </c>
      <c r="F31">
        <v>-0.28366000000000002</v>
      </c>
      <c r="G31">
        <f t="shared" si="1"/>
        <v>0.70045000000000002</v>
      </c>
      <c r="H31">
        <f t="shared" si="2"/>
        <v>0.70045000000000002</v>
      </c>
      <c r="I31" s="5">
        <f t="shared" si="3"/>
        <v>1670</v>
      </c>
      <c r="J31">
        <f>+H31+CF*F31*(1+($I31-1850)*slope/1000)+F31*hQc*COS(2*PI()*$I31/qbo+$L31)+F31*hQs*SIN(2*PI()*$I31/qbo+$L31)+F31*hCs*SIN(2*PI()*$I31/cw)+F31*hCc*COS(2*PI()*$I31/cw) +mix*F31*(hQc*COS(2*PI()*$I31/qbo+$L31)+hQs*SIN(2*PI()*$I31/qbo+$L31))*(hCs*SIN(2*PI()*$I31/cw)+hCc*COS(2*PI()*$I31/cw))</f>
        <v>-3.1615553296116281</v>
      </c>
      <c r="K31">
        <f>fQc*COS(2*PI()*$I31/qbo+$L31)+fQs*SIN(2*PI()*$I31/qbo+$L31)+fCs*SIN(2*PI()*$I31/cw)+fCc*COS(2*PI()*$I31/cw)</f>
        <v>-3.3286750178659781</v>
      </c>
      <c r="L31">
        <f>+QMA*COS(2*PI()*$I31/QM+QMP)</f>
        <v>-0.11210555569610244</v>
      </c>
      <c r="P31">
        <f t="shared" si="4"/>
        <v>1</v>
      </c>
    </row>
    <row r="32" spans="1:16" x14ac:dyDescent="0.25">
      <c r="A32" s="1"/>
      <c r="B32" t="s">
        <v>45</v>
      </c>
      <c r="C32" t="s">
        <v>24</v>
      </c>
      <c r="D32" s="2">
        <v>0.91666666666666663</v>
      </c>
      <c r="E32" s="5">
        <f t="shared" si="0"/>
        <v>1671</v>
      </c>
      <c r="F32">
        <v>0.40261000000000002</v>
      </c>
      <c r="G32">
        <f t="shared" si="1"/>
        <v>-1.4431400000000001</v>
      </c>
      <c r="H32">
        <f t="shared" si="2"/>
        <v>-1.4431400000000001</v>
      </c>
      <c r="I32" s="5">
        <f t="shared" si="3"/>
        <v>1671</v>
      </c>
      <c r="J32">
        <f>+H32+CF*F32*(1+($I32-1850)*slope/1000)+F32*hQc*COS(2*PI()*$I32/qbo+$L32)+F32*hQs*SIN(2*PI()*$I32/qbo+$L32)+F32*hCs*SIN(2*PI()*$I32/cw)+F32*hCc*COS(2*PI()*$I32/cw) +mix*F32*(hQc*COS(2*PI()*$I32/qbo+$L32)+hQs*SIN(2*PI()*$I32/qbo+$L32))*(hCs*SIN(2*PI()*$I32/cw)+hCc*COS(2*PI()*$I32/cw))</f>
        <v>-3.5650742858124271</v>
      </c>
      <c r="K32">
        <f>fQc*COS(2*PI()*$I32/qbo+$L32)+fQs*SIN(2*PI()*$I32/qbo+$L32)+fCs*SIN(2*PI()*$I32/cw)+fCc*COS(2*PI()*$I32/cw)</f>
        <v>-3.627296814778036</v>
      </c>
      <c r="L32">
        <f>+QMA*COS(2*PI()*$I32/QM+QMP)</f>
        <v>-2.7190923900197762E-2</v>
      </c>
      <c r="P32">
        <f t="shared" si="4"/>
        <v>1</v>
      </c>
    </row>
    <row r="33" spans="1:16" x14ac:dyDescent="0.25">
      <c r="A33" s="1"/>
      <c r="B33" t="s">
        <v>46</v>
      </c>
      <c r="C33" t="s">
        <v>24</v>
      </c>
      <c r="D33" s="2">
        <v>0.95833333333333337</v>
      </c>
      <c r="E33" s="5">
        <f t="shared" si="0"/>
        <v>1672</v>
      </c>
      <c r="F33">
        <v>-0.35426000000000002</v>
      </c>
      <c r="G33">
        <f t="shared" si="1"/>
        <v>0.87363000000000013</v>
      </c>
      <c r="H33">
        <f t="shared" si="2"/>
        <v>0.87363000000000013</v>
      </c>
      <c r="I33" s="5">
        <f t="shared" si="3"/>
        <v>1672</v>
      </c>
      <c r="J33">
        <f>+H33+CF*F33*(1+($I33-1850)*slope/1000)+F33*hQc*COS(2*PI()*$I33/qbo+$L33)+F33*hQs*SIN(2*PI()*$I33/qbo+$L33)+F33*hCs*SIN(2*PI()*$I33/cw)+F33*hCc*COS(2*PI()*$I33/cw) +mix*F33*(hQc*COS(2*PI()*$I33/qbo+$L33)+hQs*SIN(2*PI()*$I33/qbo+$L33))*(hCs*SIN(2*PI()*$I33/cw)+hCc*COS(2*PI()*$I33/cw))</f>
        <v>-4.4226780485654524</v>
      </c>
      <c r="K33">
        <f>fQc*COS(2*PI()*$I33/qbo+$L33)+fQs*SIN(2*PI()*$I33/qbo+$L33)+fCs*SIN(2*PI()*$I33/cw)+fCc*COS(2*PI()*$I33/cw)</f>
        <v>-2.5285471176228738</v>
      </c>
      <c r="L33">
        <f>+QMA*COS(2*PI()*$I33/QM+QMP)</f>
        <v>5.8383811532888644E-2</v>
      </c>
      <c r="P33">
        <f t="shared" si="4"/>
        <v>1</v>
      </c>
    </row>
    <row r="34" spans="1:16" x14ac:dyDescent="0.25">
      <c r="A34" s="1"/>
      <c r="B34" t="s">
        <v>47</v>
      </c>
      <c r="C34" t="s">
        <v>24</v>
      </c>
      <c r="D34" s="3">
        <v>1</v>
      </c>
      <c r="E34" s="5">
        <f t="shared" si="0"/>
        <v>1673</v>
      </c>
      <c r="F34">
        <v>-0.23749999999999999</v>
      </c>
      <c r="G34">
        <f t="shared" si="1"/>
        <v>0.73222000000000009</v>
      </c>
      <c r="H34">
        <f t="shared" si="2"/>
        <v>0.73222000000000009</v>
      </c>
      <c r="I34" s="5">
        <f t="shared" si="3"/>
        <v>1673</v>
      </c>
      <c r="J34">
        <f>+H34+CF*F34*(1+($I34-1850)*slope/1000)+F34*hQc*COS(2*PI()*$I34/qbo+$L34)+F34*hQs*SIN(2*PI()*$I34/qbo+$L34)+F34*hCs*SIN(2*PI()*$I34/cw)+F34*hCc*COS(2*PI()*$I34/cw) +mix*F34*(hQc*COS(2*PI()*$I34/qbo+$L34)+hQs*SIN(2*PI()*$I34/qbo+$L34))*(hCs*SIN(2*PI()*$I34/cw)+hCc*COS(2*PI()*$I34/cw))</f>
        <v>-2.6657149724998053E-2</v>
      </c>
      <c r="K34">
        <f>fQc*COS(2*PI()*$I34/qbo+$L34)+fQs*SIN(2*PI()*$I34/qbo+$L34)+fCs*SIN(2*PI()*$I34/cw)+fCc*COS(2*PI()*$I34/cw)</f>
        <v>-0.25860104750833579</v>
      </c>
      <c r="L34">
        <f>+QMA*COS(2*PI()*$I34/QM+QMP)</f>
        <v>0.14254118555200956</v>
      </c>
      <c r="P34">
        <f t="shared" si="4"/>
        <v>1</v>
      </c>
    </row>
    <row r="35" spans="1:16" x14ac:dyDescent="0.25">
      <c r="A35" s="1"/>
      <c r="B35" t="s">
        <v>48</v>
      </c>
      <c r="C35" t="s">
        <v>24</v>
      </c>
      <c r="D35" s="3">
        <v>1.0416666666666667</v>
      </c>
      <c r="E35" s="5">
        <f t="shared" si="0"/>
        <v>1674</v>
      </c>
      <c r="F35">
        <v>0.61148000000000002</v>
      </c>
      <c r="G35">
        <f t="shared" si="1"/>
        <v>-1.57823</v>
      </c>
      <c r="H35">
        <f t="shared" si="2"/>
        <v>-1.57823</v>
      </c>
      <c r="I35" s="5">
        <f t="shared" si="3"/>
        <v>1674</v>
      </c>
      <c r="J35">
        <f>+H35+CF*F35*(1+($I35-1850)*slope/1000)+F35*hQc*COS(2*PI()*$I35/qbo+$L35)+F35*hQs*SIN(2*PI()*$I35/qbo+$L35)+F35*hCs*SIN(2*PI()*$I35/cw)+F35*hCc*COS(2*PI()*$I35/cw) +mix*F35*(hQc*COS(2*PI()*$I35/qbo+$L35)+hQs*SIN(2*PI()*$I35/qbo+$L35))*(hCs*SIN(2*PI()*$I35/cw)+hCc*COS(2*PI()*$I35/cw))</f>
        <v>1.89270409472691</v>
      </c>
      <c r="K35">
        <f>fQc*COS(2*PI()*$I35/qbo+$L35)+fQs*SIN(2*PI()*$I35/qbo+$L35)+fCs*SIN(2*PI()*$I35/cw)+fCc*COS(2*PI()*$I35/cw)</f>
        <v>2.5870540652235667</v>
      </c>
      <c r="L35">
        <f>+QMA*COS(2*PI()*$I35/QM+QMP)</f>
        <v>0.22323814184587809</v>
      </c>
      <c r="P35">
        <f t="shared" si="4"/>
        <v>1</v>
      </c>
    </row>
    <row r="36" spans="1:16" x14ac:dyDescent="0.25">
      <c r="A36" s="1"/>
      <c r="B36" t="s">
        <v>49</v>
      </c>
      <c r="C36" t="s">
        <v>24</v>
      </c>
      <c r="D36" s="3">
        <v>1.0833333333333333</v>
      </c>
      <c r="E36" s="5">
        <f t="shared" si="0"/>
        <v>1675</v>
      </c>
      <c r="F36">
        <v>-0.11777</v>
      </c>
      <c r="G36">
        <f t="shared" si="1"/>
        <v>0.11476000000000008</v>
      </c>
      <c r="H36">
        <f t="shared" si="2"/>
        <v>0.11476000000000008</v>
      </c>
      <c r="I36" s="5">
        <f t="shared" si="3"/>
        <v>1675</v>
      </c>
      <c r="J36">
        <f>+H36+CF*F36*(1+($I36-1850)*slope/1000)+F36*hQc*COS(2*PI()*$I36/qbo+$L36)+F36*hQs*SIN(2*PI()*$I36/qbo+$L36)+F36*hCs*SIN(2*PI()*$I36/cw)+F36*hCc*COS(2*PI()*$I36/cw) +mix*F36*(hQc*COS(2*PI()*$I36/qbo+$L36)+hQs*SIN(2*PI()*$I36/qbo+$L36))*(hCs*SIN(2*PI()*$I36/cw)+hCc*COS(2*PI()*$I36/cw))</f>
        <v>-0.94016458421216198</v>
      </c>
      <c r="K36">
        <f>fQc*COS(2*PI()*$I36/qbo+$L36)+fQs*SIN(2*PI()*$I36/qbo+$L36)+fCs*SIN(2*PI()*$I36/cw)+fCc*COS(2*PI()*$I36/cw)</f>
        <v>3.3920681558706591</v>
      </c>
      <c r="L36">
        <f>+QMA*COS(2*PI()*$I36/QM+QMP)</f>
        <v>0.29851563133784503</v>
      </c>
      <c r="P36">
        <f t="shared" si="4"/>
        <v>0</v>
      </c>
    </row>
    <row r="37" spans="1:16" x14ac:dyDescent="0.25">
      <c r="A37" s="1"/>
      <c r="B37" t="s">
        <v>50</v>
      </c>
      <c r="C37" t="s">
        <v>24</v>
      </c>
      <c r="D37" s="3">
        <v>1.125</v>
      </c>
      <c r="E37" s="5">
        <f t="shared" si="0"/>
        <v>1676</v>
      </c>
      <c r="F37">
        <v>-0.73226000000000002</v>
      </c>
      <c r="G37">
        <f t="shared" si="1"/>
        <v>1.7616499999999999</v>
      </c>
      <c r="H37">
        <f t="shared" si="2"/>
        <v>1.7616499999999999</v>
      </c>
      <c r="I37" s="5">
        <f t="shared" si="3"/>
        <v>1676</v>
      </c>
      <c r="J37">
        <f>+H37+CF*F37*(1+($I37-1850)*slope/1000)+F37*hQc*COS(2*PI()*$I37/qbo+$L37)+F37*hQs*SIN(2*PI()*$I37/qbo+$L37)+F37*hCs*SIN(2*PI()*$I37/cw)+F37*hCc*COS(2*PI()*$I37/cw) +mix*F37*(hQc*COS(2*PI()*$I37/qbo+$L37)+hQs*SIN(2*PI()*$I37/qbo+$L37))*(hCs*SIN(2*PI()*$I37/cw)+hCc*COS(2*PI()*$I37/cw))</f>
        <v>-3.0779418724734917</v>
      </c>
      <c r="K37">
        <f>fQc*COS(2*PI()*$I37/qbo+$L37)+fQs*SIN(2*PI()*$I37/qbo+$L37)+fCs*SIN(2*PI()*$I37/cw)+fCc*COS(2*PI()*$I37/cw)</f>
        <v>3.5785428581435097</v>
      </c>
      <c r="L37">
        <f>+QMA*COS(2*PI()*$I37/QM+QMP)</f>
        <v>0.36654617126952466</v>
      </c>
      <c r="P37">
        <f t="shared" si="4"/>
        <v>0</v>
      </c>
    </row>
    <row r="38" spans="1:16" x14ac:dyDescent="0.25">
      <c r="A38" s="1"/>
      <c r="B38" t="s">
        <v>51</v>
      </c>
      <c r="C38" t="s">
        <v>24</v>
      </c>
      <c r="D38" s="3">
        <v>1.1666666666666667</v>
      </c>
      <c r="E38" s="5">
        <f t="shared" si="0"/>
        <v>1677</v>
      </c>
      <c r="F38">
        <v>0.41489999999999999</v>
      </c>
      <c r="G38">
        <f t="shared" si="1"/>
        <v>-1.8254699999999999</v>
      </c>
      <c r="H38">
        <f t="shared" si="2"/>
        <v>-1.8254699999999999</v>
      </c>
      <c r="I38" s="5">
        <f t="shared" si="3"/>
        <v>1677</v>
      </c>
      <c r="J38">
        <f>+H38+CF*F38*(1+($I38-1850)*slope/1000)+F38*hQc*COS(2*PI()*$I38/qbo+$L38)+F38*hQs*SIN(2*PI()*$I38/qbo+$L38)+F38*hCs*SIN(2*PI()*$I38/cw)+F38*hCc*COS(2*PI()*$I38/cw) +mix*F38*(hQc*COS(2*PI()*$I38/qbo+$L38)+hQs*SIN(2*PI()*$I38/qbo+$L38))*(hCs*SIN(2*PI()*$I38/cw)+hCc*COS(2*PI()*$I38/cw))</f>
        <v>1.132115752454808</v>
      </c>
      <c r="K38">
        <f>fQc*COS(2*PI()*$I38/qbo+$L38)+fQs*SIN(2*PI()*$I38/qbo+$L38)+fCs*SIN(2*PI()*$I38/cw)+fCc*COS(2*PI()*$I38/cw)</f>
        <v>0.93388041872763794</v>
      </c>
      <c r="L38">
        <f>+QMA*COS(2*PI()*$I38/QM+QMP)</f>
        <v>0.4256782102993068</v>
      </c>
      <c r="P38">
        <f t="shared" si="4"/>
        <v>1</v>
      </c>
    </row>
    <row r="39" spans="1:16" x14ac:dyDescent="0.25">
      <c r="A39" s="1"/>
      <c r="B39" t="s">
        <v>52</v>
      </c>
      <c r="C39" t="s">
        <v>24</v>
      </c>
      <c r="D39" s="3">
        <v>1.2083333333333333</v>
      </c>
      <c r="E39" s="5">
        <f t="shared" si="0"/>
        <v>1678</v>
      </c>
      <c r="F39">
        <v>-0.26340999999999998</v>
      </c>
      <c r="G39">
        <f t="shared" si="1"/>
        <v>0.3245599999999999</v>
      </c>
      <c r="H39">
        <f t="shared" si="2"/>
        <v>0.3245599999999999</v>
      </c>
      <c r="I39" s="5">
        <f t="shared" si="3"/>
        <v>1678</v>
      </c>
      <c r="J39">
        <f>+H39+CF*F39*(1+($I39-1850)*slope/1000)+F39*hQc*COS(2*PI()*$I39/qbo+$L39)+F39*hQs*SIN(2*PI()*$I39/qbo+$L39)+F39*hCs*SIN(2*PI()*$I39/cw)+F39*hCc*COS(2*PI()*$I39/cw) +mix*F39*(hQc*COS(2*PI()*$I39/qbo+$L39)+hQs*SIN(2*PI()*$I39/qbo+$L39))*(hCs*SIN(2*PI()*$I39/cw)+hCc*COS(2*PI()*$I39/cw))</f>
        <v>0.21048195589240598</v>
      </c>
      <c r="K39">
        <f>fQc*COS(2*PI()*$I39/qbo+$L39)+fQs*SIN(2*PI()*$I39/qbo+$L39)+fCs*SIN(2*PI()*$I39/cw)+fCc*COS(2*PI()*$I39/cw)</f>
        <v>-1.1480425888642722</v>
      </c>
      <c r="L39">
        <f>+QMA*COS(2*PI()*$I39/QM+QMP)</f>
        <v>0.47447622258106925</v>
      </c>
      <c r="P39">
        <f t="shared" si="4"/>
        <v>0</v>
      </c>
    </row>
    <row r="40" spans="1:16" x14ac:dyDescent="0.25">
      <c r="A40" s="1"/>
      <c r="B40" t="s">
        <v>53</v>
      </c>
      <c r="C40" t="s">
        <v>24</v>
      </c>
      <c r="D40" s="3">
        <v>1.25</v>
      </c>
      <c r="E40" s="5">
        <f t="shared" si="0"/>
        <v>1679</v>
      </c>
      <c r="F40">
        <v>-0.61716000000000004</v>
      </c>
      <c r="G40">
        <f t="shared" si="1"/>
        <v>1.15364</v>
      </c>
      <c r="H40">
        <f t="shared" si="2"/>
        <v>1.15364</v>
      </c>
      <c r="I40" s="5">
        <f t="shared" si="3"/>
        <v>1679</v>
      </c>
      <c r="J40">
        <f>+H40+CF*F40*(1+($I40-1850)*slope/1000)+F40*hQc*COS(2*PI()*$I40/qbo+$L40)+F40*hQs*SIN(2*PI()*$I40/qbo+$L40)+F40*hCs*SIN(2*PI()*$I40/cw)+F40*hCc*COS(2*PI()*$I40/cw) +mix*F40*(hQc*COS(2*PI()*$I40/qbo+$L40)+hQs*SIN(2*PI()*$I40/qbo+$L40))*(hCs*SIN(2*PI()*$I40/cw)+hCc*COS(2*PI()*$I40/cw))</f>
        <v>-8.9673570642048617</v>
      </c>
      <c r="K40">
        <f>fQc*COS(2*PI()*$I40/qbo+$L40)+fQs*SIN(2*PI()*$I40/qbo+$L40)+fCs*SIN(2*PI()*$I40/cw)+fCc*COS(2*PI()*$I40/cw)</f>
        <v>-3.4345698418970114</v>
      </c>
      <c r="L40">
        <f>+QMA*COS(2*PI()*$I40/QM+QMP)</f>
        <v>0.51175555747507318</v>
      </c>
      <c r="P40">
        <f t="shared" si="4"/>
        <v>1</v>
      </c>
    </row>
    <row r="41" spans="1:16" x14ac:dyDescent="0.25">
      <c r="A41" s="1"/>
      <c r="B41" t="s">
        <v>54</v>
      </c>
      <c r="C41" t="s">
        <v>24</v>
      </c>
      <c r="D41" s="3">
        <v>1.2916666666666667</v>
      </c>
      <c r="E41" s="5">
        <f t="shared" si="0"/>
        <v>1680</v>
      </c>
      <c r="F41">
        <v>0.18273</v>
      </c>
      <c r="G41">
        <f t="shared" si="1"/>
        <v>-0.71388000000000007</v>
      </c>
      <c r="H41">
        <f t="shared" si="2"/>
        <v>-0.71388000000000007</v>
      </c>
      <c r="I41" s="5">
        <f t="shared" si="3"/>
        <v>1680</v>
      </c>
      <c r="J41">
        <f>+H41+CF*F41*(1+($I41-1850)*slope/1000)+F41*hQc*COS(2*PI()*$I41/qbo+$L41)+F41*hQs*SIN(2*PI()*$I41/qbo+$L41)+F41*hCs*SIN(2*PI()*$I41/cw)+F41*hCc*COS(2*PI()*$I41/cw) +mix*F41*(hQc*COS(2*PI()*$I41/qbo+$L41)+hQs*SIN(2*PI()*$I41/qbo+$L41))*(hCs*SIN(2*PI()*$I41/cw)+hCc*COS(2*PI()*$I41/cw))</f>
        <v>-1.9470254369268565</v>
      </c>
      <c r="K41">
        <f>fQc*COS(2*PI()*$I41/qbo+$L41)+fQs*SIN(2*PI()*$I41/qbo+$L41)+fCs*SIN(2*PI()*$I41/cw)+fCc*COS(2*PI()*$I41/cw)</f>
        <v>-3.6922825470128595</v>
      </c>
      <c r="L41">
        <f>+QMA*COS(2*PI()*$I41/QM+QMP)</f>
        <v>0.53661119885733133</v>
      </c>
      <c r="P41">
        <f t="shared" si="4"/>
        <v>1</v>
      </c>
    </row>
    <row r="42" spans="1:16" x14ac:dyDescent="0.25">
      <c r="A42" s="1"/>
      <c r="B42" t="s">
        <v>55</v>
      </c>
      <c r="C42" t="s">
        <v>24</v>
      </c>
      <c r="D42" s="3">
        <v>1.3333333333333333</v>
      </c>
      <c r="E42" s="5">
        <f t="shared" si="0"/>
        <v>1681</v>
      </c>
      <c r="F42">
        <v>0.26873999999999998</v>
      </c>
      <c r="G42">
        <f t="shared" si="1"/>
        <v>0.38514000000000009</v>
      </c>
      <c r="H42">
        <f t="shared" si="2"/>
        <v>0.38514000000000009</v>
      </c>
      <c r="I42" s="5">
        <f t="shared" si="3"/>
        <v>1681</v>
      </c>
      <c r="J42">
        <f>+H42+CF*F42*(1+($I42-1850)*slope/1000)+F42*hQc*COS(2*PI()*$I42/qbo+$L42)+F42*hQs*SIN(2*PI()*$I42/qbo+$L42)+F42*hCs*SIN(2*PI()*$I42/cw)+F42*hCc*COS(2*PI()*$I42/cw) +mix*F42*(hQc*COS(2*PI()*$I42/qbo+$L42)+hQs*SIN(2*PI()*$I42/qbo+$L42))*(hCs*SIN(2*PI()*$I42/cw)+hCc*COS(2*PI()*$I42/cw))</f>
        <v>4.0379823657671894</v>
      </c>
      <c r="K42">
        <f>fQc*COS(2*PI()*$I42/qbo+$L42)+fQs*SIN(2*PI()*$I42/qbo+$L42)+fCs*SIN(2*PI()*$I42/cw)+fCc*COS(2*PI()*$I42/cw)</f>
        <v>-2.0697958082147125</v>
      </c>
      <c r="L42">
        <f>+QMA*COS(2*PI()*$I42/QM+QMP)</f>
        <v>0.548439735849229</v>
      </c>
      <c r="P42">
        <f t="shared" si="4"/>
        <v>0</v>
      </c>
    </row>
    <row r="43" spans="1:16" x14ac:dyDescent="0.25">
      <c r="A43" s="1"/>
      <c r="B43" t="s">
        <v>56</v>
      </c>
      <c r="C43" t="s">
        <v>24</v>
      </c>
      <c r="D43" s="3">
        <v>1.375</v>
      </c>
      <c r="E43" s="5">
        <f t="shared" si="0"/>
        <v>1682</v>
      </c>
      <c r="F43">
        <v>0.73989000000000005</v>
      </c>
      <c r="G43">
        <f t="shared" si="1"/>
        <v>-1.0157100000000001</v>
      </c>
      <c r="H43">
        <f t="shared" si="2"/>
        <v>-1.0157100000000001</v>
      </c>
      <c r="I43" s="5">
        <f t="shared" si="3"/>
        <v>1682</v>
      </c>
      <c r="J43">
        <f>+H43+CF*F43*(1+($I43-1850)*slope/1000)+F43*hQc*COS(2*PI()*$I43/qbo+$L43)+F43*hQs*SIN(2*PI()*$I43/qbo+$L43)+F43*hCs*SIN(2*PI()*$I43/cw)+F43*hCc*COS(2*PI()*$I43/cw) +mix*F43*(hQc*COS(2*PI()*$I43/qbo+$L43)+hQs*SIN(2*PI()*$I43/qbo+$L43))*(hCs*SIN(2*PI()*$I43/cw)+hCc*COS(2*PI()*$I43/cw))</f>
        <v>2.3489955632991868</v>
      </c>
      <c r="K43">
        <f>fQc*COS(2*PI()*$I43/qbo+$L43)+fQs*SIN(2*PI()*$I43/qbo+$L43)+fCs*SIN(2*PI()*$I43/cw)+fCc*COS(2*PI()*$I43/cw)</f>
        <v>5.5800820556450859E-6</v>
      </c>
      <c r="L43">
        <f>+QMA*COS(2*PI()*$I43/QM+QMP)</f>
        <v>0.54695401159213086</v>
      </c>
      <c r="P43">
        <f t="shared" si="4"/>
        <v>1</v>
      </c>
    </row>
    <row r="44" spans="1:16" x14ac:dyDescent="0.25">
      <c r="A44" s="1"/>
      <c r="B44" t="s">
        <v>57</v>
      </c>
      <c r="C44" t="s">
        <v>24</v>
      </c>
      <c r="D44" s="3">
        <v>1.4166666666666667</v>
      </c>
      <c r="E44" s="5">
        <f t="shared" si="0"/>
        <v>1683</v>
      </c>
      <c r="F44">
        <v>0.19533</v>
      </c>
      <c r="G44">
        <f t="shared" si="1"/>
        <v>0.24701000000000006</v>
      </c>
      <c r="H44">
        <f t="shared" si="2"/>
        <v>0.24701000000000006</v>
      </c>
      <c r="I44" s="5">
        <f t="shared" si="3"/>
        <v>1683</v>
      </c>
      <c r="J44">
        <f>+H44+CF*F44*(1+($I44-1850)*slope/1000)+F44*hQc*COS(2*PI()*$I44/qbo+$L44)+F44*hQs*SIN(2*PI()*$I44/qbo+$L44)+F44*hCs*SIN(2*PI()*$I44/cw)+F44*hCc*COS(2*PI()*$I44/cw) +mix*F44*(hQc*COS(2*PI()*$I44/qbo+$L44)+hQs*SIN(2*PI()*$I44/qbo+$L44))*(hCs*SIN(2*PI()*$I44/cw)+hCc*COS(2*PI()*$I44/cw))</f>
        <v>1.4424618504387674</v>
      </c>
      <c r="K44">
        <f>fQc*COS(2*PI()*$I44/qbo+$L44)+fQs*SIN(2*PI()*$I44/qbo+$L44)+fCs*SIN(2*PI()*$I44/cw)+fCc*COS(2*PI()*$I44/cw)</f>
        <v>2.9763795876127612</v>
      </c>
      <c r="L44">
        <f>+QMA*COS(2*PI()*$I44/QM+QMP)</f>
        <v>0.53219009444433718</v>
      </c>
      <c r="P44">
        <f t="shared" si="4"/>
        <v>1</v>
      </c>
    </row>
    <row r="45" spans="1:16" x14ac:dyDescent="0.25">
      <c r="A45" s="1"/>
      <c r="B45" t="s">
        <v>58</v>
      </c>
      <c r="C45" t="s">
        <v>24</v>
      </c>
      <c r="D45" s="3">
        <v>1.4583333333333333</v>
      </c>
      <c r="E45" s="5">
        <f t="shared" si="0"/>
        <v>1684</v>
      </c>
      <c r="F45">
        <v>-0.10222000000000001</v>
      </c>
      <c r="G45">
        <f t="shared" si="1"/>
        <v>-0.73465000000000003</v>
      </c>
      <c r="H45">
        <f t="shared" si="2"/>
        <v>-0.73465000000000003</v>
      </c>
      <c r="I45" s="5">
        <f t="shared" si="3"/>
        <v>1684</v>
      </c>
      <c r="J45">
        <f>+H45+CF*F45*(1+($I45-1850)*slope/1000)+F45*hQc*COS(2*PI()*$I45/qbo+$L45)+F45*hQs*SIN(2*PI()*$I45/qbo+$L45)+F45*hCs*SIN(2*PI()*$I45/cw)+F45*hCc*COS(2*PI()*$I45/cw) +mix*F45*(hQc*COS(2*PI()*$I45/qbo+$L45)+hQs*SIN(2*PI()*$I45/qbo+$L45))*(hCs*SIN(2*PI()*$I45/cw)+hCc*COS(2*PI()*$I45/cw))</f>
        <v>-1.3667759617451831</v>
      </c>
      <c r="K45">
        <f>fQc*COS(2*PI()*$I45/qbo+$L45)+fQs*SIN(2*PI()*$I45/qbo+$L45)+fCs*SIN(2*PI()*$I45/cw)+fCc*COS(2*PI()*$I45/cw)</f>
        <v>3.4421026213221562</v>
      </c>
      <c r="L45">
        <f>+QMA*COS(2*PI()*$I45/QM+QMP)</f>
        <v>0.50450640236341204</v>
      </c>
      <c r="P45">
        <f t="shared" si="4"/>
        <v>0</v>
      </c>
    </row>
    <row r="46" spans="1:16" x14ac:dyDescent="0.25">
      <c r="A46" s="1"/>
      <c r="B46" t="s">
        <v>59</v>
      </c>
      <c r="C46" t="s">
        <v>24</v>
      </c>
      <c r="D46" s="3">
        <v>1.5</v>
      </c>
      <c r="E46" s="5">
        <f t="shared" si="0"/>
        <v>1685</v>
      </c>
      <c r="F46">
        <v>-1.13442</v>
      </c>
      <c r="G46">
        <f t="shared" si="1"/>
        <v>2.4325399999999999</v>
      </c>
      <c r="H46">
        <f t="shared" si="2"/>
        <v>2.4325399999999999</v>
      </c>
      <c r="I46" s="5">
        <f t="shared" si="3"/>
        <v>1685</v>
      </c>
      <c r="J46">
        <f>+H46+CF*F46*(1+($I46-1850)*slope/1000)+F46*hQc*COS(2*PI()*$I46/qbo+$L46)+F46*hQs*SIN(2*PI()*$I46/qbo+$L46)+F46*hCs*SIN(2*PI()*$I46/cw)+F46*hCc*COS(2*PI()*$I46/cw) +mix*F46*(hQc*COS(2*PI()*$I46/qbo+$L46)+hQs*SIN(2*PI()*$I46/qbo+$L46))*(hCs*SIN(2*PI()*$I46/cw)+hCc*COS(2*PI()*$I46/cw))</f>
        <v>-5.4870327922973434</v>
      </c>
      <c r="K46">
        <f>fQc*COS(2*PI()*$I46/qbo+$L46)+fQs*SIN(2*PI()*$I46/qbo+$L46)+fCs*SIN(2*PI()*$I46/cw)+fCc*COS(2*PI()*$I46/cw)</f>
        <v>3.2430334194029604</v>
      </c>
      <c r="L46">
        <f>+QMA*COS(2*PI()*$I46/QM+QMP)</f>
        <v>0.46457500173076149</v>
      </c>
      <c r="P46">
        <f t="shared" si="4"/>
        <v>0</v>
      </c>
    </row>
    <row r="47" spans="1:16" x14ac:dyDescent="0.25">
      <c r="A47" s="1"/>
      <c r="B47" t="s">
        <v>60</v>
      </c>
      <c r="C47" t="s">
        <v>24</v>
      </c>
      <c r="D47" s="3">
        <v>1.5416666666666667</v>
      </c>
      <c r="E47" s="5">
        <f t="shared" si="0"/>
        <v>1686</v>
      </c>
      <c r="F47">
        <v>0.26591999999999999</v>
      </c>
      <c r="G47">
        <f t="shared" si="1"/>
        <v>-0.68174000000000001</v>
      </c>
      <c r="H47">
        <f t="shared" si="2"/>
        <v>-0.68174000000000001</v>
      </c>
      <c r="I47" s="5">
        <f t="shared" si="3"/>
        <v>1686</v>
      </c>
      <c r="J47">
        <f>+H47+CF*F47*(1+($I47-1850)*slope/1000)+F47*hQc*COS(2*PI()*$I47/qbo+$L47)+F47*hQs*SIN(2*PI()*$I47/qbo+$L47)+F47*hCs*SIN(2*PI()*$I47/cw)+F47*hCc*COS(2*PI()*$I47/cw) +mix*F47*(hQc*COS(2*PI()*$I47/qbo+$L47)+hQs*SIN(2*PI()*$I47/qbo+$L47))*(hCs*SIN(2*PI()*$I47/cw)+hCc*COS(2*PI()*$I47/cw))</f>
        <v>2.0569309377873259</v>
      </c>
      <c r="K47">
        <f>fQc*COS(2*PI()*$I47/qbo+$L47)+fQs*SIN(2*PI()*$I47/qbo+$L47)+fCs*SIN(2*PI()*$I47/cw)+fCc*COS(2*PI()*$I47/cw)</f>
        <v>0.79125041519713157</v>
      </c>
      <c r="L47">
        <f>+QMA*COS(2*PI()*$I47/QM+QMP)</f>
        <v>0.41336529185375487</v>
      </c>
      <c r="P47">
        <f t="shared" si="4"/>
        <v>1</v>
      </c>
    </row>
    <row r="48" spans="1:16" x14ac:dyDescent="0.25">
      <c r="A48" s="1"/>
      <c r="B48" t="s">
        <v>61</v>
      </c>
      <c r="C48" t="s">
        <v>24</v>
      </c>
      <c r="D48" s="3">
        <v>1.5833333333333333</v>
      </c>
      <c r="E48" s="5">
        <f t="shared" si="0"/>
        <v>1687</v>
      </c>
      <c r="F48">
        <v>0.98451999999999995</v>
      </c>
      <c r="G48">
        <f t="shared" si="1"/>
        <v>-1.5032599999999998</v>
      </c>
      <c r="H48">
        <f t="shared" si="2"/>
        <v>-1.5032599999999998</v>
      </c>
      <c r="I48" s="5">
        <f t="shared" si="3"/>
        <v>1687</v>
      </c>
      <c r="J48">
        <f>+H48+CF*F48*(1+($I48-1850)*slope/1000)+F48*hQc*COS(2*PI()*$I48/qbo+$L48)+F48*hQs*SIN(2*PI()*$I48/qbo+$L48)+F48*hCs*SIN(2*PI()*$I48/cw)+F48*hCc*COS(2*PI()*$I48/cw) +mix*F48*(hQc*COS(2*PI()*$I48/qbo+$L48)+hQs*SIN(2*PI()*$I48/qbo+$L48))*(hCs*SIN(2*PI()*$I48/cw)+hCc*COS(2*PI()*$I48/cw))</f>
        <v>-5.8694660209015534</v>
      </c>
      <c r="K48">
        <f>fQc*COS(2*PI()*$I48/qbo+$L48)+fQs*SIN(2*PI()*$I48/qbo+$L48)+fCs*SIN(2*PI()*$I48/cw)+fCc*COS(2*PI()*$I48/cw)</f>
        <v>-1.8448869233037708</v>
      </c>
      <c r="L48">
        <f>+QMA*COS(2*PI()*$I48/QM+QMP)</f>
        <v>0.35212047123030121</v>
      </c>
      <c r="P48">
        <f t="shared" si="4"/>
        <v>1</v>
      </c>
    </row>
    <row r="49" spans="1:16" x14ac:dyDescent="0.25">
      <c r="A49" s="1"/>
      <c r="B49" t="s">
        <v>62</v>
      </c>
      <c r="C49" t="s">
        <v>24</v>
      </c>
      <c r="D49" s="3">
        <v>1.625</v>
      </c>
      <c r="E49" s="5">
        <f t="shared" si="0"/>
        <v>1688</v>
      </c>
      <c r="F49">
        <v>0.19986000000000001</v>
      </c>
      <c r="G49">
        <f t="shared" si="1"/>
        <v>1.1437299999999999</v>
      </c>
      <c r="H49">
        <f t="shared" si="2"/>
        <v>1.1437299999999999</v>
      </c>
      <c r="I49" s="5">
        <f t="shared" si="3"/>
        <v>1688</v>
      </c>
      <c r="J49">
        <f>+H49+CF*F49*(1+($I49-1850)*slope/1000)+F49*hQc*COS(2*PI()*$I49/qbo+$L49)+F49*hQs*SIN(2*PI()*$I49/qbo+$L49)+F49*hCs*SIN(2*PI()*$I49/cw)+F49*hCc*COS(2*PI()*$I49/cw) +mix*F49*(hQc*COS(2*PI()*$I49/qbo+$L49)+hQs*SIN(2*PI()*$I49/qbo+$L49))*(hCs*SIN(2*PI()*$I49/cw)+hCc*COS(2*PI()*$I49/cw))</f>
        <v>4.2017530415869171</v>
      </c>
      <c r="K49">
        <f>fQc*COS(2*PI()*$I49/qbo+$L49)+fQs*SIN(2*PI()*$I49/qbo+$L49)+fCs*SIN(2*PI()*$I49/cw)+fCc*COS(2*PI()*$I49/cw)</f>
        <v>-3.2428697370963988</v>
      </c>
      <c r="L49">
        <f>+QMA*COS(2*PI()*$I49/QM+QMP)</f>
        <v>0.28232735689535166</v>
      </c>
      <c r="P49">
        <f t="shared" si="4"/>
        <v>0</v>
      </c>
    </row>
    <row r="50" spans="1:16" x14ac:dyDescent="0.25">
      <c r="A50" s="1"/>
      <c r="B50" t="s">
        <v>63</v>
      </c>
      <c r="C50" t="s">
        <v>24</v>
      </c>
      <c r="D50" s="3">
        <v>1.6666666666666667</v>
      </c>
      <c r="E50" s="5">
        <f t="shared" si="0"/>
        <v>1689</v>
      </c>
      <c r="F50">
        <v>0.55893000000000004</v>
      </c>
      <c r="G50">
        <f t="shared" si="1"/>
        <v>-0.55098000000000003</v>
      </c>
      <c r="H50">
        <f t="shared" si="2"/>
        <v>-0.55098000000000003</v>
      </c>
      <c r="I50" s="5">
        <f t="shared" si="3"/>
        <v>1689</v>
      </c>
      <c r="J50">
        <f>+H50+CF*F50*(1+($I50-1850)*slope/1000)+F50*hQc*COS(2*PI()*$I50/qbo+$L50)+F50*hQs*SIN(2*PI()*$I50/qbo+$L50)+F50*hCs*SIN(2*PI()*$I50/cw)+F50*hCc*COS(2*PI()*$I50/cw) +mix*F50*(hQc*COS(2*PI()*$I50/qbo+$L50)+hQs*SIN(2*PI()*$I50/qbo+$L50))*(hCs*SIN(2*PI()*$I50/cw)+hCc*COS(2*PI()*$I50/cw))</f>
        <v>-2.5585613925502848E-3</v>
      </c>
      <c r="K50">
        <f>fQc*COS(2*PI()*$I50/qbo+$L50)+fQs*SIN(2*PI()*$I50/qbo+$L50)+fCs*SIN(2*PI()*$I50/cw)+fCc*COS(2*PI()*$I50/cw)</f>
        <v>-3.8776971849032336</v>
      </c>
      <c r="L50">
        <f>+QMA*COS(2*PI()*$I50/QM+QMP)</f>
        <v>0.20568028953380474</v>
      </c>
      <c r="P50">
        <f t="shared" si="4"/>
        <v>1</v>
      </c>
    </row>
    <row r="51" spans="1:16" x14ac:dyDescent="0.25">
      <c r="A51" s="1"/>
      <c r="B51" t="s">
        <v>64</v>
      </c>
      <c r="C51" t="s">
        <v>24</v>
      </c>
      <c r="D51" s="3">
        <v>1.7083333333333333</v>
      </c>
      <c r="E51" s="5">
        <f t="shared" si="0"/>
        <v>1690</v>
      </c>
      <c r="F51">
        <v>0.36702000000000001</v>
      </c>
      <c r="G51">
        <f t="shared" si="1"/>
        <v>-0.22628999999999999</v>
      </c>
      <c r="H51">
        <f t="shared" si="2"/>
        <v>-0.22628999999999999</v>
      </c>
      <c r="I51" s="5">
        <f t="shared" si="3"/>
        <v>1690</v>
      </c>
      <c r="J51">
        <f>+H51+CF*F51*(1+($I51-1850)*slope/1000)+F51*hQc*COS(2*PI()*$I51/qbo+$L51)+F51*hQs*SIN(2*PI()*$I51/qbo+$L51)+F51*hCs*SIN(2*PI()*$I51/cw)+F51*hCc*COS(2*PI()*$I51/cw) +mix*F51*(hQc*COS(2*PI()*$I51/qbo+$L51)+hQs*SIN(2*PI()*$I51/qbo+$L51))*(hCs*SIN(2*PI()*$I51/cw)+hCc*COS(2*PI()*$I51/cw))</f>
        <v>1.3731932153658895</v>
      </c>
      <c r="K51">
        <f>fQc*COS(2*PI()*$I51/qbo+$L51)+fQs*SIN(2*PI()*$I51/qbo+$L51)+fCs*SIN(2*PI()*$I51/cw)+fCc*COS(2*PI()*$I51/cw)</f>
        <v>-1.5956440433793451</v>
      </c>
      <c r="L51">
        <f>+QMA*COS(2*PI()*$I51/QM+QMP)</f>
        <v>0.12404000062094464</v>
      </c>
      <c r="P51">
        <f t="shared" si="4"/>
        <v>0</v>
      </c>
    </row>
    <row r="52" spans="1:16" x14ac:dyDescent="0.25">
      <c r="A52" s="1"/>
      <c r="B52" t="s">
        <v>65</v>
      </c>
      <c r="C52" t="s">
        <v>24</v>
      </c>
      <c r="D52" s="3">
        <v>1.75</v>
      </c>
      <c r="E52" s="5">
        <f t="shared" si="0"/>
        <v>1691</v>
      </c>
      <c r="F52">
        <v>-5.1180000000000003E-2</v>
      </c>
      <c r="G52">
        <f t="shared" si="1"/>
        <v>1.0916700000000001</v>
      </c>
      <c r="H52">
        <f t="shared" si="2"/>
        <v>1.0916700000000001</v>
      </c>
      <c r="I52" s="5">
        <f t="shared" si="3"/>
        <v>1691</v>
      </c>
      <c r="J52">
        <f>+H52+CF*F52*(1+($I52-1850)*slope/1000)+F52*hQc*COS(2*PI()*$I52/qbo+$L52)+F52*hQs*SIN(2*PI()*$I52/qbo+$L52)+F52*hCs*SIN(2*PI()*$I52/cw)+F52*hCc*COS(2*PI()*$I52/cw) +mix*F52*(hQc*COS(2*PI()*$I52/qbo+$L52)+hQs*SIN(2*PI()*$I52/qbo+$L52))*(hCs*SIN(2*PI()*$I52/cw)+hCc*COS(2*PI()*$I52/cw))</f>
        <v>0.71994019146667965</v>
      </c>
      <c r="K52">
        <f>fQc*COS(2*PI()*$I52/qbo+$L52)+fQs*SIN(2*PI()*$I52/qbo+$L52)+fCs*SIN(2*PI()*$I52/cw)+fCc*COS(2*PI()*$I52/cw)</f>
        <v>0.46646374442646077</v>
      </c>
      <c r="L52">
        <f>+QMA*COS(2*PI()*$I52/QM+QMP)</f>
        <v>3.9388440157826068E-2</v>
      </c>
      <c r="P52">
        <f t="shared" si="4"/>
        <v>1</v>
      </c>
    </row>
    <row r="53" spans="1:16" x14ac:dyDescent="0.25">
      <c r="A53" s="1"/>
      <c r="B53" t="s">
        <v>66</v>
      </c>
      <c r="C53" t="s">
        <v>24</v>
      </c>
      <c r="D53" s="3">
        <v>1.7916666666666667</v>
      </c>
      <c r="E53" s="5">
        <f t="shared" si="0"/>
        <v>1692</v>
      </c>
      <c r="F53">
        <v>0.62229000000000001</v>
      </c>
      <c r="G53">
        <f t="shared" si="1"/>
        <v>-0.81603000000000003</v>
      </c>
      <c r="H53">
        <f t="shared" si="2"/>
        <v>-0.81603000000000003</v>
      </c>
      <c r="I53" s="5">
        <f t="shared" si="3"/>
        <v>1692</v>
      </c>
      <c r="J53">
        <f>+H53+CF*F53*(1+($I53-1850)*slope/1000)+F53*hQc*COS(2*PI()*$I53/qbo+$L53)+F53*hQs*SIN(2*PI()*$I53/qbo+$L53)+F53*hCs*SIN(2*PI()*$I53/cw)+F53*hCc*COS(2*PI()*$I53/cw) +mix*F53*(hQc*COS(2*PI()*$I53/qbo+$L53)+hQs*SIN(2*PI()*$I53/qbo+$L53))*(hCs*SIN(2*PI()*$I53/cw)+hCc*COS(2*PI()*$I53/cw))</f>
        <v>4.7063652727592693</v>
      </c>
      <c r="K53">
        <f>fQc*COS(2*PI()*$I53/qbo+$L53)+fQs*SIN(2*PI()*$I53/qbo+$L53)+fCs*SIN(2*PI()*$I53/cw)+fCc*COS(2*PI()*$I53/cw)</f>
        <v>2.9598451347071602</v>
      </c>
      <c r="L53">
        <f>+QMA*COS(2*PI()*$I53/QM+QMP)</f>
        <v>-4.6219338369293657E-2</v>
      </c>
      <c r="P53">
        <f t="shared" si="4"/>
        <v>1</v>
      </c>
    </row>
    <row r="54" spans="1:16" x14ac:dyDescent="0.25">
      <c r="A54" s="1"/>
      <c r="B54" t="s">
        <v>67</v>
      </c>
      <c r="C54" t="s">
        <v>24</v>
      </c>
      <c r="D54" s="3">
        <v>1.8333333333333333</v>
      </c>
      <c r="E54" s="5">
        <f t="shared" si="0"/>
        <v>1693</v>
      </c>
      <c r="F54">
        <v>0.47972999999999999</v>
      </c>
      <c r="G54">
        <f t="shared" si="1"/>
        <v>0.33596000000000004</v>
      </c>
      <c r="H54">
        <f t="shared" si="2"/>
        <v>0.33596000000000004</v>
      </c>
      <c r="I54" s="5">
        <f t="shared" si="3"/>
        <v>1693</v>
      </c>
      <c r="J54">
        <f>+H54+CF*F54*(1+($I54-1850)*slope/1000)+F54*hQc*COS(2*PI()*$I54/qbo+$L54)+F54*hQs*SIN(2*PI()*$I54/qbo+$L54)+F54*hCs*SIN(2*PI()*$I54/cw)+F54*hCc*COS(2*PI()*$I54/cw) +mix*F54*(hQc*COS(2*PI()*$I54/qbo+$L54)+hQs*SIN(2*PI()*$I54/qbo+$L54))*(hCs*SIN(2*PI()*$I54/cw)+hCc*COS(2*PI()*$I54/cw))</f>
        <v>1.9763130557678177</v>
      </c>
      <c r="K54">
        <f>fQc*COS(2*PI()*$I54/qbo+$L54)+fQs*SIN(2*PI()*$I54/qbo+$L54)+fCs*SIN(2*PI()*$I54/cw)+fCc*COS(2*PI()*$I54/cw)</f>
        <v>3.8889162918477793</v>
      </c>
      <c r="L54">
        <f>+QMA*COS(2*PI()*$I54/QM+QMP)</f>
        <v>-0.1307050677348314</v>
      </c>
      <c r="P54">
        <f t="shared" si="4"/>
        <v>1</v>
      </c>
    </row>
    <row r="55" spans="1:16" x14ac:dyDescent="0.25">
      <c r="A55" s="1"/>
      <c r="B55" t="s">
        <v>68</v>
      </c>
      <c r="C55" t="s">
        <v>24</v>
      </c>
      <c r="D55" s="3">
        <v>1.875</v>
      </c>
      <c r="E55" s="5">
        <f t="shared" si="0"/>
        <v>1694</v>
      </c>
      <c r="F55">
        <v>0.67313000000000001</v>
      </c>
      <c r="G55">
        <f t="shared" si="1"/>
        <v>0.17141000000000006</v>
      </c>
      <c r="H55">
        <f t="shared" si="2"/>
        <v>0.17141000000000006</v>
      </c>
      <c r="I55" s="5">
        <f t="shared" si="3"/>
        <v>1694</v>
      </c>
      <c r="J55">
        <f>+H55+CF*F55*(1+($I55-1850)*slope/1000)+F55*hQc*COS(2*PI()*$I55/qbo+$L55)+F55*hQs*SIN(2*PI()*$I55/qbo+$L55)+F55*hCs*SIN(2*PI()*$I55/cw)+F55*hCc*COS(2*PI()*$I55/cw) +mix*F55*(hQc*COS(2*PI()*$I55/qbo+$L55)+hQs*SIN(2*PI()*$I55/qbo+$L55))*(hCs*SIN(2*PI()*$I55/cw)+hCc*COS(2*PI()*$I55/cw))</f>
        <v>4.360958545344908</v>
      </c>
      <c r="K55">
        <f>fQc*COS(2*PI()*$I55/qbo+$L55)+fQs*SIN(2*PI()*$I55/qbo+$L55)+fCs*SIN(2*PI()*$I55/cw)+fCc*COS(2*PI()*$I55/cw)</f>
        <v>2.5126863372199528</v>
      </c>
      <c r="L55">
        <f>+QMA*COS(2*PI()*$I55/QM+QMP)</f>
        <v>-0.21201772027049348</v>
      </c>
      <c r="P55">
        <f t="shared" si="4"/>
        <v>1</v>
      </c>
    </row>
    <row r="56" spans="1:16" x14ac:dyDescent="0.25">
      <c r="A56" s="1"/>
      <c r="B56" t="s">
        <v>69</v>
      </c>
      <c r="C56" t="s">
        <v>24</v>
      </c>
      <c r="D56" s="3">
        <v>1.9166666666666667</v>
      </c>
      <c r="E56" s="5">
        <f t="shared" si="0"/>
        <v>1695</v>
      </c>
      <c r="F56">
        <v>1.0379400000000001</v>
      </c>
      <c r="G56">
        <f t="shared" si="1"/>
        <v>-2.4887899999999998</v>
      </c>
      <c r="H56">
        <f t="shared" si="2"/>
        <v>-2.4887899999999998</v>
      </c>
      <c r="I56" s="5">
        <f t="shared" si="3"/>
        <v>1695</v>
      </c>
      <c r="J56">
        <f>+H56+CF*F56*(1+($I56-1850)*slope/1000)+F56*hQc*COS(2*PI()*$I56/qbo+$L56)+F56*hQs*SIN(2*PI()*$I56/qbo+$L56)+F56*hCs*SIN(2*PI()*$I56/cw)+F56*hCc*COS(2*PI()*$I56/cw) +mix*F56*(hQc*COS(2*PI()*$I56/qbo+$L56)+hQs*SIN(2*PI()*$I56/qbo+$L56))*(hCs*SIN(2*PI()*$I56/cw)+hCc*COS(2*PI()*$I56/cw))</f>
        <v>4.9116570302810993</v>
      </c>
      <c r="K56">
        <f>fQc*COS(2*PI()*$I56/qbo+$L56)+fQs*SIN(2*PI()*$I56/qbo+$L56)+fCs*SIN(2*PI()*$I56/cw)+fCc*COS(2*PI()*$I56/cw)</f>
        <v>0.78622063397477016</v>
      </c>
      <c r="L56">
        <f>+QMA*COS(2*PI()*$I56/QM+QMP)</f>
        <v>-0.28818329987802999</v>
      </c>
      <c r="P56">
        <f t="shared" si="4"/>
        <v>1</v>
      </c>
    </row>
    <row r="57" spans="1:16" x14ac:dyDescent="0.25">
      <c r="A57" s="1"/>
      <c r="B57" t="s">
        <v>70</v>
      </c>
      <c r="C57" t="s">
        <v>24</v>
      </c>
      <c r="D57" s="3">
        <v>1.9583333333333333</v>
      </c>
      <c r="E57" s="5">
        <f t="shared" si="0"/>
        <v>1696</v>
      </c>
      <c r="F57">
        <v>-1.0860399999999999</v>
      </c>
      <c r="G57">
        <f t="shared" si="1"/>
        <v>2.6817099999999998</v>
      </c>
      <c r="H57">
        <f t="shared" si="2"/>
        <v>2.6817099999999998</v>
      </c>
      <c r="I57" s="5">
        <f t="shared" si="3"/>
        <v>1696</v>
      </c>
      <c r="J57">
        <f>+H57+CF*F57*(1+($I57-1850)*slope/1000)+F57*hQc*COS(2*PI()*$I57/qbo+$L57)+F57*hQs*SIN(2*PI()*$I57/qbo+$L57)+F57*hCs*SIN(2*PI()*$I57/cw)+F57*hCc*COS(2*PI()*$I57/cw) +mix*F57*(hQc*COS(2*PI()*$I57/qbo+$L57)+hQs*SIN(2*PI()*$I57/qbo+$L57))*(hCs*SIN(2*PI()*$I57/cw)+hCc*COS(2*PI()*$I57/cw))</f>
        <v>-5.8483993246079358</v>
      </c>
      <c r="K57">
        <f>fQc*COS(2*PI()*$I57/qbo+$L57)+fQs*SIN(2*PI()*$I57/qbo+$L57)+fCs*SIN(2*PI()*$I57/cw)+fCc*COS(2*PI()*$I57/cw)</f>
        <v>-2.3785169086009295</v>
      </c>
      <c r="L57">
        <f>+QMA*COS(2*PI()*$I57/QM+QMP)</f>
        <v>-0.35735276397577498</v>
      </c>
      <c r="P57">
        <f t="shared" si="4"/>
        <v>1</v>
      </c>
    </row>
    <row r="58" spans="1:16" x14ac:dyDescent="0.25">
      <c r="A58" s="1"/>
      <c r="B58" t="s">
        <v>71</v>
      </c>
      <c r="C58" t="s">
        <v>24</v>
      </c>
      <c r="D58" s="3">
        <v>2</v>
      </c>
      <c r="E58" s="5">
        <f t="shared" si="0"/>
        <v>1697</v>
      </c>
      <c r="F58">
        <v>-0.52830999999999995</v>
      </c>
      <c r="G58">
        <f t="shared" si="1"/>
        <v>-1.1302399999999999</v>
      </c>
      <c r="H58">
        <f t="shared" si="2"/>
        <v>-1.1302399999999999</v>
      </c>
      <c r="I58" s="5">
        <f t="shared" si="3"/>
        <v>1697</v>
      </c>
      <c r="J58">
        <f>+H58+CF*F58*(1+($I58-1850)*slope/1000)+F58*hQc*COS(2*PI()*$I58/qbo+$L58)+F58*hQs*SIN(2*PI()*$I58/qbo+$L58)+F58*hCs*SIN(2*PI()*$I58/cw)+F58*hCc*COS(2*PI()*$I58/cw) +mix*F58*(hQc*COS(2*PI()*$I58/qbo+$L58)+hQs*SIN(2*PI()*$I58/qbo+$L58))*(hCs*SIN(2*PI()*$I58/cw)+hCc*COS(2*PI()*$I58/cw))</f>
        <v>1.0835867729836186</v>
      </c>
      <c r="K58">
        <f>fQc*COS(2*PI()*$I58/qbo+$L58)+fQs*SIN(2*PI()*$I58/qbo+$L58)+fCs*SIN(2*PI()*$I58/cw)+fCc*COS(2*PI()*$I58/cw)</f>
        <v>-3.430949817666491</v>
      </c>
      <c r="L58">
        <f>+QMA*COS(2*PI()*$I58/QM+QMP)</f>
        <v>-0.4178469119966125</v>
      </c>
      <c r="P58">
        <f t="shared" si="4"/>
        <v>0</v>
      </c>
    </row>
    <row r="59" spans="1:16" x14ac:dyDescent="0.25">
      <c r="A59" s="1"/>
      <c r="B59" t="s">
        <v>72</v>
      </c>
      <c r="C59" t="s">
        <v>24</v>
      </c>
      <c r="D59" s="3">
        <v>2.0416666666666665</v>
      </c>
      <c r="E59" s="5">
        <f t="shared" si="0"/>
        <v>1698</v>
      </c>
      <c r="F59">
        <v>-1.1008199999999999</v>
      </c>
      <c r="G59">
        <f t="shared" si="1"/>
        <v>1.4529199999999998</v>
      </c>
      <c r="H59">
        <f t="shared" si="2"/>
        <v>1.4529199999999998</v>
      </c>
      <c r="I59" s="5">
        <f t="shared" si="3"/>
        <v>1698</v>
      </c>
      <c r="J59">
        <f>+H59+CF*F59*(1+($I59-1850)*slope/1000)+F59*hQc*COS(2*PI()*$I59/qbo+$L59)+F59*hQs*SIN(2*PI()*$I59/qbo+$L59)+F59*hCs*SIN(2*PI()*$I59/cw)+F59*hCc*COS(2*PI()*$I59/cw) +mix*F59*(hQc*COS(2*PI()*$I59/qbo+$L59)+hQs*SIN(2*PI()*$I59/qbo+$L59))*(hCs*SIN(2*PI()*$I59/cw)+hCc*COS(2*PI()*$I59/cw))</f>
        <v>-16.106849313440001</v>
      </c>
      <c r="K59">
        <f>fQc*COS(2*PI()*$I59/qbo+$L59)+fQs*SIN(2*PI()*$I59/qbo+$L59)+fCs*SIN(2*PI()*$I59/cw)+fCc*COS(2*PI()*$I59/cw)</f>
        <v>-3.439438382101152</v>
      </c>
      <c r="L59">
        <f>+QMA*COS(2*PI()*$I59/QM+QMP)</f>
        <v>-0.46819715069656975</v>
      </c>
      <c r="P59">
        <f t="shared" si="4"/>
        <v>1</v>
      </c>
    </row>
    <row r="60" spans="1:16" x14ac:dyDescent="0.25">
      <c r="A60" s="1"/>
      <c r="B60" t="s">
        <v>73</v>
      </c>
      <c r="C60" t="s">
        <v>24</v>
      </c>
      <c r="D60" s="3">
        <v>2.0833333333333335</v>
      </c>
      <c r="E60" s="5">
        <f t="shared" si="0"/>
        <v>1699</v>
      </c>
      <c r="F60">
        <v>-0.22040999999999999</v>
      </c>
      <c r="G60">
        <f t="shared" si="1"/>
        <v>-0.67158999999999991</v>
      </c>
      <c r="H60">
        <f t="shared" si="2"/>
        <v>-0.67158999999999991</v>
      </c>
      <c r="I60" s="5">
        <f t="shared" si="3"/>
        <v>1699</v>
      </c>
      <c r="J60">
        <f>+H60+CF*F60*(1+($I60-1850)*slope/1000)+F60*hQc*COS(2*PI()*$I60/qbo+$L60)+F60*hQs*SIN(2*PI()*$I60/qbo+$L60)+F60*hCs*SIN(2*PI()*$I60/cw)+F60*hCc*COS(2*PI()*$I60/cw) +mix*F60*(hQc*COS(2*PI()*$I60/qbo+$L60)+hQs*SIN(2*PI()*$I60/qbo+$L60))*(hCs*SIN(2*PI()*$I60/cw)+hCc*COS(2*PI()*$I60/cw))</f>
        <v>-0.44782808427048576</v>
      </c>
      <c r="K60">
        <f>fQc*COS(2*PI()*$I60/qbo+$L60)+fQs*SIN(2*PI()*$I60/qbo+$L60)+fCs*SIN(2*PI()*$I60/cw)+fCc*COS(2*PI()*$I60/cw)</f>
        <v>-1.6736701826834322</v>
      </c>
      <c r="L60">
        <f>+QMA*COS(2*PI()*$I60/QM+QMP)</f>
        <v>-0.50718114663012637</v>
      </c>
      <c r="P60">
        <f t="shared" si="4"/>
        <v>1</v>
      </c>
    </row>
    <row r="61" spans="1:16" x14ac:dyDescent="0.25">
      <c r="A61" s="1"/>
      <c r="B61" t="s">
        <v>74</v>
      </c>
      <c r="C61" t="s">
        <v>24</v>
      </c>
      <c r="D61" s="3">
        <v>2.125</v>
      </c>
      <c r="E61" s="5">
        <f t="shared" si="0"/>
        <v>1700</v>
      </c>
      <c r="F61">
        <v>-1.159E-2</v>
      </c>
      <c r="G61">
        <f t="shared" si="1"/>
        <v>0.22741</v>
      </c>
      <c r="H61">
        <f t="shared" si="2"/>
        <v>0.22741</v>
      </c>
      <c r="I61" s="5">
        <f t="shared" si="3"/>
        <v>1700</v>
      </c>
      <c r="J61">
        <f>+H61+CF*F61*(1+($I61-1850)*slope/1000)+F61*hQc*COS(2*PI()*$I61/qbo+$L61)+F61*hQs*SIN(2*PI()*$I61/qbo+$L61)+F61*hCs*SIN(2*PI()*$I61/cw)+F61*hCc*COS(2*PI()*$I61/cw) +mix*F61*(hQc*COS(2*PI()*$I61/qbo+$L61)+hQs*SIN(2*PI()*$I61/qbo+$L61))*(hCs*SIN(2*PI()*$I61/cw)+hCc*COS(2*PI()*$I61/cw))</f>
        <v>0.15021575755125549</v>
      </c>
      <c r="K61">
        <f>fQc*COS(2*PI()*$I61/qbo+$L61)+fQs*SIN(2*PI()*$I61/qbo+$L61)+fCs*SIN(2*PI()*$I61/cw)+fCc*COS(2*PI()*$I61/cw)</f>
        <v>1.3105843051404451</v>
      </c>
      <c r="L61">
        <f>+QMA*COS(2*PI()*$I61/QM+QMP)</f>
        <v>-0.53385250027063036</v>
      </c>
      <c r="P61">
        <f t="shared" si="4"/>
        <v>1</v>
      </c>
    </row>
    <row r="62" spans="1:16" x14ac:dyDescent="0.25">
      <c r="A62" s="1"/>
      <c r="B62" t="s">
        <v>75</v>
      </c>
      <c r="C62" t="s">
        <v>24</v>
      </c>
      <c r="D62" s="3">
        <v>2.1666666666666665</v>
      </c>
      <c r="E62" s="5">
        <f t="shared" si="0"/>
        <v>1701</v>
      </c>
      <c r="F62">
        <v>0.42464000000000002</v>
      </c>
      <c r="G62">
        <f t="shared" si="1"/>
        <v>-0.60131000000000001</v>
      </c>
      <c r="H62">
        <f t="shared" si="2"/>
        <v>-0.60131000000000001</v>
      </c>
      <c r="I62" s="5">
        <f t="shared" si="3"/>
        <v>1701</v>
      </c>
      <c r="J62">
        <f>+H62+CF*F62*(1+($I62-1850)*slope/1000)+F62*hQc*COS(2*PI()*$I62/qbo+$L62)+F62*hQs*SIN(2*PI()*$I62/qbo+$L62)+F62*hCs*SIN(2*PI()*$I62/cw)+F62*hCc*COS(2*PI()*$I62/cw) +mix*F62*(hQc*COS(2*PI()*$I62/qbo+$L62)+hQs*SIN(2*PI()*$I62/qbo+$L62))*(hCs*SIN(2*PI()*$I62/cw)+hCc*COS(2*PI()*$I62/cw))</f>
        <v>2.5406389987613283</v>
      </c>
      <c r="K62">
        <f>fQc*COS(2*PI()*$I62/qbo+$L62)+fQs*SIN(2*PI()*$I62/qbo+$L62)+fCs*SIN(2*PI()*$I62/cw)+fCc*COS(2*PI()*$I62/cw)</f>
        <v>2.8335388051982253</v>
      </c>
      <c r="L62">
        <f>+QMA*COS(2*PI()*$I62/QM+QMP)</f>
        <v>-0.5475637213889617</v>
      </c>
      <c r="P62">
        <f t="shared" si="4"/>
        <v>1</v>
      </c>
    </row>
    <row r="63" spans="1:16" x14ac:dyDescent="0.25">
      <c r="A63" s="1"/>
      <c r="B63" t="s">
        <v>76</v>
      </c>
      <c r="C63" t="s">
        <v>24</v>
      </c>
      <c r="D63" s="3">
        <v>2.2083333333333335</v>
      </c>
      <c r="E63" s="5">
        <f t="shared" si="0"/>
        <v>1702</v>
      </c>
      <c r="F63">
        <v>0.25956000000000001</v>
      </c>
      <c r="G63">
        <f t="shared" si="1"/>
        <v>-0.81159999999999999</v>
      </c>
      <c r="H63">
        <f t="shared" si="2"/>
        <v>-0.81159999999999999</v>
      </c>
      <c r="I63" s="5">
        <f t="shared" si="3"/>
        <v>1702</v>
      </c>
      <c r="J63">
        <f>+H63+CF*F63*(1+($I63-1850)*slope/1000)+F63*hQc*COS(2*PI()*$I63/qbo+$L63)+F63*hQs*SIN(2*PI()*$I63/qbo+$L63)+F63*hCs*SIN(2*PI()*$I63/cw)+F63*hCc*COS(2*PI()*$I63/cw) +mix*F63*(hQc*COS(2*PI()*$I63/qbo+$L63)+hQs*SIN(2*PI()*$I63/qbo+$L63))*(hCs*SIN(2*PI()*$I63/cw)+hCc*COS(2*PI()*$I63/cw))</f>
        <v>0.84665711993889692</v>
      </c>
      <c r="K63">
        <f>fQc*COS(2*PI()*$I63/qbo+$L63)+fQs*SIN(2*PI()*$I63/qbo+$L63)+fCs*SIN(2*PI()*$I63/cw)+fCc*COS(2*PI()*$I63/cw)</f>
        <v>4.0428096678923007</v>
      </c>
      <c r="L63">
        <f>+QMA*COS(2*PI()*$I63/QM+QMP)</f>
        <v>-0.5479819479255611</v>
      </c>
      <c r="P63">
        <f t="shared" si="4"/>
        <v>1</v>
      </c>
    </row>
    <row r="64" spans="1:16" x14ac:dyDescent="0.25">
      <c r="A64" s="1"/>
      <c r="B64" t="s">
        <v>77</v>
      </c>
      <c r="C64" t="s">
        <v>24</v>
      </c>
      <c r="D64" s="3">
        <v>2.25</v>
      </c>
      <c r="E64" s="5">
        <f t="shared" si="0"/>
        <v>1703</v>
      </c>
      <c r="F64">
        <v>-0.71711999999999998</v>
      </c>
      <c r="G64">
        <f t="shared" si="1"/>
        <v>0.99912000000000001</v>
      </c>
      <c r="H64">
        <f t="shared" si="2"/>
        <v>0.99912000000000001</v>
      </c>
      <c r="I64" s="5">
        <f t="shared" si="3"/>
        <v>1703</v>
      </c>
      <c r="J64">
        <f>+H64+CF*F64*(1+($I64-1850)*slope/1000)+F64*hQc*COS(2*PI()*$I64/qbo+$L64)+F64*hQs*SIN(2*PI()*$I64/qbo+$L64)+F64*hCs*SIN(2*PI()*$I64/cw)+F64*hCc*COS(2*PI()*$I64/cw) +mix*F64*(hQc*COS(2*PI()*$I64/qbo+$L64)+hQs*SIN(2*PI()*$I64/qbo+$L64))*(hCs*SIN(2*PI()*$I64/cw)+hCc*COS(2*PI()*$I64/cw))</f>
        <v>-3.4537365129558233</v>
      </c>
      <c r="K64">
        <f>fQc*COS(2*PI()*$I64/qbo+$L64)+fQs*SIN(2*PI()*$I64/qbo+$L64)+fCs*SIN(2*PI()*$I64/cw)+fCc*COS(2*PI()*$I64/cw)</f>
        <v>2.2413776795767824</v>
      </c>
      <c r="L64">
        <f>+QMA*COS(2*PI()*$I64/QM+QMP)</f>
        <v>-0.53509702675511384</v>
      </c>
      <c r="P64">
        <f t="shared" si="4"/>
        <v>0</v>
      </c>
    </row>
    <row r="65" spans="1:16" x14ac:dyDescent="0.25">
      <c r="A65" s="1"/>
      <c r="B65" t="s">
        <v>78</v>
      </c>
      <c r="C65" t="s">
        <v>24</v>
      </c>
      <c r="D65" s="3">
        <v>2.2916666666666665</v>
      </c>
      <c r="E65" s="5">
        <f t="shared" si="0"/>
        <v>1704</v>
      </c>
      <c r="F65">
        <v>-0.69467999999999996</v>
      </c>
      <c r="G65">
        <f t="shared" si="1"/>
        <v>0.17132999999999998</v>
      </c>
      <c r="H65">
        <f t="shared" si="2"/>
        <v>0.17132999999999998</v>
      </c>
      <c r="I65" s="5">
        <f t="shared" si="3"/>
        <v>1704</v>
      </c>
      <c r="J65">
        <f>+H65+CF*F65*(1+($I65-1850)*slope/1000)+F65*hQc*COS(2*PI()*$I65/qbo+$L65)+F65*hQs*SIN(2*PI()*$I65/qbo+$L65)+F65*hCs*SIN(2*PI()*$I65/cw)+F65*hCc*COS(2*PI()*$I65/cw) +mix*F65*(hQc*COS(2*PI()*$I65/qbo+$L65)+hQs*SIN(2*PI()*$I65/qbo+$L65))*(hCs*SIN(2*PI()*$I65/cw)+hCc*COS(2*PI()*$I65/cw))</f>
        <v>4.5478899349804536E-6</v>
      </c>
      <c r="K65">
        <f>fQc*COS(2*PI()*$I65/qbo+$L65)+fQs*SIN(2*PI()*$I65/qbo+$L65)+fCs*SIN(2*PI()*$I65/cw)+fCc*COS(2*PI()*$I65/cw)</f>
        <v>0.20633697449371313</v>
      </c>
      <c r="L65">
        <f>+QMA*COS(2*PI()*$I65/QM+QMP)</f>
        <v>-0.5092217601700455</v>
      </c>
      <c r="P65">
        <f t="shared" si="4"/>
        <v>1</v>
      </c>
    </row>
    <row r="66" spans="1:16" x14ac:dyDescent="0.25">
      <c r="A66" s="1"/>
      <c r="B66" t="s">
        <v>79</v>
      </c>
      <c r="C66" t="s">
        <v>24</v>
      </c>
      <c r="D66" s="3">
        <v>2.3333333333333335</v>
      </c>
      <c r="E66" s="5">
        <f t="shared" si="0"/>
        <v>1705</v>
      </c>
      <c r="F66">
        <v>-0.50090999999999997</v>
      </c>
      <c r="G66">
        <f t="shared" si="1"/>
        <v>0.27430999999999994</v>
      </c>
      <c r="H66">
        <f t="shared" si="2"/>
        <v>0.27430999999999994</v>
      </c>
      <c r="I66" s="5">
        <f t="shared" si="3"/>
        <v>1705</v>
      </c>
      <c r="J66">
        <f>+H66+CF*F66*(1+($I66-1850)*slope/1000)+F66*hQc*COS(2*PI()*$I66/qbo+$L66)+F66*hQs*SIN(2*PI()*$I66/qbo+$L66)+F66*hCs*SIN(2*PI()*$I66/cw)+F66*hCc*COS(2*PI()*$I66/cw) +mix*F66*(hQc*COS(2*PI()*$I66/qbo+$L66)+hQs*SIN(2*PI()*$I66/qbo+$L66))*(hCs*SIN(2*PI()*$I66/cw)+hCc*COS(2*PI()*$I66/cw))</f>
        <v>-7.6347081488703648</v>
      </c>
      <c r="K66">
        <f>fQc*COS(2*PI()*$I66/qbo+$L66)+fQs*SIN(2*PI()*$I66/qbo+$L66)+fCs*SIN(2*PI()*$I66/cw)+fCc*COS(2*PI()*$I66/cw)</f>
        <v>-2.4154643859541989</v>
      </c>
      <c r="L66">
        <f>+QMA*COS(2*PI()*$I66/QM+QMP)</f>
        <v>-0.47098431209919533</v>
      </c>
      <c r="P66">
        <f t="shared" si="4"/>
        <v>1</v>
      </c>
    </row>
    <row r="67" spans="1:16" x14ac:dyDescent="0.25">
      <c r="A67" s="1"/>
      <c r="B67" t="s">
        <v>80</v>
      </c>
      <c r="C67" t="s">
        <v>24</v>
      </c>
      <c r="D67" s="3">
        <v>2.375</v>
      </c>
      <c r="E67" s="5">
        <f t="shared" si="0"/>
        <v>1706</v>
      </c>
      <c r="F67">
        <v>-3.2829999999999998E-2</v>
      </c>
      <c r="G67">
        <f t="shared" si="1"/>
        <v>-0.98914999999999986</v>
      </c>
      <c r="H67">
        <f t="shared" si="2"/>
        <v>-0.98914999999999986</v>
      </c>
      <c r="I67" s="5">
        <f t="shared" si="3"/>
        <v>1706</v>
      </c>
      <c r="J67">
        <f>+H67+CF*F67*(1+($I67-1850)*slope/1000)+F67*hQc*COS(2*PI()*$I67/qbo+$L67)+F67*hQs*SIN(2*PI()*$I67/qbo+$L67)+F67*hCs*SIN(2*PI()*$I67/cw)+F67*hCc*COS(2*PI()*$I67/cw) +mix*F67*(hQc*COS(2*PI()*$I67/qbo+$L67)+hQs*SIN(2*PI()*$I67/qbo+$L67))*(hCs*SIN(2*PI()*$I67/cw)+hCc*COS(2*PI()*$I67/cw))</f>
        <v>-0.72080606535982317</v>
      </c>
      <c r="K67">
        <f>fQc*COS(2*PI()*$I67/qbo+$L67)+fQs*SIN(2*PI()*$I67/qbo+$L67)+fCs*SIN(2*PI()*$I67/cw)+fCc*COS(2*PI()*$I67/cw)</f>
        <v>-3.8239397561174755</v>
      </c>
      <c r="L67">
        <f>+QMA*COS(2*PI()*$I67/QM+QMP)</f>
        <v>-0.42131295841289801</v>
      </c>
      <c r="P67">
        <f t="shared" si="4"/>
        <v>1</v>
      </c>
    </row>
    <row r="68" spans="1:16" x14ac:dyDescent="0.25">
      <c r="A68" s="1"/>
      <c r="B68" t="s">
        <v>81</v>
      </c>
      <c r="C68" t="s">
        <v>24</v>
      </c>
      <c r="D68" s="3">
        <v>2.4166666666666665</v>
      </c>
      <c r="E68" s="5">
        <f t="shared" si="0"/>
        <v>1707</v>
      </c>
      <c r="F68">
        <v>-0.55389999999999995</v>
      </c>
      <c r="G68">
        <f t="shared" si="1"/>
        <v>1.0324299999999997</v>
      </c>
      <c r="H68">
        <f t="shared" si="2"/>
        <v>1.0324299999999997</v>
      </c>
      <c r="I68" s="5">
        <f t="shared" si="3"/>
        <v>1707</v>
      </c>
      <c r="J68">
        <f>+H68+CF*F68*(1+($I68-1850)*slope/1000)+F68*hQc*COS(2*PI()*$I68/qbo+$L68)+F68*hQs*SIN(2*PI()*$I68/qbo+$L68)+F68*hCs*SIN(2*PI()*$I68/cw)+F68*hCc*COS(2*PI()*$I68/cw) +mix*F68*(hQc*COS(2*PI()*$I68/qbo+$L68)+hQs*SIN(2*PI()*$I68/qbo+$L68))*(hCs*SIN(2*PI()*$I68/cw)+hCc*COS(2*PI()*$I68/cw))</f>
        <v>-6.657586487122825</v>
      </c>
      <c r="K68">
        <f>fQc*COS(2*PI()*$I68/qbo+$L68)+fQs*SIN(2*PI()*$I68/qbo+$L68)+fCs*SIN(2*PI()*$I68/cw)+fCc*COS(2*PI()*$I68/cw)</f>
        <v>-2.9911574361283968</v>
      </c>
      <c r="L68">
        <f>+QMA*COS(2*PI()*$I68/QM+QMP)</f>
        <v>-0.36141355152543964</v>
      </c>
      <c r="P68">
        <f t="shared" si="4"/>
        <v>1</v>
      </c>
    </row>
    <row r="69" spans="1:16" x14ac:dyDescent="0.25">
      <c r="A69" s="1"/>
      <c r="B69" t="s">
        <v>82</v>
      </c>
      <c r="C69" t="s">
        <v>24</v>
      </c>
      <c r="D69" s="3">
        <v>2.4583333333333335</v>
      </c>
      <c r="E69" s="5">
        <f t="shared" si="0"/>
        <v>1708</v>
      </c>
      <c r="F69">
        <v>-4.2540000000000001E-2</v>
      </c>
      <c r="G69">
        <f t="shared" si="1"/>
        <v>-1.0063</v>
      </c>
      <c r="H69">
        <f t="shared" si="2"/>
        <v>-1.0063</v>
      </c>
      <c r="I69" s="5">
        <f t="shared" si="3"/>
        <v>1708</v>
      </c>
      <c r="J69">
        <f>+H69+CF*F69*(1+($I69-1850)*slope/1000)+F69*hQc*COS(2*PI()*$I69/qbo+$L69)+F69*hQs*SIN(2*PI()*$I69/qbo+$L69)+F69*hCs*SIN(2*PI()*$I69/cw)+F69*hCc*COS(2*PI()*$I69/cw) +mix*F69*(hQc*COS(2*PI()*$I69/qbo+$L69)+hQs*SIN(2*PI()*$I69/qbo+$L69))*(hCs*SIN(2*PI()*$I69/cw)+hCc*COS(2*PI()*$I69/cw))</f>
        <v>-1.0915374177782891</v>
      </c>
      <c r="K69">
        <f>fQc*COS(2*PI()*$I69/qbo+$L69)+fQs*SIN(2*PI()*$I69/qbo+$L69)+fCs*SIN(2*PI()*$I69/cw)+fCc*COS(2*PI()*$I69/cw)</f>
        <v>-1.4754204450255228</v>
      </c>
      <c r="L69">
        <f>+QMA*COS(2*PI()*$I69/QM+QMP)</f>
        <v>-0.29274024637821966</v>
      </c>
      <c r="P69">
        <f t="shared" si="4"/>
        <v>1</v>
      </c>
    </row>
    <row r="70" spans="1:16" x14ac:dyDescent="0.25">
      <c r="A70" s="1"/>
      <c r="B70" t="s">
        <v>83</v>
      </c>
      <c r="C70" t="s">
        <v>24</v>
      </c>
      <c r="D70" s="3">
        <v>2.5</v>
      </c>
      <c r="E70" s="5">
        <f t="shared" si="0"/>
        <v>1709</v>
      </c>
      <c r="F70">
        <v>-0.53747999999999996</v>
      </c>
      <c r="G70">
        <f t="shared" si="1"/>
        <v>2.1544999999999996</v>
      </c>
      <c r="H70">
        <f t="shared" si="2"/>
        <v>2.1544999999999996</v>
      </c>
      <c r="I70" s="5">
        <f t="shared" si="3"/>
        <v>1709</v>
      </c>
      <c r="J70">
        <f>+H70+CF*F70*(1+($I70-1850)*slope/1000)+F70*hQc*COS(2*PI()*$I70/qbo+$L70)+F70*hQs*SIN(2*PI()*$I70/qbo+$L70)+F70*hCs*SIN(2*PI()*$I70/cw)+F70*hCc*COS(2*PI()*$I70/cw) +mix*F70*(hQc*COS(2*PI()*$I70/qbo+$L70)+hQs*SIN(2*PI()*$I70/qbo+$L70))*(hCs*SIN(2*PI()*$I70/cw)+hCc*COS(2*PI()*$I70/cw))</f>
        <v>-0.9548277986243624</v>
      </c>
      <c r="K70">
        <f>fQc*COS(2*PI()*$I70/qbo+$L70)+fQs*SIN(2*PI()*$I70/qbo+$L70)+fCs*SIN(2*PI()*$I70/cw)+fCc*COS(2*PI()*$I70/cw)</f>
        <v>1.7624203925474315</v>
      </c>
      <c r="L70">
        <f>+QMA*COS(2*PI()*$I70/QM+QMP)</f>
        <v>-0.21696019847771089</v>
      </c>
      <c r="P70">
        <f t="shared" si="4"/>
        <v>0</v>
      </c>
    </row>
    <row r="71" spans="1:16" x14ac:dyDescent="0.25">
      <c r="A71" s="1"/>
      <c r="B71" t="s">
        <v>84</v>
      </c>
      <c r="C71" t="s">
        <v>24</v>
      </c>
      <c r="D71" s="3">
        <v>2.5416666666666665</v>
      </c>
      <c r="E71" s="5">
        <f t="shared" si="0"/>
        <v>1710</v>
      </c>
      <c r="F71">
        <v>1.12208</v>
      </c>
      <c r="G71">
        <f t="shared" si="1"/>
        <v>-2.5803599999999998</v>
      </c>
      <c r="H71">
        <f t="shared" si="2"/>
        <v>-2.5803599999999998</v>
      </c>
      <c r="I71" s="5">
        <f t="shared" si="3"/>
        <v>1710</v>
      </c>
      <c r="J71">
        <f>+H71+CF*F71*(1+($I71-1850)*slope/1000)+F71*hQc*COS(2*PI()*$I71/qbo+$L71)+F71*hQs*SIN(2*PI()*$I71/qbo+$L71)+F71*hCs*SIN(2*PI()*$I71/cw)+F71*hCc*COS(2*PI()*$I71/cw) +mix*F71*(hQc*COS(2*PI()*$I71/qbo+$L71)+hQs*SIN(2*PI()*$I71/qbo+$L71))*(hCs*SIN(2*PI()*$I71/cw)+hCc*COS(2*PI()*$I71/cw))</f>
        <v>3.6353399322618101</v>
      </c>
      <c r="K71">
        <f>fQc*COS(2*PI()*$I71/qbo+$L71)+fQs*SIN(2*PI()*$I71/qbo+$L71)+fCs*SIN(2*PI()*$I71/cw)+fCc*COS(2*PI()*$I71/cw)</f>
        <v>3.0437106658743471</v>
      </c>
      <c r="L71">
        <f>+QMA*COS(2*PI()*$I71/QM+QMP)</f>
        <v>-0.13591309100007307</v>
      </c>
      <c r="P71">
        <f t="shared" si="4"/>
        <v>1</v>
      </c>
    </row>
    <row r="72" spans="1:16" x14ac:dyDescent="0.25">
      <c r="A72" s="1"/>
      <c r="B72" t="s">
        <v>85</v>
      </c>
      <c r="C72" t="s">
        <v>24</v>
      </c>
      <c r="D72" s="3">
        <v>2.5833333333333335</v>
      </c>
      <c r="E72" s="5">
        <f t="shared" si="0"/>
        <v>1711</v>
      </c>
      <c r="F72">
        <v>0.20127999999999999</v>
      </c>
      <c r="G72">
        <f t="shared" si="1"/>
        <v>1.24187</v>
      </c>
      <c r="H72">
        <f t="shared" si="2"/>
        <v>1.24187</v>
      </c>
      <c r="I72" s="5">
        <f t="shared" si="3"/>
        <v>1711</v>
      </c>
      <c r="J72">
        <f>+H72+CF*F72*(1+($I72-1850)*slope/1000)+F72*hQc*COS(2*PI()*$I72/qbo+$L72)+F72*hQs*SIN(2*PI()*$I72/qbo+$L72)+F72*hCs*SIN(2*PI()*$I72/cw)+F72*hCc*COS(2*PI()*$I72/cw) +mix*F72*(hQc*COS(2*PI()*$I72/qbo+$L72)+hQs*SIN(2*PI()*$I72/qbo+$L72))*(hCs*SIN(2*PI()*$I72/cw)+hCc*COS(2*PI()*$I72/cw))</f>
        <v>2.7037597594175908</v>
      </c>
      <c r="K72">
        <f>fQc*COS(2*PI()*$I72/qbo+$L72)+fQs*SIN(2*PI()*$I72/qbo+$L72)+fCs*SIN(2*PI()*$I72/cw)+fCc*COS(2*PI()*$I72/cw)</f>
        <v>3.8971471294772075</v>
      </c>
      <c r="L72">
        <f>+QMA*COS(2*PI()*$I72/QM+QMP)</f>
        <v>-5.1566473508056446E-2</v>
      </c>
      <c r="P72">
        <f t="shared" si="4"/>
        <v>1</v>
      </c>
    </row>
    <row r="73" spans="1:16" x14ac:dyDescent="0.25">
      <c r="A73" s="1"/>
      <c r="B73" t="s">
        <v>86</v>
      </c>
      <c r="C73" t="s">
        <v>24</v>
      </c>
      <c r="D73" s="3">
        <v>2.625</v>
      </c>
      <c r="E73" s="5">
        <f t="shared" si="0"/>
        <v>1712</v>
      </c>
      <c r="F73">
        <v>0.52234999999999998</v>
      </c>
      <c r="G73">
        <f t="shared" si="1"/>
        <v>-0.32424999999999993</v>
      </c>
      <c r="H73">
        <f t="shared" si="2"/>
        <v>-0.32424999999999993</v>
      </c>
      <c r="I73" s="5">
        <f t="shared" si="3"/>
        <v>1712</v>
      </c>
      <c r="J73">
        <f>+H73+CF*F73*(1+($I73-1850)*slope/1000)+F73*hQc*COS(2*PI()*$I73/qbo+$L73)+F73*hQs*SIN(2*PI()*$I73/qbo+$L73)+F73*hCs*SIN(2*PI()*$I73/cw)+F73*hCc*COS(2*PI()*$I73/cw) +mix*F73*(hQc*COS(2*PI()*$I73/qbo+$L73)+hQs*SIN(2*PI()*$I73/qbo+$L73))*(hCs*SIN(2*PI()*$I73/cw)+hCc*COS(2*PI()*$I73/cw))</f>
        <v>3.1759755241626366</v>
      </c>
      <c r="K73">
        <f>fQc*COS(2*PI()*$I73/qbo+$L73)+fQs*SIN(2*PI()*$I73/qbo+$L73)+fCs*SIN(2*PI()*$I73/cw)+fCc*COS(2*PI()*$I73/cw)</f>
        <v>2.0313333686248574</v>
      </c>
      <c r="L73">
        <f>+QMA*COS(2*PI()*$I73/QM+QMP)</f>
        <v>3.4032003495798185E-2</v>
      </c>
      <c r="P73">
        <f t="shared" si="4"/>
        <v>1</v>
      </c>
    </row>
    <row r="74" spans="1:16" x14ac:dyDescent="0.25">
      <c r="A74" s="1"/>
      <c r="B74" t="s">
        <v>87</v>
      </c>
      <c r="C74" t="s">
        <v>24</v>
      </c>
      <c r="D74" s="3">
        <v>2.6666666666666665</v>
      </c>
      <c r="E74" s="5">
        <f t="shared" si="0"/>
        <v>1713</v>
      </c>
      <c r="F74">
        <v>0.51917000000000002</v>
      </c>
      <c r="G74">
        <f t="shared" si="1"/>
        <v>-0.61990000000000012</v>
      </c>
      <c r="H74">
        <f t="shared" si="2"/>
        <v>-0.61990000000000012</v>
      </c>
      <c r="I74" s="5">
        <f t="shared" si="3"/>
        <v>1713</v>
      </c>
      <c r="J74">
        <f>+H74+CF*F74*(1+($I74-1850)*slope/1000)+F74*hQc*COS(2*PI()*$I74/qbo+$L74)+F74*hQs*SIN(2*PI()*$I74/qbo+$L74)+F74*hCs*SIN(2*PI()*$I74/cw)+F74*hCc*COS(2*PI()*$I74/cw) +mix*F74*(hQc*COS(2*PI()*$I74/qbo+$L74)+hQs*SIN(2*PI()*$I74/qbo+$L74))*(hCs*SIN(2*PI()*$I74/cw)+hCc*COS(2*PI()*$I74/cw))</f>
        <v>-1.6090495775391416</v>
      </c>
      <c r="K74">
        <f>fQc*COS(2*PI()*$I74/qbo+$L74)+fQs*SIN(2*PI()*$I74/qbo+$L74)+fCs*SIN(2*PI()*$I74/cw)+fCc*COS(2*PI()*$I74/cw)</f>
        <v>-0.30122751141961823</v>
      </c>
      <c r="L74">
        <f>+QMA*COS(2*PI()*$I74/QM+QMP)</f>
        <v>0.11880429859533018</v>
      </c>
      <c r="P74">
        <f t="shared" si="4"/>
        <v>1</v>
      </c>
    </row>
    <row r="75" spans="1:16" x14ac:dyDescent="0.25">
      <c r="A75" s="1"/>
      <c r="B75" t="s">
        <v>88</v>
      </c>
      <c r="C75" t="s">
        <v>24</v>
      </c>
      <c r="D75" s="3">
        <v>2.7083333333333335</v>
      </c>
      <c r="E75" s="5">
        <f t="shared" si="0"/>
        <v>1714</v>
      </c>
      <c r="F75">
        <v>-0.10391</v>
      </c>
      <c r="G75">
        <f t="shared" si="1"/>
        <v>-5.4999999999999938E-2</v>
      </c>
      <c r="H75">
        <f t="shared" si="2"/>
        <v>-5.4999999999999938E-2</v>
      </c>
      <c r="I75" s="5">
        <f t="shared" si="3"/>
        <v>1714</v>
      </c>
      <c r="J75">
        <f>+H75+CF*F75*(1+($I75-1850)*slope/1000)+F75*hQc*COS(2*PI()*$I75/qbo+$L75)+F75*hQs*SIN(2*PI()*$I75/qbo+$L75)+F75*hCs*SIN(2*PI()*$I75/cw)+F75*hCc*COS(2*PI()*$I75/cw) +mix*F75*(hQc*COS(2*PI()*$I75/qbo+$L75)+hQs*SIN(2*PI()*$I75/qbo+$L75))*(hCs*SIN(2*PI()*$I75/cw)+hCc*COS(2*PI()*$I75/cw))</f>
        <v>-1.7418848659268749</v>
      </c>
      <c r="K75">
        <f>fQc*COS(2*PI()*$I75/qbo+$L75)+fQs*SIN(2*PI()*$I75/qbo+$L75)+fCs*SIN(2*PI()*$I75/cw)+fCc*COS(2*PI()*$I75/cw)</f>
        <v>-2.6101193277498913</v>
      </c>
      <c r="L75">
        <f>+QMA*COS(2*PI()*$I75/QM+QMP)</f>
        <v>0.20069242727579387</v>
      </c>
      <c r="P75">
        <f t="shared" si="4"/>
        <v>1</v>
      </c>
    </row>
    <row r="76" spans="1:16" x14ac:dyDescent="0.25">
      <c r="A76" s="1"/>
      <c r="B76" t="s">
        <v>89</v>
      </c>
      <c r="C76" t="s">
        <v>24</v>
      </c>
      <c r="D76" s="3">
        <v>2.75</v>
      </c>
      <c r="E76" s="5">
        <f t="shared" si="0"/>
        <v>1715</v>
      </c>
      <c r="F76">
        <v>-0.78198999999999996</v>
      </c>
      <c r="G76">
        <f t="shared" si="1"/>
        <v>0.26412999999999998</v>
      </c>
      <c r="H76">
        <f t="shared" si="2"/>
        <v>0.26412999999999998</v>
      </c>
      <c r="I76" s="5">
        <f t="shared" si="3"/>
        <v>1715</v>
      </c>
      <c r="J76">
        <f>+H76+CF*F76*(1+($I76-1850)*slope/1000)+F76*hQc*COS(2*PI()*$I76/qbo+$L76)+F76*hQs*SIN(2*PI()*$I76/qbo+$L76)+F76*hCs*SIN(2*PI()*$I76/cw)+F76*hCc*COS(2*PI()*$I76/cw) +mix*F76*(hQc*COS(2*PI()*$I76/qbo+$L76)+hQs*SIN(2*PI()*$I76/qbo+$L76))*(hCs*SIN(2*PI()*$I76/cw)+hCc*COS(2*PI()*$I76/cw))</f>
        <v>5.9218782756878223</v>
      </c>
      <c r="K76">
        <f>fQc*COS(2*PI()*$I76/qbo+$L76)+fQs*SIN(2*PI()*$I76/qbo+$L76)+fCs*SIN(2*PI()*$I76/cw)+fCc*COS(2*PI()*$I76/cw)</f>
        <v>-3.9482147406690613</v>
      </c>
      <c r="L76">
        <f>+QMA*COS(2*PI()*$I76/QM+QMP)</f>
        <v>0.27770842282518032</v>
      </c>
      <c r="P76">
        <f t="shared" si="4"/>
        <v>0</v>
      </c>
    </row>
    <row r="77" spans="1:16" x14ac:dyDescent="0.25">
      <c r="A77" s="1"/>
      <c r="B77" t="s">
        <v>90</v>
      </c>
      <c r="C77" t="s">
        <v>24</v>
      </c>
      <c r="D77" s="3">
        <v>2.7916666666666665</v>
      </c>
      <c r="E77" s="5">
        <f t="shared" ref="E77:E140" si="5">+E76+1</f>
        <v>1716</v>
      </c>
      <c r="F77">
        <v>-1.19594</v>
      </c>
      <c r="G77">
        <f t="shared" ref="G77:G140" si="6">+(F78-F77)-(F77-F76)</f>
        <v>1.0762200000000002</v>
      </c>
      <c r="H77">
        <f t="shared" ref="H77:H140" si="7">+G77</f>
        <v>1.0762200000000002</v>
      </c>
      <c r="I77" s="5">
        <f t="shared" si="3"/>
        <v>1716</v>
      </c>
      <c r="J77">
        <f>+H77+CF*F77*(1+($I77-1850)*slope/1000)+F77*hQc*COS(2*PI()*$I77/qbo+$L77)+F77*hQs*SIN(2*PI()*$I77/qbo+$L77)+F77*hCs*SIN(2*PI()*$I77/cw)+F77*hCc*COS(2*PI()*$I77/cw) +mix*F77*(hQc*COS(2*PI()*$I77/qbo+$L77)+hQs*SIN(2*PI()*$I77/qbo+$L77))*(hCs*SIN(2*PI()*$I77/cw)+hCc*COS(2*PI()*$I77/cw))</f>
        <v>-12.537940145432957</v>
      </c>
      <c r="K77">
        <f>fQc*COS(2*PI()*$I77/qbo+$L77)+fQs*SIN(2*PI()*$I77/qbo+$L77)+fCs*SIN(2*PI()*$I77/cw)+fCc*COS(2*PI()*$I77/cw)</f>
        <v>-2.7130897047668219</v>
      </c>
      <c r="L77">
        <f>+QMA*COS(2*PI()*$I77/QM+QMP)</f>
        <v>0.34798259743991417</v>
      </c>
      <c r="P77">
        <f t="shared" si="4"/>
        <v>1</v>
      </c>
    </row>
    <row r="78" spans="1:16" x14ac:dyDescent="0.25">
      <c r="A78" s="1"/>
      <c r="B78" t="s">
        <v>91</v>
      </c>
      <c r="C78" t="s">
        <v>24</v>
      </c>
      <c r="D78" s="3">
        <v>2.8333333333333335</v>
      </c>
      <c r="E78" s="5">
        <f t="shared" si="5"/>
        <v>1717</v>
      </c>
      <c r="F78">
        <v>-0.53366999999999998</v>
      </c>
      <c r="G78">
        <f t="shared" si="6"/>
        <v>0.85764999999999991</v>
      </c>
      <c r="H78">
        <f t="shared" si="7"/>
        <v>0.85764999999999991</v>
      </c>
      <c r="I78" s="5">
        <f t="shared" ref="I78:I141" si="8">+E78</f>
        <v>1717</v>
      </c>
      <c r="J78">
        <f>+H78+CF*F78*(1+($I78-1850)*slope/1000)+F78*hQc*COS(2*PI()*$I78/qbo+$L78)+F78*hQs*SIN(2*PI()*$I78/qbo+$L78)+F78*hCs*SIN(2*PI()*$I78/cw)+F78*hCc*COS(2*PI()*$I78/cw) +mix*F78*(hQc*COS(2*PI()*$I78/qbo+$L78)+hQs*SIN(2*PI()*$I78/qbo+$L78))*(hCs*SIN(2*PI()*$I78/cw)+hCc*COS(2*PI()*$I78/cw))</f>
        <v>-1.0068616861364641</v>
      </c>
      <c r="K78">
        <f>fQc*COS(2*PI()*$I78/qbo+$L78)+fQs*SIN(2*PI()*$I78/qbo+$L78)+fCs*SIN(2*PI()*$I78/cw)+fCc*COS(2*PI()*$I78/cw)</f>
        <v>-1.1146462155799624</v>
      </c>
      <c r="L78">
        <f>+QMA*COS(2*PI()*$I78/QM+QMP)</f>
        <v>0.4098089319191045</v>
      </c>
      <c r="P78">
        <f t="shared" ref="P78:P141" si="9">+IF(J78*K78&gt;0,1, 0)</f>
        <v>1</v>
      </c>
    </row>
    <row r="79" spans="1:16" x14ac:dyDescent="0.25">
      <c r="A79" s="1"/>
      <c r="B79" t="s">
        <v>92</v>
      </c>
      <c r="C79" t="s">
        <v>24</v>
      </c>
      <c r="D79" s="3">
        <v>2.875</v>
      </c>
      <c r="E79" s="5">
        <f t="shared" si="5"/>
        <v>1718</v>
      </c>
      <c r="F79">
        <v>0.98624999999999996</v>
      </c>
      <c r="G79">
        <f t="shared" si="6"/>
        <v>-1.81474</v>
      </c>
      <c r="H79">
        <f t="shared" si="7"/>
        <v>-1.81474</v>
      </c>
      <c r="I79" s="5">
        <f t="shared" si="8"/>
        <v>1718</v>
      </c>
      <c r="J79">
        <f>+H79+CF*F79*(1+($I79-1850)*slope/1000)+F79*hQc*COS(2*PI()*$I79/qbo+$L79)+F79*hQs*SIN(2*PI()*$I79/qbo+$L79)+F79*hCs*SIN(2*PI()*$I79/cw)+F79*hCc*COS(2*PI()*$I79/cw) +mix*F79*(hQc*COS(2*PI()*$I79/qbo+$L79)+hQs*SIN(2*PI()*$I79/qbo+$L79))*(hCs*SIN(2*PI()*$I79/cw)+hCc*COS(2*PI()*$I79/cw))</f>
        <v>3.6894977224459118</v>
      </c>
      <c r="K79">
        <f>fQc*COS(2*PI()*$I79/qbo+$L79)+fQs*SIN(2*PI()*$I79/qbo+$L79)+fCs*SIN(2*PI()*$I79/cw)+fCc*COS(2*PI()*$I79/cw)</f>
        <v>2.1118175710113305</v>
      </c>
      <c r="L79">
        <f>+QMA*COS(2*PI()*$I79/QM+QMP)</f>
        <v>0.46168649203882062</v>
      </c>
      <c r="P79">
        <f t="shared" si="9"/>
        <v>1</v>
      </c>
    </row>
    <row r="80" spans="1:16" x14ac:dyDescent="0.25">
      <c r="A80" s="1"/>
      <c r="B80" t="s">
        <v>93</v>
      </c>
      <c r="C80" t="s">
        <v>24</v>
      </c>
      <c r="D80" s="3">
        <v>2.9166666666666665</v>
      </c>
      <c r="E80" s="5">
        <f t="shared" si="5"/>
        <v>1719</v>
      </c>
      <c r="F80">
        <v>0.69142999999999999</v>
      </c>
      <c r="G80">
        <f t="shared" si="6"/>
        <v>0.23932999999999993</v>
      </c>
      <c r="H80">
        <f t="shared" si="7"/>
        <v>0.23932999999999993</v>
      </c>
      <c r="I80" s="5">
        <f t="shared" si="8"/>
        <v>1719</v>
      </c>
      <c r="J80">
        <f>+H80+CF*F80*(1+($I80-1850)*slope/1000)+F80*hQc*COS(2*PI()*$I80/qbo+$L80)+F80*hQs*SIN(2*PI()*$I80/qbo+$L80)+F80*hCs*SIN(2*PI()*$I80/cw)+F80*hCc*COS(2*PI()*$I80/cw) +mix*F80*(hQc*COS(2*PI()*$I80/qbo+$L80)+hQs*SIN(2*PI()*$I80/qbo+$L80))*(hCs*SIN(2*PI()*$I80/cw)+hCc*COS(2*PI()*$I80/cw))</f>
        <v>3.1493383170967104</v>
      </c>
      <c r="K80">
        <f>fQc*COS(2*PI()*$I80/qbo+$L80)+fQs*SIN(2*PI()*$I80/qbo+$L80)+fCs*SIN(2*PI()*$I80/cw)+fCc*COS(2*PI()*$I80/cw)</f>
        <v>3.2586964749445579</v>
      </c>
      <c r="L80">
        <f>+QMA*COS(2*PI()*$I80/QM+QMP)</f>
        <v>0.50235586615678685</v>
      </c>
      <c r="P80">
        <f t="shared" si="9"/>
        <v>1</v>
      </c>
    </row>
    <row r="81" spans="1:16" x14ac:dyDescent="0.25">
      <c r="A81" s="1"/>
      <c r="B81" t="s">
        <v>94</v>
      </c>
      <c r="C81" t="s">
        <v>24</v>
      </c>
      <c r="D81" s="3">
        <v>2.9583333333333335</v>
      </c>
      <c r="E81" s="5">
        <f t="shared" si="5"/>
        <v>1720</v>
      </c>
      <c r="F81">
        <v>0.63593999999999995</v>
      </c>
      <c r="G81">
        <f t="shared" si="6"/>
        <v>0.26335000000000008</v>
      </c>
      <c r="H81">
        <f t="shared" si="7"/>
        <v>0.26335000000000008</v>
      </c>
      <c r="I81" s="5">
        <f t="shared" si="8"/>
        <v>1720</v>
      </c>
      <c r="J81">
        <f>+H81+CF*F81*(1+($I81-1850)*slope/1000)+F81*hQc*COS(2*PI()*$I81/qbo+$L81)+F81*hQs*SIN(2*PI()*$I81/qbo+$L81)+F81*hCs*SIN(2*PI()*$I81/cw)+F81*hCc*COS(2*PI()*$I81/cw) +mix*F81*(hQc*COS(2*PI()*$I81/qbo+$L81)+hQs*SIN(2*PI()*$I81/qbo+$L81))*(hCs*SIN(2*PI()*$I81/cw)+hCc*COS(2*PI()*$I81/cw))</f>
        <v>4.9622981469005376</v>
      </c>
      <c r="K81">
        <f>fQc*COS(2*PI()*$I81/qbo+$L81)+fQs*SIN(2*PI()*$I81/qbo+$L81)+fCs*SIN(2*PI()*$I81/cw)+fCc*COS(2*PI()*$I81/cw)</f>
        <v>3.680420675949688</v>
      </c>
      <c r="L81">
        <f>+QMA*COS(2*PI()*$I81/QM+QMP)</f>
        <v>0.53082973946622714</v>
      </c>
      <c r="P81">
        <f t="shared" si="9"/>
        <v>1</v>
      </c>
    </row>
    <row r="82" spans="1:16" x14ac:dyDescent="0.25">
      <c r="A82" s="1"/>
      <c r="B82" t="s">
        <v>95</v>
      </c>
      <c r="C82" t="s">
        <v>24</v>
      </c>
      <c r="D82" s="3">
        <v>3</v>
      </c>
      <c r="E82" s="5">
        <f t="shared" si="5"/>
        <v>1721</v>
      </c>
      <c r="F82">
        <v>0.84379999999999999</v>
      </c>
      <c r="G82">
        <f t="shared" si="6"/>
        <v>-0.45996000000000004</v>
      </c>
      <c r="H82">
        <f t="shared" si="7"/>
        <v>-0.45996000000000004</v>
      </c>
      <c r="I82" s="5">
        <f t="shared" si="8"/>
        <v>1721</v>
      </c>
      <c r="J82">
        <f>+H82+CF*F82*(1+($I82-1850)*slope/1000)+F82*hQc*COS(2*PI()*$I82/qbo+$L82)+F82*hQs*SIN(2*PI()*$I82/qbo+$L82)+F82*hCs*SIN(2*PI()*$I82/cw)+F82*hCc*COS(2*PI()*$I82/cw) +mix*F82*(hQc*COS(2*PI()*$I82/qbo+$L82)+hQs*SIN(2*PI()*$I82/qbo+$L82))*(hCs*SIN(2*PI()*$I82/cw)+hCc*COS(2*PI()*$I82/cw))</f>
        <v>5.8254539710768913</v>
      </c>
      <c r="K82">
        <f>fQc*COS(2*PI()*$I82/qbo+$L82)+fQs*SIN(2*PI()*$I82/qbo+$L82)+fCs*SIN(2*PI()*$I82/cw)+fCc*COS(2*PI()*$I82/cw)</f>
        <v>1.8399704372696792</v>
      </c>
      <c r="L82">
        <f>+QMA*COS(2*PI()*$I82/QM+QMP)</f>
        <v>0.54641686265891265</v>
      </c>
      <c r="P82">
        <f t="shared" si="9"/>
        <v>1</v>
      </c>
    </row>
    <row r="83" spans="1:16" x14ac:dyDescent="0.25">
      <c r="A83" s="1"/>
      <c r="B83" t="s">
        <v>96</v>
      </c>
      <c r="C83" t="s">
        <v>24</v>
      </c>
      <c r="D83" s="3">
        <v>3.0416666666666665</v>
      </c>
      <c r="E83" s="5">
        <f t="shared" si="5"/>
        <v>1722</v>
      </c>
      <c r="F83">
        <v>0.5917</v>
      </c>
      <c r="G83">
        <f t="shared" si="6"/>
        <v>1.0697000000000001</v>
      </c>
      <c r="H83">
        <f t="shared" si="7"/>
        <v>1.0697000000000001</v>
      </c>
      <c r="I83" s="5">
        <f t="shared" si="8"/>
        <v>1722</v>
      </c>
      <c r="J83">
        <f>+H83+CF*F83*(1+($I83-1850)*slope/1000)+F83*hQc*COS(2*PI()*$I83/qbo+$L83)+F83*hQs*SIN(2*PI()*$I83/qbo+$L83)+F83*hCs*SIN(2*PI()*$I83/cw)+F83*hCc*COS(2*PI()*$I83/cw) +mix*F83*(hQc*COS(2*PI()*$I83/qbo+$L83)+hQs*SIN(2*PI()*$I83/qbo+$L83))*(hCs*SIN(2*PI()*$I83/cw)+hCc*COS(2*PI()*$I83/cw))</f>
        <v>-0.79036789302000909</v>
      </c>
      <c r="K83">
        <f>fQc*COS(2*PI()*$I83/qbo+$L83)+fQs*SIN(2*PI()*$I83/qbo+$L83)+fCs*SIN(2*PI()*$I83/cw)+fCc*COS(2*PI()*$I83/cw)</f>
        <v>-0.87050495490249802</v>
      </c>
      <c r="L83">
        <f>+QMA*COS(2*PI()*$I83/QM+QMP)</f>
        <v>0.54873883311966365</v>
      </c>
      <c r="P83">
        <f t="shared" si="9"/>
        <v>1</v>
      </c>
    </row>
    <row r="84" spans="1:16" x14ac:dyDescent="0.25">
      <c r="A84" s="1"/>
      <c r="B84" t="s">
        <v>97</v>
      </c>
      <c r="C84" t="s">
        <v>24</v>
      </c>
      <c r="D84" s="3">
        <v>3.0833333333333335</v>
      </c>
      <c r="E84" s="5">
        <f t="shared" si="5"/>
        <v>1723</v>
      </c>
      <c r="F84">
        <v>1.4093</v>
      </c>
      <c r="G84">
        <f t="shared" si="6"/>
        <v>-2.00299</v>
      </c>
      <c r="H84">
        <f t="shared" si="7"/>
        <v>-2.00299</v>
      </c>
      <c r="I84" s="5">
        <f t="shared" si="8"/>
        <v>1723</v>
      </c>
      <c r="J84">
        <f>+H84+CF*F84*(1+($I84-1850)*slope/1000)+F84*hQc*COS(2*PI()*$I84/qbo+$L84)+F84*hQs*SIN(2*PI()*$I84/qbo+$L84)+F84*hCs*SIN(2*PI()*$I84/cw)+F84*hCc*COS(2*PI()*$I84/cw) +mix*F84*(hQc*COS(2*PI()*$I84/qbo+$L84)+hQs*SIN(2*PI()*$I84/qbo+$L84))*(hCs*SIN(2*PI()*$I84/cw)+hCc*COS(2*PI()*$I84/cw))</f>
        <v>16.891855406517777</v>
      </c>
      <c r="K84">
        <f>fQc*COS(2*PI()*$I84/qbo+$L84)+fQs*SIN(2*PI()*$I84/qbo+$L84)+fCs*SIN(2*PI()*$I84/cw)+fCc*COS(2*PI()*$I84/cw)</f>
        <v>-2.7012233770600265</v>
      </c>
      <c r="L84">
        <f>+QMA*COS(2*PI()*$I84/QM+QMP)</f>
        <v>0.53773928126162263</v>
      </c>
      <c r="P84">
        <f t="shared" si="9"/>
        <v>0</v>
      </c>
    </row>
    <row r="85" spans="1:16" x14ac:dyDescent="0.25">
      <c r="A85" s="1"/>
      <c r="B85" t="s">
        <v>98</v>
      </c>
      <c r="C85" t="s">
        <v>24</v>
      </c>
      <c r="D85" s="3">
        <v>3.125</v>
      </c>
      <c r="E85" s="5">
        <f t="shared" si="5"/>
        <v>1724</v>
      </c>
      <c r="F85">
        <v>0.22391</v>
      </c>
      <c r="G85">
        <f t="shared" si="6"/>
        <v>-0.26653000000000016</v>
      </c>
      <c r="H85">
        <f t="shared" si="7"/>
        <v>-0.26653000000000016</v>
      </c>
      <c r="I85" s="5">
        <f t="shared" si="8"/>
        <v>1724</v>
      </c>
      <c r="J85">
        <f>+H85+CF*F85*(1+($I85-1850)*slope/1000)+F85*hQc*COS(2*PI()*$I85/qbo+$L85)+F85*hQs*SIN(2*PI()*$I85/qbo+$L85)+F85*hCs*SIN(2*PI()*$I85/cw)+F85*hCc*COS(2*PI()*$I85/cw) +mix*F85*(hQc*COS(2*PI()*$I85/qbo+$L85)+hQs*SIN(2*PI()*$I85/qbo+$L85))*(hCs*SIN(2*PI()*$I85/cw)+hCc*COS(2*PI()*$I85/cw))</f>
        <v>-0.38718047473667005</v>
      </c>
      <c r="K85">
        <f>fQc*COS(2*PI()*$I85/qbo+$L85)+fQs*SIN(2*PI()*$I85/qbo+$L85)+fCs*SIN(2*PI()*$I85/cw)+fCc*COS(2*PI()*$I85/cw)</f>
        <v>-4.0763454493928579</v>
      </c>
      <c r="L85">
        <f>+QMA*COS(2*PI()*$I85/QM+QMP)</f>
        <v>0.51368523898909069</v>
      </c>
      <c r="P85">
        <f t="shared" si="9"/>
        <v>1</v>
      </c>
    </row>
    <row r="86" spans="1:16" x14ac:dyDescent="0.25">
      <c r="A86" s="1"/>
      <c r="B86" t="s">
        <v>99</v>
      </c>
      <c r="C86" t="s">
        <v>24</v>
      </c>
      <c r="D86" s="3">
        <v>3.1666666666666665</v>
      </c>
      <c r="E86" s="5">
        <f t="shared" si="5"/>
        <v>1725</v>
      </c>
      <c r="F86">
        <v>-1.22801</v>
      </c>
      <c r="G86">
        <f t="shared" si="6"/>
        <v>4.0070200000000007</v>
      </c>
      <c r="H86">
        <f t="shared" si="7"/>
        <v>4.0070200000000007</v>
      </c>
      <c r="I86" s="5">
        <f t="shared" si="8"/>
        <v>1725</v>
      </c>
      <c r="J86">
        <f>+H86+CF*F86*(1+($I86-1850)*slope/1000)+F86*hQc*COS(2*PI()*$I86/qbo+$L86)+F86*hQs*SIN(2*PI()*$I86/qbo+$L86)+F86*hCs*SIN(2*PI()*$I86/cw)+F86*hCc*COS(2*PI()*$I86/cw) +mix*F86*(hQc*COS(2*PI()*$I86/qbo+$L86)+hQs*SIN(2*PI()*$I86/qbo+$L86))*(hCs*SIN(2*PI()*$I86/cw)+hCc*COS(2*PI()*$I86/cw))</f>
        <v>-1.2535618939779614E-4</v>
      </c>
      <c r="K86">
        <f>fQc*COS(2*PI()*$I86/qbo+$L86)+fQs*SIN(2*PI()*$I86/qbo+$L86)+fCs*SIN(2*PI()*$I86/cw)+fCc*COS(2*PI()*$I86/cw)</f>
        <v>-2.4241084764284131</v>
      </c>
      <c r="L86">
        <f>+QMA*COS(2*PI()*$I86/QM+QMP)</f>
        <v>0.47716065706636412</v>
      </c>
      <c r="P86">
        <f t="shared" si="9"/>
        <v>1</v>
      </c>
    </row>
    <row r="87" spans="1:16" x14ac:dyDescent="0.25">
      <c r="A87" s="1"/>
      <c r="B87" t="s">
        <v>100</v>
      </c>
      <c r="C87" t="s">
        <v>24</v>
      </c>
      <c r="D87" s="3">
        <v>3.2083333333333335</v>
      </c>
      <c r="E87" s="5">
        <f t="shared" si="5"/>
        <v>1726</v>
      </c>
      <c r="F87">
        <v>1.3270900000000001</v>
      </c>
      <c r="G87">
        <f t="shared" si="6"/>
        <v>-2.7964900000000004</v>
      </c>
      <c r="H87">
        <f t="shared" si="7"/>
        <v>-2.7964900000000004</v>
      </c>
      <c r="I87" s="5">
        <f t="shared" si="8"/>
        <v>1726</v>
      </c>
      <c r="J87">
        <f>+H87+CF*F87*(1+($I87-1850)*slope/1000)+F87*hQc*COS(2*PI()*$I87/qbo+$L87)+F87*hQs*SIN(2*PI()*$I87/qbo+$L87)+F87*hCs*SIN(2*PI()*$I87/cw)+F87*hCc*COS(2*PI()*$I87/cw) +mix*F87*(hQc*COS(2*PI()*$I87/qbo+$L87)+hQs*SIN(2*PI()*$I87/qbo+$L87))*(hCs*SIN(2*PI()*$I87/cw)+hCc*COS(2*PI()*$I87/cw))</f>
        <v>6.7915256137996636</v>
      </c>
      <c r="K87">
        <f>fQc*COS(2*PI()*$I87/qbo+$L87)+fQs*SIN(2*PI()*$I87/qbo+$L87)+fCs*SIN(2*PI()*$I87/cw)+fCc*COS(2*PI()*$I87/cw)</f>
        <v>-0.62144465108173164</v>
      </c>
      <c r="L87">
        <f>+QMA*COS(2*PI()*$I87/QM+QMP)</f>
        <v>0.42905222876879845</v>
      </c>
      <c r="P87">
        <f t="shared" si="9"/>
        <v>0</v>
      </c>
    </row>
    <row r="88" spans="1:16" x14ac:dyDescent="0.25">
      <c r="A88" s="1"/>
      <c r="B88" t="s">
        <v>101</v>
      </c>
      <c r="C88" t="s">
        <v>24</v>
      </c>
      <c r="D88" s="3">
        <v>3.25</v>
      </c>
      <c r="E88" s="5">
        <f t="shared" si="5"/>
        <v>1727</v>
      </c>
      <c r="F88">
        <v>1.0857000000000001</v>
      </c>
      <c r="G88">
        <f t="shared" si="6"/>
        <v>-1.32742</v>
      </c>
      <c r="H88">
        <f t="shared" si="7"/>
        <v>-1.32742</v>
      </c>
      <c r="I88" s="5">
        <f t="shared" si="8"/>
        <v>1727</v>
      </c>
      <c r="J88">
        <f>+H88+CF*F88*(1+($I88-1850)*slope/1000)+F88*hQc*COS(2*PI()*$I88/qbo+$L88)+F88*hQs*SIN(2*PI()*$I88/qbo+$L88)+F88*hCs*SIN(2*PI()*$I88/cw)+F88*hCc*COS(2*PI()*$I88/cw) +mix*F88*(hQc*COS(2*PI()*$I88/qbo+$L88)+hQs*SIN(2*PI()*$I88/qbo+$L88))*(hCs*SIN(2*PI()*$I88/cw)+hCc*COS(2*PI()*$I88/cw))</f>
        <v>5.5958522966526436</v>
      </c>
      <c r="K88">
        <f>fQc*COS(2*PI()*$I88/qbo+$L88)+fQs*SIN(2*PI()*$I88/qbo+$L88)+fCs*SIN(2*PI()*$I88/cw)+fCc*COS(2*PI()*$I88/cw)</f>
        <v>2.2141812639633081</v>
      </c>
      <c r="L88">
        <f>+QMA*COS(2*PI()*$I88/QM+QMP)</f>
        <v>0.37052786397011395</v>
      </c>
      <c r="P88">
        <f t="shared" si="9"/>
        <v>1</v>
      </c>
    </row>
    <row r="89" spans="1:16" x14ac:dyDescent="0.25">
      <c r="A89" s="1"/>
      <c r="B89" t="s">
        <v>102</v>
      </c>
      <c r="C89" t="s">
        <v>24</v>
      </c>
      <c r="D89" s="3">
        <v>3.2916666666666665</v>
      </c>
      <c r="E89" s="5">
        <f t="shared" si="5"/>
        <v>1728</v>
      </c>
      <c r="F89">
        <v>-0.48310999999999998</v>
      </c>
      <c r="G89">
        <f t="shared" si="6"/>
        <v>1.4823</v>
      </c>
      <c r="H89">
        <f t="shared" si="7"/>
        <v>1.4823</v>
      </c>
      <c r="I89" s="5">
        <f t="shared" si="8"/>
        <v>1728</v>
      </c>
      <c r="J89">
        <f>+H89+CF*F89*(1+($I89-1850)*slope/1000)+F89*hQc*COS(2*PI()*$I89/qbo+$L89)+F89*hQs*SIN(2*PI()*$I89/qbo+$L89)+F89*hCs*SIN(2*PI()*$I89/cw)+F89*hCc*COS(2*PI()*$I89/cw) +mix*F89*(hQc*COS(2*PI()*$I89/qbo+$L89)+hQs*SIN(2*PI()*$I89/qbo+$L89))*(hCs*SIN(2*PI()*$I89/cw)+hCc*COS(2*PI()*$I89/cw))</f>
        <v>0.45530321449973199</v>
      </c>
      <c r="K89">
        <f>fQc*COS(2*PI()*$I89/qbo+$L89)+fQs*SIN(2*PI()*$I89/qbo+$L89)+fCs*SIN(2*PI()*$I89/cw)+fCc*COS(2*PI()*$I89/cw)</f>
        <v>3.7266593900471117</v>
      </c>
      <c r="L89">
        <f>+QMA*COS(2*PI()*$I89/QM+QMP)</f>
        <v>0.30300833624203161</v>
      </c>
      <c r="P89">
        <f t="shared" si="9"/>
        <v>1</v>
      </c>
    </row>
    <row r="90" spans="1:16" x14ac:dyDescent="0.25">
      <c r="A90" s="1"/>
      <c r="B90" t="s">
        <v>103</v>
      </c>
      <c r="C90" t="s">
        <v>24</v>
      </c>
      <c r="D90" s="3">
        <v>3.3333333333333335</v>
      </c>
      <c r="E90" s="5">
        <f t="shared" si="5"/>
        <v>1729</v>
      </c>
      <c r="F90">
        <v>-0.56962000000000002</v>
      </c>
      <c r="G90">
        <f t="shared" si="6"/>
        <v>5.3220000000000101E-2</v>
      </c>
      <c r="H90">
        <f t="shared" si="7"/>
        <v>5.3220000000000101E-2</v>
      </c>
      <c r="I90" s="5">
        <f t="shared" si="8"/>
        <v>1729</v>
      </c>
      <c r="J90">
        <f>+H90+CF*F90*(1+($I90-1850)*slope/1000)+F90*hQc*COS(2*PI()*$I90/qbo+$L90)+F90*hQs*SIN(2*PI()*$I90/qbo+$L90)+F90*hCs*SIN(2*PI()*$I90/cw)+F90*hCc*COS(2*PI()*$I90/cw) +mix*F90*(hQc*COS(2*PI()*$I90/qbo+$L90)+hQs*SIN(2*PI()*$I90/qbo+$L90))*(hCs*SIN(2*PI()*$I90/cw)+hCc*COS(2*PI()*$I90/cw))</f>
        <v>-3.7652659789973204</v>
      </c>
      <c r="K90">
        <f>fQc*COS(2*PI()*$I90/qbo+$L90)+fQs*SIN(2*PI()*$I90/qbo+$L90)+fCs*SIN(2*PI()*$I90/cw)+fCc*COS(2*PI()*$I90/cw)</f>
        <v>3.140162691094825</v>
      </c>
      <c r="L90">
        <f>+QMA*COS(2*PI()*$I90/QM+QMP)</f>
        <v>0.22813279127876729</v>
      </c>
      <c r="P90">
        <f t="shared" si="9"/>
        <v>0</v>
      </c>
    </row>
    <row r="91" spans="1:16" x14ac:dyDescent="0.25">
      <c r="A91" s="1"/>
      <c r="B91" t="s">
        <v>104</v>
      </c>
      <c r="C91" t="s">
        <v>24</v>
      </c>
      <c r="D91" s="3">
        <v>3.375</v>
      </c>
      <c r="E91" s="5">
        <f t="shared" si="5"/>
        <v>1730</v>
      </c>
      <c r="F91">
        <v>-0.60290999999999995</v>
      </c>
      <c r="G91">
        <f t="shared" si="6"/>
        <v>0.26333999999999985</v>
      </c>
      <c r="H91">
        <f t="shared" si="7"/>
        <v>0.26333999999999985</v>
      </c>
      <c r="I91" s="5">
        <f t="shared" si="8"/>
        <v>1730</v>
      </c>
      <c r="J91">
        <f>+H91+CF*F91*(1+($I91-1850)*slope/1000)+F91*hQc*COS(2*PI()*$I91/qbo+$L91)+F91*hQs*SIN(2*PI()*$I91/qbo+$L91)+F91*hCs*SIN(2*PI()*$I91/cw)+F91*hCc*COS(2*PI()*$I91/cw) +mix*F91*(hQc*COS(2*PI()*$I91/qbo+$L91)+hQs*SIN(2*PI()*$I91/qbo+$L91))*(hCs*SIN(2*PI()*$I91/cw)+hCc*COS(2*PI()*$I91/cw))</f>
        <v>-3.4083965450837863</v>
      </c>
      <c r="K91">
        <f>fQc*COS(2*PI()*$I91/qbo+$L91)+fQs*SIN(2*PI()*$I91/qbo+$L91)+fCs*SIN(2*PI()*$I91/cw)+fCc*COS(2*PI()*$I91/cw)</f>
        <v>1.8090672107804353</v>
      </c>
      <c r="L91">
        <f>+QMA*COS(2*PI()*$I91/QM+QMP)</f>
        <v>0.14771895398544943</v>
      </c>
      <c r="P91">
        <f t="shared" si="9"/>
        <v>0</v>
      </c>
    </row>
    <row r="92" spans="1:16" x14ac:dyDescent="0.25">
      <c r="A92" s="1"/>
      <c r="B92" t="s">
        <v>105</v>
      </c>
      <c r="C92" t="s">
        <v>24</v>
      </c>
      <c r="D92" s="3">
        <v>3.4166666666666665</v>
      </c>
      <c r="E92" s="5">
        <f t="shared" si="5"/>
        <v>1731</v>
      </c>
      <c r="F92">
        <v>-0.37286000000000002</v>
      </c>
      <c r="G92">
        <f t="shared" si="6"/>
        <v>-0.2749299999999999</v>
      </c>
      <c r="H92">
        <f t="shared" si="7"/>
        <v>-0.2749299999999999</v>
      </c>
      <c r="I92" s="5">
        <f t="shared" si="8"/>
        <v>1731</v>
      </c>
      <c r="J92">
        <f>+H92+CF*F92*(1+($I92-1850)*slope/1000)+F92*hQc*COS(2*PI()*$I92/qbo+$L92)+F92*hQs*SIN(2*PI()*$I92/qbo+$L92)+F92*hCs*SIN(2*PI()*$I92/cw)+F92*hCc*COS(2*PI()*$I92/cw) +mix*F92*(hQc*COS(2*PI()*$I92/qbo+$L92)+hQs*SIN(2*PI()*$I92/qbo+$L92))*(hCs*SIN(2*PI()*$I92/cw)+hCc*COS(2*PI()*$I92/cw))</f>
        <v>-2.3207713478611747</v>
      </c>
      <c r="K92">
        <f>fQc*COS(2*PI()*$I92/qbo+$L92)+fQs*SIN(2*PI()*$I92/qbo+$L92)+fCs*SIN(2*PI()*$I92/cw)+fCc*COS(2*PI()*$I92/cw)</f>
        <v>-1.4303246168744752</v>
      </c>
      <c r="L92">
        <f>+QMA*COS(2*PI()*$I92/QM+QMP)</f>
        <v>6.3719000267271036E-2</v>
      </c>
      <c r="P92">
        <f t="shared" si="9"/>
        <v>1</v>
      </c>
    </row>
    <row r="93" spans="1:16" x14ac:dyDescent="0.25">
      <c r="A93" s="1"/>
      <c r="B93" t="s">
        <v>106</v>
      </c>
      <c r="C93" t="s">
        <v>24</v>
      </c>
      <c r="D93" s="3">
        <v>3.4583333333333335</v>
      </c>
      <c r="E93" s="5">
        <f t="shared" si="5"/>
        <v>1732</v>
      </c>
      <c r="F93">
        <v>-0.41774</v>
      </c>
      <c r="G93">
        <f t="shared" si="6"/>
        <v>-1.03712</v>
      </c>
      <c r="H93">
        <f t="shared" si="7"/>
        <v>-1.03712</v>
      </c>
      <c r="I93" s="5">
        <f t="shared" si="8"/>
        <v>1732</v>
      </c>
      <c r="J93">
        <f>+H93+CF*F93*(1+($I93-1850)*slope/1000)+F93*hQc*COS(2*PI()*$I93/qbo+$L93)+F93*hQs*SIN(2*PI()*$I93/qbo+$L93)+F93*hCs*SIN(2*PI()*$I93/cw)+F93*hCc*COS(2*PI()*$I93/cw) +mix*F93*(hQc*COS(2*PI()*$I93/qbo+$L93)+hQs*SIN(2*PI()*$I93/qbo+$L93))*(hCs*SIN(2*PI()*$I93/cw)+hCc*COS(2*PI()*$I93/cw))</f>
        <v>0.61279521440370477</v>
      </c>
      <c r="K93">
        <f>fQc*COS(2*PI()*$I93/qbo+$L93)+fQs*SIN(2*PI()*$I93/qbo+$L93)+fCs*SIN(2*PI()*$I93/cw)+fCc*COS(2*PI()*$I93/cw)</f>
        <v>-2.9753354016448816</v>
      </c>
      <c r="L93">
        <f>+QMA*COS(2*PI()*$I93/QM+QMP)</f>
        <v>-2.1827835196756101E-2</v>
      </c>
      <c r="P93">
        <f t="shared" si="9"/>
        <v>0</v>
      </c>
    </row>
    <row r="94" spans="1:16" x14ac:dyDescent="0.25">
      <c r="A94" s="1"/>
      <c r="B94" t="s">
        <v>107</v>
      </c>
      <c r="C94" t="s">
        <v>24</v>
      </c>
      <c r="D94" s="3">
        <v>3.5</v>
      </c>
      <c r="E94" s="5">
        <f t="shared" si="5"/>
        <v>1733</v>
      </c>
      <c r="F94">
        <v>-1.4997400000000001</v>
      </c>
      <c r="G94">
        <f t="shared" si="6"/>
        <v>2.6493099999999998</v>
      </c>
      <c r="H94">
        <f t="shared" si="7"/>
        <v>2.6493099999999998</v>
      </c>
      <c r="I94" s="5">
        <f t="shared" si="8"/>
        <v>1733</v>
      </c>
      <c r="J94">
        <f>+H94+CF*F94*(1+($I94-1850)*slope/1000)+F94*hQc*COS(2*PI()*$I94/qbo+$L94)+F94*hQs*SIN(2*PI()*$I94/qbo+$L94)+F94*hCs*SIN(2*PI()*$I94/cw)+F94*hCc*COS(2*PI()*$I94/cw) +mix*F94*(hQc*COS(2*PI()*$I94/qbo+$L94)+hQs*SIN(2*PI()*$I94/qbo+$L94))*(hCs*SIN(2*PI()*$I94/cw)+hCc*COS(2*PI()*$I94/cw))</f>
        <v>-20.817070348243579</v>
      </c>
      <c r="K94">
        <f>fQc*COS(2*PI()*$I94/qbo+$L94)+fQs*SIN(2*PI()*$I94/qbo+$L94)+fCs*SIN(2*PI()*$I94/cw)+fCc*COS(2*PI()*$I94/cw)</f>
        <v>-3.768104907639263</v>
      </c>
      <c r="L94">
        <f>+QMA*COS(2*PI()*$I94/QM+QMP)</f>
        <v>-0.10684476467237117</v>
      </c>
      <c r="P94">
        <f t="shared" si="9"/>
        <v>1</v>
      </c>
    </row>
    <row r="95" spans="1:16" x14ac:dyDescent="0.25">
      <c r="A95" s="1"/>
      <c r="B95" t="s">
        <v>108</v>
      </c>
      <c r="C95" t="s">
        <v>24</v>
      </c>
      <c r="D95" s="3">
        <v>3.5416666666666665</v>
      </c>
      <c r="E95" s="5">
        <f t="shared" si="5"/>
        <v>1734</v>
      </c>
      <c r="F95">
        <v>6.7570000000000005E-2</v>
      </c>
      <c r="G95">
        <f t="shared" si="6"/>
        <v>-1.6783299999999999</v>
      </c>
      <c r="H95">
        <f t="shared" si="7"/>
        <v>-1.6783299999999999</v>
      </c>
      <c r="I95" s="5">
        <f t="shared" si="8"/>
        <v>1734</v>
      </c>
      <c r="J95">
        <f>+H95+CF*F95*(1+($I95-1850)*slope/1000)+F95*hQc*COS(2*PI()*$I95/qbo+$L95)+F95*hQs*SIN(2*PI()*$I95/qbo+$L95)+F95*hCs*SIN(2*PI()*$I95/cw)+F95*hCc*COS(2*PI()*$I95/cw) +mix*F95*(hQc*COS(2*PI()*$I95/qbo+$L95)+hQs*SIN(2*PI()*$I95/qbo+$L95))*(hCs*SIN(2*PI()*$I95/cw)+hCc*COS(2*PI()*$I95/cw))</f>
        <v>-1.97688068510421</v>
      </c>
      <c r="K95">
        <f>fQc*COS(2*PI()*$I95/qbo+$L95)+fQs*SIN(2*PI()*$I95/qbo+$L95)+fCs*SIN(2*PI()*$I95/cw)+fCc*COS(2*PI()*$I95/cw)</f>
        <v>-2.5684542803521988</v>
      </c>
      <c r="L95">
        <f>+QMA*COS(2*PI()*$I95/QM+QMP)</f>
        <v>-0.18926786474990917</v>
      </c>
      <c r="P95">
        <f t="shared" si="9"/>
        <v>1</v>
      </c>
    </row>
    <row r="96" spans="1:16" x14ac:dyDescent="0.25">
      <c r="A96" s="1"/>
      <c r="B96" t="s">
        <v>109</v>
      </c>
      <c r="C96" t="s">
        <v>24</v>
      </c>
      <c r="D96" s="3">
        <v>3.5833333333333335</v>
      </c>
      <c r="E96" s="5">
        <f t="shared" si="5"/>
        <v>1735</v>
      </c>
      <c r="F96">
        <v>-4.3450000000000003E-2</v>
      </c>
      <c r="G96">
        <f t="shared" si="6"/>
        <v>0.40123999999999999</v>
      </c>
      <c r="H96">
        <f t="shared" si="7"/>
        <v>0.40123999999999999</v>
      </c>
      <c r="I96" s="5">
        <f t="shared" si="8"/>
        <v>1735</v>
      </c>
      <c r="J96">
        <f>+H96+CF*F96*(1+($I96-1850)*slope/1000)+F96*hQc*COS(2*PI()*$I96/qbo+$L96)+F96*hQs*SIN(2*PI()*$I96/qbo+$L96)+F96*hCs*SIN(2*PI()*$I96/cw)+F96*hCc*COS(2*PI()*$I96/cw) +mix*F96*(hQc*COS(2*PI()*$I96/qbo+$L96)+hQs*SIN(2*PI()*$I96/qbo+$L96))*(hCs*SIN(2*PI()*$I96/cw)+hCc*COS(2*PI()*$I96/cw))</f>
        <v>9.5256463411182365E-2</v>
      </c>
      <c r="K96">
        <f>fQc*COS(2*PI()*$I96/qbo+$L96)+fQs*SIN(2*PI()*$I96/qbo+$L96)+fCs*SIN(2*PI()*$I96/cw)+fCc*COS(2*PI()*$I96/cw)</f>
        <v>0.2618041805043555</v>
      </c>
      <c r="L96">
        <f>+QMA*COS(2*PI()*$I96/QM+QMP)</f>
        <v>-0.26709618142171943</v>
      </c>
      <c r="P96">
        <f t="shared" si="9"/>
        <v>1</v>
      </c>
    </row>
    <row r="97" spans="1:16" x14ac:dyDescent="0.25">
      <c r="A97" s="1"/>
      <c r="B97" t="s">
        <v>110</v>
      </c>
      <c r="C97" t="s">
        <v>24</v>
      </c>
      <c r="D97" s="3">
        <v>3.625</v>
      </c>
      <c r="E97" s="5">
        <f t="shared" si="5"/>
        <v>1736</v>
      </c>
      <c r="F97">
        <v>0.24676999999999999</v>
      </c>
      <c r="G97">
        <f t="shared" si="6"/>
        <v>0.38614000000000009</v>
      </c>
      <c r="H97">
        <f t="shared" si="7"/>
        <v>0.38614000000000009</v>
      </c>
      <c r="I97" s="5">
        <f t="shared" si="8"/>
        <v>1736</v>
      </c>
      <c r="J97">
        <f>+H97+CF*F97*(1+($I97-1850)*slope/1000)+F97*hQc*COS(2*PI()*$I97/qbo+$L97)+F97*hQs*SIN(2*PI()*$I97/qbo+$L97)+F97*hCs*SIN(2*PI()*$I97/cw)+F97*hCc*COS(2*PI()*$I97/cw) +mix*F97*(hQc*COS(2*PI()*$I97/qbo+$L97)+hQs*SIN(2*PI()*$I97/qbo+$L97))*(hCs*SIN(2*PI()*$I97/cw)+hCc*COS(2*PI()*$I97/cw))</f>
        <v>1.7817832135225418</v>
      </c>
      <c r="K97">
        <f>fQc*COS(2*PI()*$I97/qbo+$L97)+fQs*SIN(2*PI()*$I97/qbo+$L97)+fCs*SIN(2*PI()*$I97/cw)+fCc*COS(2*PI()*$I97/cw)</f>
        <v>2.1266958438742893</v>
      </c>
      <c r="L97">
        <f>+QMA*COS(2*PI()*$I97/QM+QMP)</f>
        <v>-0.33844030647570778</v>
      </c>
      <c r="P97">
        <f t="shared" si="9"/>
        <v>1</v>
      </c>
    </row>
    <row r="98" spans="1:16" x14ac:dyDescent="0.25">
      <c r="A98" s="1"/>
      <c r="B98" t="s">
        <v>111</v>
      </c>
      <c r="C98" t="s">
        <v>24</v>
      </c>
      <c r="D98" s="3">
        <v>3.6666666666666665</v>
      </c>
      <c r="E98" s="5">
        <f t="shared" si="5"/>
        <v>1737</v>
      </c>
      <c r="F98">
        <v>0.92313000000000001</v>
      </c>
      <c r="G98">
        <f t="shared" si="6"/>
        <v>-0.4811700000000001</v>
      </c>
      <c r="H98">
        <f t="shared" si="7"/>
        <v>-0.4811700000000001</v>
      </c>
      <c r="I98" s="5">
        <f t="shared" si="8"/>
        <v>1737</v>
      </c>
      <c r="J98">
        <f>+H98+CF*F98*(1+($I98-1850)*slope/1000)+F98*hQc*COS(2*PI()*$I98/qbo+$L98)+F98*hQs*SIN(2*PI()*$I98/qbo+$L98)+F98*hCs*SIN(2*PI()*$I98/cw)+F98*hCc*COS(2*PI()*$I98/cw) +mix*F98*(hQc*COS(2*PI()*$I98/qbo+$L98)+hQs*SIN(2*PI()*$I98/qbo+$L98))*(hCs*SIN(2*PI()*$I98/cw)+hCc*COS(2*PI()*$I98/cw))</f>
        <v>5.0034719802761982</v>
      </c>
      <c r="K98">
        <f>fQc*COS(2*PI()*$I98/qbo+$L98)+fQs*SIN(2*PI()*$I98/qbo+$L98)+fCs*SIN(2*PI()*$I98/cw)+fCc*COS(2*PI()*$I98/cw)</f>
        <v>4.0188178089585085</v>
      </c>
      <c r="L98">
        <f>+QMA*COS(2*PI()*$I98/QM+QMP)</f>
        <v>-0.40156824593435686</v>
      </c>
      <c r="P98">
        <f t="shared" si="9"/>
        <v>1</v>
      </c>
    </row>
    <row r="99" spans="1:16" x14ac:dyDescent="0.25">
      <c r="A99" s="1"/>
      <c r="B99" t="s">
        <v>112</v>
      </c>
      <c r="C99" t="s">
        <v>24</v>
      </c>
      <c r="D99" s="3">
        <v>3.7083333333333335</v>
      </c>
      <c r="E99" s="5">
        <f t="shared" si="5"/>
        <v>1738</v>
      </c>
      <c r="F99">
        <v>1.11832</v>
      </c>
      <c r="G99">
        <f t="shared" si="6"/>
        <v>-1.9736899999999999</v>
      </c>
      <c r="H99">
        <f t="shared" si="7"/>
        <v>-1.9736899999999999</v>
      </c>
      <c r="I99" s="5">
        <f t="shared" si="8"/>
        <v>1738</v>
      </c>
      <c r="J99">
        <f>+H99+CF*F99*(1+($I99-1850)*slope/1000)+F99*hQc*COS(2*PI()*$I99/qbo+$L99)+F99*hQs*SIN(2*PI()*$I99/qbo+$L99)+F99*hCs*SIN(2*PI()*$I99/cw)+F99*hCc*COS(2*PI()*$I99/cw) +mix*F99*(hQc*COS(2*PI()*$I99/qbo+$L99)+hQs*SIN(2*PI()*$I99/qbo+$L99))*(hCs*SIN(2*PI()*$I99/cw)+hCc*COS(2*PI()*$I99/cw))</f>
        <v>2.8005935322393567</v>
      </c>
      <c r="K99">
        <f>fQc*COS(2*PI()*$I99/qbo+$L99)+fQs*SIN(2*PI()*$I99/qbo+$L99)+fCs*SIN(2*PI()*$I99/cw)+fCc*COS(2*PI()*$I99/cw)</f>
        <v>2.9817034883500257</v>
      </c>
      <c r="L99">
        <f>+QMA*COS(2*PI()*$I99/QM+QMP)</f>
        <v>-0.45494746700848543</v>
      </c>
      <c r="P99">
        <f t="shared" si="9"/>
        <v>1</v>
      </c>
    </row>
    <row r="100" spans="1:16" x14ac:dyDescent="0.25">
      <c r="A100" s="1"/>
      <c r="B100" t="s">
        <v>113</v>
      </c>
      <c r="C100" t="s">
        <v>24</v>
      </c>
      <c r="D100" s="3">
        <v>3.75</v>
      </c>
      <c r="E100" s="5">
        <f t="shared" si="5"/>
        <v>1739</v>
      </c>
      <c r="F100">
        <v>-0.66017999999999999</v>
      </c>
      <c r="G100">
        <f t="shared" si="6"/>
        <v>2.4390399999999999</v>
      </c>
      <c r="H100">
        <f t="shared" si="7"/>
        <v>2.4390399999999999</v>
      </c>
      <c r="I100" s="5">
        <f t="shared" si="8"/>
        <v>1739</v>
      </c>
      <c r="J100">
        <f>+H100+CF*F100*(1+($I100-1850)*slope/1000)+F100*hQc*COS(2*PI()*$I100/qbo+$L100)+F100*hQs*SIN(2*PI()*$I100/qbo+$L100)+F100*hCs*SIN(2*PI()*$I100/cw)+F100*hCc*COS(2*PI()*$I100/cw) +mix*F100*(hQc*COS(2*PI()*$I100/qbo+$L100)+hQs*SIN(2*PI()*$I100/qbo+$L100))*(hCs*SIN(2*PI()*$I100/cw)+hCc*COS(2*PI()*$I100/cw))</f>
        <v>1.9526881910688161</v>
      </c>
      <c r="K100">
        <f>fQc*COS(2*PI()*$I100/qbo+$L100)+fQs*SIN(2*PI()*$I100/qbo+$L100)+fCs*SIN(2*PI()*$I100/cw)+fCc*COS(2*PI()*$I100/cw)</f>
        <v>1.1698334042784873</v>
      </c>
      <c r="L100">
        <f>+QMA*COS(2*PI()*$I100/QM+QMP)</f>
        <v>-0.49728210280844121</v>
      </c>
      <c r="P100">
        <f t="shared" si="9"/>
        <v>1</v>
      </c>
    </row>
    <row r="101" spans="1:16" x14ac:dyDescent="0.25">
      <c r="A101" s="1"/>
      <c r="B101" t="s">
        <v>114</v>
      </c>
      <c r="C101" t="s">
        <v>24</v>
      </c>
      <c r="D101" s="3">
        <v>3.7916666666666665</v>
      </c>
      <c r="E101" s="5">
        <f t="shared" si="5"/>
        <v>1740</v>
      </c>
      <c r="F101">
        <v>3.6000000000000002E-4</v>
      </c>
      <c r="G101">
        <f t="shared" si="6"/>
        <v>-0.43651000000000001</v>
      </c>
      <c r="H101">
        <f t="shared" si="7"/>
        <v>-0.43651000000000001</v>
      </c>
      <c r="I101" s="5">
        <f t="shared" si="8"/>
        <v>1740</v>
      </c>
      <c r="J101">
        <f>+H101+CF*F101*(1+($I101-1850)*slope/1000)+F101*hQc*COS(2*PI()*$I101/qbo+$L101)+F101*hQs*SIN(2*PI()*$I101/qbo+$L101)+F101*hCs*SIN(2*PI()*$I101/cw)+F101*hCc*COS(2*PI()*$I101/cw) +mix*F101*(hQc*COS(2*PI()*$I101/qbo+$L101)+hQs*SIN(2*PI()*$I101/qbo+$L101))*(hCs*SIN(2*PI()*$I101/cw)+hCc*COS(2*PI()*$I101/cw))</f>
        <v>-0.43167966401017316</v>
      </c>
      <c r="K101">
        <f>fQc*COS(2*PI()*$I101/qbo+$L101)+fQs*SIN(2*PI()*$I101/qbo+$L101)+fCs*SIN(2*PI()*$I101/cw)+fCc*COS(2*PI()*$I101/cw)</f>
        <v>-1.3913043624008421</v>
      </c>
      <c r="L101">
        <f>+QMA*COS(2*PI()*$I101/QM+QMP)</f>
        <v>-0.52754441160790233</v>
      </c>
      <c r="P101">
        <f t="shared" si="9"/>
        <v>1</v>
      </c>
    </row>
    <row r="102" spans="1:16" x14ac:dyDescent="0.25">
      <c r="A102" s="1"/>
      <c r="B102" t="s">
        <v>115</v>
      </c>
      <c r="C102" t="s">
        <v>24</v>
      </c>
      <c r="D102" s="3">
        <v>3.8333333333333335</v>
      </c>
      <c r="E102" s="5">
        <f t="shared" si="5"/>
        <v>1741</v>
      </c>
      <c r="F102">
        <v>0.22439000000000001</v>
      </c>
      <c r="G102">
        <f t="shared" si="6"/>
        <v>-2.0484300000000002</v>
      </c>
      <c r="H102">
        <f t="shared" si="7"/>
        <v>-2.0484300000000002</v>
      </c>
      <c r="I102" s="5">
        <f t="shared" si="8"/>
        <v>1741</v>
      </c>
      <c r="J102">
        <f>+H102+CF*F102*(1+($I102-1850)*slope/1000)+F102*hQc*COS(2*PI()*$I102/qbo+$L102)+F102*hQs*SIN(2*PI()*$I102/qbo+$L102)+F102*hCs*SIN(2*PI()*$I102/cw)+F102*hCc*COS(2*PI()*$I102/cw) +mix*F102*(hQc*COS(2*PI()*$I102/qbo+$L102)+hQs*SIN(2*PI()*$I102/qbo+$L102))*(hCs*SIN(2*PI()*$I102/cw)+hCc*COS(2*PI()*$I102/cw))</f>
        <v>-3.5913120363237909</v>
      </c>
      <c r="K102">
        <f>fQc*COS(2*PI()*$I102/qbo+$L102)+fQs*SIN(2*PI()*$I102/qbo+$L102)+fCs*SIN(2*PI()*$I102/cw)+fCc*COS(2*PI()*$I102/cw)</f>
        <v>-3.6143301081396211</v>
      </c>
      <c r="L102">
        <f>+QMA*COS(2*PI()*$I102/QM+QMP)</f>
        <v>-0.54499972693573906</v>
      </c>
      <c r="P102">
        <f t="shared" si="9"/>
        <v>1</v>
      </c>
    </row>
    <row r="103" spans="1:16" x14ac:dyDescent="0.25">
      <c r="A103" s="1"/>
      <c r="B103" t="s">
        <v>116</v>
      </c>
      <c r="C103" t="s">
        <v>24</v>
      </c>
      <c r="D103" s="3">
        <v>3.875</v>
      </c>
      <c r="E103" s="5">
        <f t="shared" si="5"/>
        <v>1742</v>
      </c>
      <c r="F103">
        <v>-1.6000099999999999</v>
      </c>
      <c r="G103">
        <f t="shared" si="6"/>
        <v>2.9113899999999999</v>
      </c>
      <c r="H103">
        <f t="shared" si="7"/>
        <v>2.9113899999999999</v>
      </c>
      <c r="I103" s="5">
        <f t="shared" si="8"/>
        <v>1742</v>
      </c>
      <c r="J103">
        <f>+H103+CF*F103*(1+($I103-1850)*slope/1000)+F103*hQc*COS(2*PI()*$I103/qbo+$L103)+F103*hQs*SIN(2*PI()*$I103/qbo+$L103)+F103*hCs*SIN(2*PI()*$I103/cw)+F103*hCc*COS(2*PI()*$I103/cw) +mix*F103*(hQc*COS(2*PI()*$I103/qbo+$L103)+hQs*SIN(2*PI()*$I103/qbo+$L103))*(hCs*SIN(2*PI()*$I103/cw)+hCc*COS(2*PI()*$I103/cw))</f>
        <v>-12.313258546331461</v>
      </c>
      <c r="K103">
        <f>fQc*COS(2*PI()*$I103/qbo+$L103)+fQs*SIN(2*PI()*$I103/qbo+$L103)+fCs*SIN(2*PI()*$I103/cw)+fCc*COS(2*PI()*$I103/cw)</f>
        <v>-3.3225844994856453</v>
      </c>
      <c r="L103">
        <f>+QMA*COS(2*PI()*$I103/QM+QMP)</f>
        <v>-0.54922429279240048</v>
      </c>
      <c r="P103">
        <f t="shared" si="9"/>
        <v>1</v>
      </c>
    </row>
    <row r="104" spans="1:16" x14ac:dyDescent="0.25">
      <c r="A104" s="1"/>
      <c r="B104" t="s">
        <v>117</v>
      </c>
      <c r="C104" t="s">
        <v>24</v>
      </c>
      <c r="D104" s="3">
        <v>3.9166666666666665</v>
      </c>
      <c r="E104" s="5">
        <f t="shared" si="5"/>
        <v>1743</v>
      </c>
      <c r="F104">
        <v>-0.51302000000000003</v>
      </c>
      <c r="G104">
        <f t="shared" si="6"/>
        <v>-0.31160999999999994</v>
      </c>
      <c r="H104">
        <f t="shared" si="7"/>
        <v>-0.31160999999999994</v>
      </c>
      <c r="I104" s="5">
        <f t="shared" si="8"/>
        <v>1743</v>
      </c>
      <c r="J104">
        <f>+H104+CF*F104*(1+($I104-1850)*slope/1000)+F104*hQc*COS(2*PI()*$I104/qbo+$L104)+F104*hQs*SIN(2*PI()*$I104/qbo+$L104)+F104*hCs*SIN(2*PI()*$I104/cw)+F104*hCc*COS(2*PI()*$I104/cw) +mix*F104*(hQc*COS(2*PI()*$I104/qbo+$L104)+hQs*SIN(2*PI()*$I104/qbo+$L104))*(hCs*SIN(2*PI()*$I104/cw)+hCc*COS(2*PI()*$I104/cw))</f>
        <v>-2.1471316316065083</v>
      </c>
      <c r="K104">
        <f>fQc*COS(2*PI()*$I104/qbo+$L104)+fQs*SIN(2*PI()*$I104/qbo+$L104)+fCs*SIN(2*PI()*$I104/cw)+fCc*COS(2*PI()*$I104/cw)</f>
        <v>-2.456022674038393</v>
      </c>
      <c r="L104">
        <f>+QMA*COS(2*PI()*$I104/QM+QMP)</f>
        <v>-0.54011555101187347</v>
      </c>
      <c r="P104">
        <f t="shared" si="9"/>
        <v>1</v>
      </c>
    </row>
    <row r="105" spans="1:16" x14ac:dyDescent="0.25">
      <c r="A105" s="1"/>
      <c r="B105" t="s">
        <v>118</v>
      </c>
      <c r="C105" t="s">
        <v>24</v>
      </c>
      <c r="D105" s="3">
        <v>3.9583333333333335</v>
      </c>
      <c r="E105" s="5">
        <f t="shared" si="5"/>
        <v>1744</v>
      </c>
      <c r="F105">
        <v>0.26235999999999998</v>
      </c>
      <c r="G105">
        <f t="shared" si="6"/>
        <v>9.7040000000000015E-2</v>
      </c>
      <c r="H105">
        <f t="shared" si="7"/>
        <v>9.7040000000000015E-2</v>
      </c>
      <c r="I105" s="5">
        <f t="shared" si="8"/>
        <v>1744</v>
      </c>
      <c r="J105">
        <f>+H105+CF*F105*(1+($I105-1850)*slope/1000)+F105*hQc*COS(2*PI()*$I105/qbo+$L105)+F105*hQs*SIN(2*PI()*$I105/qbo+$L105)+F105*hCs*SIN(2*PI()*$I105/cw)+F105*hCc*COS(2*PI()*$I105/cw) +mix*F105*(hQc*COS(2*PI()*$I105/qbo+$L105)+hQs*SIN(2*PI()*$I105/qbo+$L105))*(hCs*SIN(2*PI()*$I105/cw)+hCc*COS(2*PI()*$I105/cw))</f>
        <v>1.0586345413062261</v>
      </c>
      <c r="K105">
        <f>fQc*COS(2*PI()*$I105/qbo+$L105)+fQs*SIN(2*PI()*$I105/qbo+$L105)+fCs*SIN(2*PI()*$I105/cw)+fCc*COS(2*PI()*$I105/cw)</f>
        <v>0.67746643707838172</v>
      </c>
      <c r="L105">
        <f>+QMA*COS(2*PI()*$I105/QM+QMP)</f>
        <v>-0.51789463102696875</v>
      </c>
      <c r="P105">
        <f t="shared" si="9"/>
        <v>1</v>
      </c>
    </row>
    <row r="106" spans="1:16" x14ac:dyDescent="0.25">
      <c r="A106" s="1"/>
      <c r="B106" t="s">
        <v>119</v>
      </c>
      <c r="C106" t="s">
        <v>24</v>
      </c>
      <c r="D106" s="3">
        <v>4</v>
      </c>
      <c r="E106" s="5">
        <f t="shared" si="5"/>
        <v>1745</v>
      </c>
      <c r="F106">
        <v>1.1347799999999999</v>
      </c>
      <c r="G106">
        <f t="shared" si="6"/>
        <v>-0.42901999999999996</v>
      </c>
      <c r="H106">
        <f t="shared" si="7"/>
        <v>-0.42901999999999996</v>
      </c>
      <c r="I106" s="5">
        <f t="shared" si="8"/>
        <v>1745</v>
      </c>
      <c r="J106">
        <f>+H106+CF*F106*(1+($I106-1850)*slope/1000)+F106*hQc*COS(2*PI()*$I106/qbo+$L106)+F106*hQs*SIN(2*PI()*$I106/qbo+$L106)+F106*hCs*SIN(2*PI()*$I106/cw)+F106*hCc*COS(2*PI()*$I106/cw) +mix*F106*(hQc*COS(2*PI()*$I106/qbo+$L106)+hQs*SIN(2*PI()*$I106/qbo+$L106))*(hCs*SIN(2*PI()*$I106/cw)+hCc*COS(2*PI()*$I106/cw))</f>
        <v>3.330790139932045</v>
      </c>
      <c r="K106">
        <f>fQc*COS(2*PI()*$I106/qbo+$L106)+fQs*SIN(2*PI()*$I106/qbo+$L106)+fCs*SIN(2*PI()*$I106/cw)+fCc*COS(2*PI()*$I106/cw)</f>
        <v>2.560321493064234</v>
      </c>
      <c r="L106">
        <f>+QMA*COS(2*PI()*$I106/QM+QMP)</f>
        <v>-0.48310098159482906</v>
      </c>
      <c r="P106">
        <f t="shared" si="9"/>
        <v>1</v>
      </c>
    </row>
    <row r="107" spans="1:16" x14ac:dyDescent="0.25">
      <c r="A107" s="1"/>
      <c r="B107" t="s">
        <v>120</v>
      </c>
      <c r="C107" t="s">
        <v>24</v>
      </c>
      <c r="D107" s="3">
        <v>4.041666666666667</v>
      </c>
      <c r="E107" s="5">
        <f t="shared" si="5"/>
        <v>1746</v>
      </c>
      <c r="F107">
        <v>1.5781799999999999</v>
      </c>
      <c r="G107">
        <f t="shared" si="6"/>
        <v>-0.21579999999999999</v>
      </c>
      <c r="H107">
        <f t="shared" si="7"/>
        <v>-0.21579999999999999</v>
      </c>
      <c r="I107" s="5">
        <f t="shared" si="8"/>
        <v>1746</v>
      </c>
      <c r="J107">
        <f>+H107+CF*F107*(1+($I107-1850)*slope/1000)+F107*hQc*COS(2*PI()*$I107/qbo+$L107)+F107*hQs*SIN(2*PI()*$I107/qbo+$L107)+F107*hCs*SIN(2*PI()*$I107/cw)+F107*hCc*COS(2*PI()*$I107/cw) +mix*F107*(hQc*COS(2*PI()*$I107/qbo+$L107)+hQs*SIN(2*PI()*$I107/qbo+$L107))*(hCs*SIN(2*PI()*$I107/cw)+hCc*COS(2*PI()*$I107/cw))</f>
        <v>12.534186959113315</v>
      </c>
      <c r="K107">
        <f>fQc*COS(2*PI()*$I107/qbo+$L107)+fQs*SIN(2*PI()*$I107/qbo+$L107)+fCs*SIN(2*PI()*$I107/cw)+fCc*COS(2*PI()*$I107/cw)</f>
        <v>3.8099138334173555</v>
      </c>
      <c r="L107">
        <f>+QMA*COS(2*PI()*$I107/QM+QMP)</f>
        <v>-0.43657927480621339</v>
      </c>
      <c r="P107">
        <f t="shared" si="9"/>
        <v>1</v>
      </c>
    </row>
    <row r="108" spans="1:16" x14ac:dyDescent="0.25">
      <c r="A108" s="1"/>
      <c r="B108" t="s">
        <v>121</v>
      </c>
      <c r="C108" t="s">
        <v>24</v>
      </c>
      <c r="D108" s="3">
        <v>4.083333333333333</v>
      </c>
      <c r="E108" s="5">
        <f t="shared" si="5"/>
        <v>1747</v>
      </c>
      <c r="F108">
        <v>1.8057799999999999</v>
      </c>
      <c r="G108">
        <f t="shared" si="6"/>
        <v>-3.0292000000000003</v>
      </c>
      <c r="H108">
        <f t="shared" si="7"/>
        <v>-3.0292000000000003</v>
      </c>
      <c r="I108" s="5">
        <f t="shared" si="8"/>
        <v>1747</v>
      </c>
      <c r="J108">
        <f>+H108+CF*F108*(1+($I108-1850)*slope/1000)+F108*hQc*COS(2*PI()*$I108/qbo+$L108)+F108*hQs*SIN(2*PI()*$I108/qbo+$L108)+F108*hCs*SIN(2*PI()*$I108/cw)+F108*hCc*COS(2*PI()*$I108/cw) +mix*F108*(hQc*COS(2*PI()*$I108/qbo+$L108)+hQs*SIN(2*PI()*$I108/qbo+$L108))*(hCs*SIN(2*PI()*$I108/cw)+hCc*COS(2*PI()*$I108/cw))</f>
        <v>4.5425439342544696</v>
      </c>
      <c r="K108">
        <f>fQc*COS(2*PI()*$I108/qbo+$L108)+fQs*SIN(2*PI()*$I108/qbo+$L108)+fCs*SIN(2*PI()*$I108/cw)+fCc*COS(2*PI()*$I108/cw)</f>
        <v>3.0301061094339099</v>
      </c>
      <c r="L108">
        <f>+QMA*COS(2*PI()*$I108/QM+QMP)</f>
        <v>-0.37945890030498525</v>
      </c>
      <c r="P108">
        <f t="shared" si="9"/>
        <v>1</v>
      </c>
    </row>
    <row r="109" spans="1:16" x14ac:dyDescent="0.25">
      <c r="A109" s="1"/>
      <c r="B109" t="s">
        <v>122</v>
      </c>
      <c r="C109" t="s">
        <v>24</v>
      </c>
      <c r="D109" s="3">
        <v>4.125</v>
      </c>
      <c r="E109" s="5">
        <f t="shared" si="5"/>
        <v>1748</v>
      </c>
      <c r="F109">
        <v>-0.99582000000000004</v>
      </c>
      <c r="G109">
        <f t="shared" si="6"/>
        <v>4.8936600000000006</v>
      </c>
      <c r="H109">
        <f t="shared" si="7"/>
        <v>4.8936600000000006</v>
      </c>
      <c r="I109" s="5">
        <f t="shared" si="8"/>
        <v>1748</v>
      </c>
      <c r="J109">
        <f>+H109+CF*F109*(1+($I109-1850)*slope/1000)+F109*hQc*COS(2*PI()*$I109/qbo+$L109)+F109*hQs*SIN(2*PI()*$I109/qbo+$L109)+F109*hCs*SIN(2*PI()*$I109/cw)+F109*hCc*COS(2*PI()*$I109/cw) +mix*F109*(hQc*COS(2*PI()*$I109/qbo+$L109)+hQs*SIN(2*PI()*$I109/qbo+$L109))*(hCs*SIN(2*PI()*$I109/cw)+hCc*COS(2*PI()*$I109/cw))</f>
        <v>5.1727934275719187</v>
      </c>
      <c r="K109">
        <f>fQc*COS(2*PI()*$I109/qbo+$L109)+fQs*SIN(2*PI()*$I109/qbo+$L109)+fCs*SIN(2*PI()*$I109/cw)+fCc*COS(2*PI()*$I109/cw)</f>
        <v>0.53682168787947171</v>
      </c>
      <c r="L109">
        <f>+QMA*COS(2*PI()*$I109/QM+QMP)</f>
        <v>-0.31312654752849906</v>
      </c>
      <c r="P109">
        <f t="shared" si="9"/>
        <v>1</v>
      </c>
    </row>
    <row r="110" spans="1:16" x14ac:dyDescent="0.25">
      <c r="A110" s="1"/>
      <c r="B110" t="s">
        <v>123</v>
      </c>
      <c r="C110" t="s">
        <v>24</v>
      </c>
      <c r="D110" s="3">
        <v>4.166666666666667</v>
      </c>
      <c r="E110" s="5">
        <f t="shared" si="5"/>
        <v>1749</v>
      </c>
      <c r="F110">
        <v>1.0962400000000001</v>
      </c>
      <c r="G110">
        <f t="shared" si="6"/>
        <v>-2.4696899999999999</v>
      </c>
      <c r="H110">
        <f t="shared" si="7"/>
        <v>-2.4696899999999999</v>
      </c>
      <c r="I110" s="5">
        <f t="shared" si="8"/>
        <v>1749</v>
      </c>
      <c r="J110">
        <f>+H110+CF*F110*(1+($I110-1850)*slope/1000)+F110*hQc*COS(2*PI()*$I110/qbo+$L110)+F110*hQs*SIN(2*PI()*$I110/qbo+$L110)+F110*hCs*SIN(2*PI()*$I110/cw)+F110*hCc*COS(2*PI()*$I110/cw) +mix*F110*(hQc*COS(2*PI()*$I110/qbo+$L110)+hQs*SIN(2*PI()*$I110/qbo+$L110))*(hCs*SIN(2*PI()*$I110/cw)+hCc*COS(2*PI()*$I110/cw))</f>
        <v>9.1707441092634845</v>
      </c>
      <c r="K110">
        <f>fQc*COS(2*PI()*$I110/qbo+$L110)+fQs*SIN(2*PI()*$I110/qbo+$L110)+fCs*SIN(2*PI()*$I110/cw)+fCc*COS(2*PI()*$I110/cw)</f>
        <v>-1.5747565205238825</v>
      </c>
      <c r="L110">
        <f>+QMA*COS(2*PI()*$I110/QM+QMP)</f>
        <v>-0.23919254157978601</v>
      </c>
      <c r="P110">
        <f t="shared" si="9"/>
        <v>0</v>
      </c>
    </row>
    <row r="111" spans="1:16" x14ac:dyDescent="0.25">
      <c r="A111" s="1"/>
      <c r="B111" t="s">
        <v>124</v>
      </c>
      <c r="C111" t="s">
        <v>24</v>
      </c>
      <c r="D111" s="3">
        <v>4.208333333333333</v>
      </c>
      <c r="E111" s="5">
        <f t="shared" si="5"/>
        <v>1750</v>
      </c>
      <c r="F111">
        <v>0.71860999999999997</v>
      </c>
      <c r="G111">
        <f t="shared" si="6"/>
        <v>-5.4319999999999813E-2</v>
      </c>
      <c r="H111">
        <f t="shared" si="7"/>
        <v>-5.4319999999999813E-2</v>
      </c>
      <c r="I111" s="5">
        <f t="shared" si="8"/>
        <v>1750</v>
      </c>
      <c r="J111">
        <f>+H111+CF*F111*(1+($I111-1850)*slope/1000)+F111*hQc*COS(2*PI()*$I111/qbo+$L111)+F111*hQs*SIN(2*PI()*$I111/qbo+$L111)+F111*hCs*SIN(2*PI()*$I111/cw)+F111*hCc*COS(2*PI()*$I111/cw) +mix*F111*(hQc*COS(2*PI()*$I111/qbo+$L111)+hQs*SIN(2*PI()*$I111/qbo+$L111))*(hCs*SIN(2*PI()*$I111/cw)+hCc*COS(2*PI()*$I111/cw))</f>
        <v>-1.0578393024658639</v>
      </c>
      <c r="K111">
        <f>fQc*COS(2*PI()*$I111/qbo+$L111)+fQs*SIN(2*PI()*$I111/qbo+$L111)+fCs*SIN(2*PI()*$I111/cw)+fCc*COS(2*PI()*$I111/cw)</f>
        <v>-3.8577256778848383</v>
      </c>
      <c r="L111">
        <f>+QMA*COS(2*PI()*$I111/QM+QMP)</f>
        <v>-0.15945174998221906</v>
      </c>
      <c r="P111">
        <f t="shared" si="9"/>
        <v>1</v>
      </c>
    </row>
    <row r="112" spans="1:16" x14ac:dyDescent="0.25">
      <c r="A112" s="1"/>
      <c r="B112" t="s">
        <v>125</v>
      </c>
      <c r="C112" t="s">
        <v>24</v>
      </c>
      <c r="D112" s="3">
        <v>4.25</v>
      </c>
      <c r="E112" s="5">
        <f t="shared" si="5"/>
        <v>1751</v>
      </c>
      <c r="F112">
        <v>0.28666000000000003</v>
      </c>
      <c r="G112">
        <f t="shared" si="6"/>
        <v>-1.7390400000000001</v>
      </c>
      <c r="H112">
        <f t="shared" si="7"/>
        <v>-1.7390400000000001</v>
      </c>
      <c r="I112" s="5">
        <f t="shared" si="8"/>
        <v>1751</v>
      </c>
      <c r="J112">
        <f>+H112+CF*F112*(1+($I112-1850)*slope/1000)+F112*hQc*COS(2*PI()*$I112/qbo+$L112)+F112*hQs*SIN(2*PI()*$I112/qbo+$L112)+F112*hCs*SIN(2*PI()*$I112/cw)+F112*hCc*COS(2*PI()*$I112/cw) +mix*F112*(hQc*COS(2*PI()*$I112/qbo+$L112)+hQs*SIN(2*PI()*$I112/qbo+$L112))*(hCs*SIN(2*PI()*$I112/cw)+hCc*COS(2*PI()*$I112/cw))</f>
        <v>-0.75304042998084808</v>
      </c>
      <c r="K112">
        <f>fQc*COS(2*PI()*$I112/qbo+$L112)+fQs*SIN(2*PI()*$I112/qbo+$L112)+fCs*SIN(2*PI()*$I112/cw)+fCc*COS(2*PI()*$I112/cw)</f>
        <v>-3.1898648236969378</v>
      </c>
      <c r="L112">
        <f>+QMA*COS(2*PI()*$I112/QM+QMP)</f>
        <v>-7.5840009368526473E-2</v>
      </c>
      <c r="P112">
        <f t="shared" si="9"/>
        <v>1</v>
      </c>
    </row>
    <row r="113" spans="1:16" x14ac:dyDescent="0.25">
      <c r="A113" s="1"/>
      <c r="B113" t="s">
        <v>126</v>
      </c>
      <c r="C113" t="s">
        <v>24</v>
      </c>
      <c r="D113" s="3">
        <v>4.291666666666667</v>
      </c>
      <c r="E113" s="5">
        <f t="shared" si="5"/>
        <v>1752</v>
      </c>
      <c r="F113">
        <v>-1.8843300000000001</v>
      </c>
      <c r="G113">
        <f t="shared" si="6"/>
        <v>2.90266</v>
      </c>
      <c r="H113">
        <f t="shared" si="7"/>
        <v>2.90266</v>
      </c>
      <c r="I113" s="5">
        <f t="shared" si="8"/>
        <v>1752</v>
      </c>
      <c r="J113">
        <f>+H113+CF*F113*(1+($I113-1850)*slope/1000)+F113*hQc*COS(2*PI()*$I113/qbo+$L113)+F113*hQs*SIN(2*PI()*$I113/qbo+$L113)+F113*hCs*SIN(2*PI()*$I113/cw)+F113*hCc*COS(2*PI()*$I113/cw) +mix*F113*(hQc*COS(2*PI()*$I113/qbo+$L113)+hQs*SIN(2*PI()*$I113/qbo+$L113))*(hCs*SIN(2*PI()*$I113/cw)+hCc*COS(2*PI()*$I113/cw))</f>
        <v>-9.2010579608830216</v>
      </c>
      <c r="K113">
        <f>fQc*COS(2*PI()*$I113/qbo+$L113)+fQs*SIN(2*PI()*$I113/qbo+$L113)+fCs*SIN(2*PI()*$I113/cw)+fCc*COS(2*PI()*$I113/cw)</f>
        <v>-2.0687826293705269</v>
      </c>
      <c r="L113">
        <f>+QMA*COS(2*PI()*$I113/QM+QMP)</f>
        <v>9.6128700829566632E-3</v>
      </c>
      <c r="P113">
        <f t="shared" si="9"/>
        <v>1</v>
      </c>
    </row>
    <row r="114" spans="1:16" x14ac:dyDescent="0.25">
      <c r="A114" s="1"/>
      <c r="B114" t="s">
        <v>127</v>
      </c>
      <c r="C114" t="s">
        <v>24</v>
      </c>
      <c r="D114" s="3">
        <v>4.333333333333333</v>
      </c>
      <c r="E114" s="5">
        <f t="shared" si="5"/>
        <v>1753</v>
      </c>
      <c r="F114">
        <v>-1.15266</v>
      </c>
      <c r="G114">
        <f t="shared" si="6"/>
        <v>-0.31825000000000003</v>
      </c>
      <c r="H114">
        <f t="shared" si="7"/>
        <v>-0.31825000000000003</v>
      </c>
      <c r="I114" s="5">
        <f t="shared" si="8"/>
        <v>1753</v>
      </c>
      <c r="J114">
        <f>+H114+CF*F114*(1+($I114-1850)*slope/1000)+F114*hQc*COS(2*PI()*$I114/qbo+$L114)+F114*hQs*SIN(2*PI()*$I114/qbo+$L114)+F114*hCs*SIN(2*PI()*$I114/cw)+F114*hCc*COS(2*PI()*$I114/cw) +mix*F114*(hQc*COS(2*PI()*$I114/qbo+$L114)+hQs*SIN(2*PI()*$I114/qbo+$L114))*(hCs*SIN(2*PI()*$I114/cw)+hCc*COS(2*PI()*$I114/cw))</f>
        <v>-4.1575387824311374</v>
      </c>
      <c r="K114">
        <f>fQc*COS(2*PI()*$I114/qbo+$L114)+fQs*SIN(2*PI()*$I114/qbo+$L114)+fCs*SIN(2*PI()*$I114/cw)+fCc*COS(2*PI()*$I114/cw)</f>
        <v>0.99124871094623512</v>
      </c>
      <c r="L114">
        <f>+QMA*COS(2*PI()*$I114/QM+QMP)</f>
        <v>9.48323815720402E-2</v>
      </c>
      <c r="P114">
        <f t="shared" si="9"/>
        <v>0</v>
      </c>
    </row>
    <row r="115" spans="1:16" x14ac:dyDescent="0.25">
      <c r="A115" s="1"/>
      <c r="B115" t="s">
        <v>128</v>
      </c>
      <c r="C115" t="s">
        <v>24</v>
      </c>
      <c r="D115" s="3">
        <v>4.375</v>
      </c>
      <c r="E115" s="5">
        <f t="shared" si="5"/>
        <v>1754</v>
      </c>
      <c r="F115">
        <v>-0.73924000000000001</v>
      </c>
      <c r="G115">
        <f t="shared" si="6"/>
        <v>-0.72632999999999992</v>
      </c>
      <c r="H115">
        <f t="shared" si="7"/>
        <v>-0.72632999999999992</v>
      </c>
      <c r="I115" s="5">
        <f t="shared" si="8"/>
        <v>1754</v>
      </c>
      <c r="J115">
        <f>+H115+CF*F115*(1+($I115-1850)*slope/1000)+F115*hQc*COS(2*PI()*$I115/qbo+$L115)+F115*hQs*SIN(2*PI()*$I115/qbo+$L115)+F115*hCs*SIN(2*PI()*$I115/cw)+F115*hCc*COS(2*PI()*$I115/cw) +mix*F115*(hQc*COS(2*PI()*$I115/qbo+$L115)+hQs*SIN(2*PI()*$I115/qbo+$L115))*(hCs*SIN(2*PI()*$I115/cw)+hCc*COS(2*PI()*$I115/cw))</f>
        <v>-2.4384614836338097</v>
      </c>
      <c r="K115">
        <f>fQc*COS(2*PI()*$I115/qbo+$L115)+fQs*SIN(2*PI()*$I115/qbo+$L115)+fCs*SIN(2*PI()*$I115/cw)+fCc*COS(2*PI()*$I115/cw)</f>
        <v>2.9112278034330399</v>
      </c>
      <c r="L115">
        <f>+QMA*COS(2*PI()*$I115/QM+QMP)</f>
        <v>0.17774968368319949</v>
      </c>
      <c r="P115">
        <f t="shared" si="9"/>
        <v>0</v>
      </c>
    </row>
    <row r="116" spans="1:16" x14ac:dyDescent="0.25">
      <c r="A116" s="1"/>
      <c r="B116" t="s">
        <v>129</v>
      </c>
      <c r="C116" t="s">
        <v>24</v>
      </c>
      <c r="D116" s="3">
        <v>4.416666666666667</v>
      </c>
      <c r="E116" s="5">
        <f t="shared" si="5"/>
        <v>1755</v>
      </c>
      <c r="F116">
        <v>-1.0521499999999999</v>
      </c>
      <c r="G116">
        <f t="shared" si="6"/>
        <v>1.1541699999999997</v>
      </c>
      <c r="H116">
        <f t="shared" si="7"/>
        <v>1.1541699999999997</v>
      </c>
      <c r="I116" s="5">
        <f t="shared" si="8"/>
        <v>1755</v>
      </c>
      <c r="J116">
        <f>+H116+CF*F116*(1+($I116-1850)*slope/1000)+F116*hQc*COS(2*PI()*$I116/qbo+$L116)+F116*hQs*SIN(2*PI()*$I116/qbo+$L116)+F116*hCs*SIN(2*PI()*$I116/cw)+F116*hCc*COS(2*PI()*$I116/cw) +mix*F116*(hQc*COS(2*PI()*$I116/qbo+$L116)+hQs*SIN(2*PI()*$I116/qbo+$L116))*(hCs*SIN(2*PI()*$I116/cw)+hCc*COS(2*PI()*$I116/cw))</f>
        <v>-7.0626867176334311</v>
      </c>
      <c r="K116">
        <f>fQc*COS(2*PI()*$I116/qbo+$L116)+fQs*SIN(2*PI()*$I116/qbo+$L116)+fCs*SIN(2*PI()*$I116/cw)+fCc*COS(2*PI()*$I116/cw)</f>
        <v>3.7141620330730309</v>
      </c>
      <c r="L116">
        <f>+QMA*COS(2*PI()*$I116/QM+QMP)</f>
        <v>0.25635182485541474</v>
      </c>
      <c r="P116">
        <f t="shared" si="9"/>
        <v>0</v>
      </c>
    </row>
    <row r="117" spans="1:16" x14ac:dyDescent="0.25">
      <c r="A117" s="1"/>
      <c r="B117" t="s">
        <v>130</v>
      </c>
      <c r="C117" t="s">
        <v>24</v>
      </c>
      <c r="D117" s="3">
        <v>4.458333333333333</v>
      </c>
      <c r="E117" s="5">
        <f t="shared" si="5"/>
        <v>1756</v>
      </c>
      <c r="F117">
        <v>-0.21088999999999999</v>
      </c>
      <c r="G117">
        <f t="shared" si="6"/>
        <v>-2.3304299999999998</v>
      </c>
      <c r="H117">
        <f t="shared" si="7"/>
        <v>-2.3304299999999998</v>
      </c>
      <c r="I117" s="5">
        <f t="shared" si="8"/>
        <v>1756</v>
      </c>
      <c r="J117">
        <f>+H117+CF*F117*(1+($I117-1850)*slope/1000)+F117*hQc*COS(2*PI()*$I117/qbo+$L117)+F117*hQs*SIN(2*PI()*$I117/qbo+$L117)+F117*hCs*SIN(2*PI()*$I117/cw)+F117*hCc*COS(2*PI()*$I117/cw) +mix*F117*(hQc*COS(2*PI()*$I117/qbo+$L117)+hQs*SIN(2*PI()*$I117/qbo+$L117))*(hCs*SIN(2*PI()*$I117/cw)+hCc*COS(2*PI()*$I117/cw))</f>
        <v>-3.289781722701274</v>
      </c>
      <c r="K117">
        <f>fQc*COS(2*PI()*$I117/qbo+$L117)+fQs*SIN(2*PI()*$I117/qbo+$L117)+fCs*SIN(2*PI()*$I117/cw)+fCc*COS(2*PI()*$I117/cw)</f>
        <v>2.8485312372806848</v>
      </c>
      <c r="L117">
        <f>+QMA*COS(2*PI()*$I117/QM+QMP)</f>
        <v>0.32873061103588591</v>
      </c>
      <c r="P117">
        <f t="shared" si="9"/>
        <v>0</v>
      </c>
    </row>
    <row r="118" spans="1:16" x14ac:dyDescent="0.25">
      <c r="A118" s="1"/>
      <c r="B118" t="s">
        <v>131</v>
      </c>
      <c r="C118" t="s">
        <v>24</v>
      </c>
      <c r="D118" s="3">
        <v>4.5</v>
      </c>
      <c r="E118" s="5">
        <f t="shared" si="5"/>
        <v>1757</v>
      </c>
      <c r="F118">
        <v>-1.7000599999999999</v>
      </c>
      <c r="G118">
        <f t="shared" si="6"/>
        <v>2.5641400000000001</v>
      </c>
      <c r="H118">
        <f t="shared" si="7"/>
        <v>2.5641400000000001</v>
      </c>
      <c r="I118" s="5">
        <f t="shared" si="8"/>
        <v>1757</v>
      </c>
      <c r="J118">
        <f>+H118+CF*F118*(1+($I118-1850)*slope/1000)+F118*hQc*COS(2*PI()*$I118/qbo+$L118)+F118*hQs*SIN(2*PI()*$I118/qbo+$L118)+F118*hCs*SIN(2*PI()*$I118/cw)+F118*hCc*COS(2*PI()*$I118/cw) +mix*F118*(hQc*COS(2*PI()*$I118/qbo+$L118)+hQs*SIN(2*PI()*$I118/qbo+$L118))*(hCs*SIN(2*PI()*$I118/cw)+hCc*COS(2*PI()*$I118/cw))</f>
        <v>3.5607971718772342</v>
      </c>
      <c r="K118">
        <f>fQc*COS(2*PI()*$I118/qbo+$L118)+fQs*SIN(2*PI()*$I118/qbo+$L118)+fCs*SIN(2*PI()*$I118/cw)+fCc*COS(2*PI()*$I118/cw)</f>
        <v>7.7696314815662859E-2</v>
      </c>
      <c r="L118">
        <f>+QMA*COS(2*PI()*$I118/QM+QMP)</f>
        <v>0.39312893017541278</v>
      </c>
      <c r="P118">
        <f t="shared" si="9"/>
        <v>1</v>
      </c>
    </row>
    <row r="119" spans="1:16" x14ac:dyDescent="0.25">
      <c r="A119" s="1"/>
      <c r="B119" t="s">
        <v>132</v>
      </c>
      <c r="C119" t="s">
        <v>24</v>
      </c>
      <c r="D119" s="3">
        <v>4.541666666666667</v>
      </c>
      <c r="E119" s="5">
        <f t="shared" si="5"/>
        <v>1758</v>
      </c>
      <c r="F119">
        <v>-0.62509000000000003</v>
      </c>
      <c r="G119">
        <f t="shared" si="6"/>
        <v>-2.9079999999999995E-2</v>
      </c>
      <c r="H119">
        <f t="shared" si="7"/>
        <v>-2.9079999999999995E-2</v>
      </c>
      <c r="I119" s="5">
        <f t="shared" si="8"/>
        <v>1758</v>
      </c>
      <c r="J119">
        <f>+H119+CF*F119*(1+($I119-1850)*slope/1000)+F119*hQc*COS(2*PI()*$I119/qbo+$L119)+F119*hQs*SIN(2*PI()*$I119/qbo+$L119)+F119*hCs*SIN(2*PI()*$I119/cw)+F119*hCc*COS(2*PI()*$I119/cw) +mix*F119*(hQc*COS(2*PI()*$I119/qbo+$L119)+hQs*SIN(2*PI()*$I119/qbo+$L119))*(hCs*SIN(2*PI()*$I119/cw)+hCc*COS(2*PI()*$I119/cw))</f>
        <v>-5.1340271959099004</v>
      </c>
      <c r="K119">
        <f>fQc*COS(2*PI()*$I119/qbo+$L119)+fQs*SIN(2*PI()*$I119/qbo+$L119)+fCs*SIN(2*PI()*$I119/cw)+fCc*COS(2*PI()*$I119/cw)</f>
        <v>-1.8728367432763191</v>
      </c>
      <c r="L119">
        <f>+QMA*COS(2*PI()*$I119/QM+QMP)</f>
        <v>0.44798340896429695</v>
      </c>
      <c r="P119">
        <f t="shared" si="9"/>
        <v>1</v>
      </c>
    </row>
    <row r="120" spans="1:16" x14ac:dyDescent="0.25">
      <c r="A120" s="1"/>
      <c r="B120" t="s">
        <v>133</v>
      </c>
      <c r="C120" t="s">
        <v>24</v>
      </c>
      <c r="D120" s="3">
        <v>4.583333333333333</v>
      </c>
      <c r="E120" s="5">
        <f t="shared" si="5"/>
        <v>1759</v>
      </c>
      <c r="F120">
        <v>0.42080000000000001</v>
      </c>
      <c r="G120">
        <f t="shared" si="6"/>
        <v>-1.4132500000000001</v>
      </c>
      <c r="H120">
        <f t="shared" si="7"/>
        <v>-1.4132500000000001</v>
      </c>
      <c r="I120" s="5">
        <f t="shared" si="8"/>
        <v>1759</v>
      </c>
      <c r="J120">
        <f>+H120+CF*F120*(1+($I120-1850)*slope/1000)+F120*hQc*COS(2*PI()*$I120/qbo+$L120)+F120*hQs*SIN(2*PI()*$I120/qbo+$L120)+F120*hCs*SIN(2*PI()*$I120/cw)+F120*hCc*COS(2*PI()*$I120/cw) +mix*F120*(hQc*COS(2*PI()*$I120/qbo+$L120)+hQs*SIN(2*PI()*$I120/qbo+$L120))*(hCs*SIN(2*PI()*$I120/cw)+hCc*COS(2*PI()*$I120/cw))</f>
        <v>-0.40128230216515454</v>
      </c>
      <c r="K120">
        <f>fQc*COS(2*PI()*$I120/qbo+$L120)+fQs*SIN(2*PI()*$I120/qbo+$L120)+fCs*SIN(2*PI()*$I120/cw)+fCc*COS(2*PI()*$I120/cw)</f>
        <v>-3.9756380210994853</v>
      </c>
      <c r="L120">
        <f>+QMA*COS(2*PI()*$I120/QM+QMP)</f>
        <v>0.49196236624684286</v>
      </c>
      <c r="P120">
        <f t="shared" si="9"/>
        <v>1</v>
      </c>
    </row>
    <row r="121" spans="1:16" x14ac:dyDescent="0.25">
      <c r="A121" s="1"/>
      <c r="B121" t="s">
        <v>134</v>
      </c>
      <c r="C121" t="s">
        <v>24</v>
      </c>
      <c r="D121" s="3">
        <v>4.625</v>
      </c>
      <c r="E121" s="5">
        <f t="shared" si="5"/>
        <v>1760</v>
      </c>
      <c r="F121">
        <v>5.3440000000000001E-2</v>
      </c>
      <c r="G121">
        <f t="shared" si="6"/>
        <v>-0.51621000000000006</v>
      </c>
      <c r="H121">
        <f t="shared" si="7"/>
        <v>-0.51621000000000006</v>
      </c>
      <c r="I121" s="5">
        <f t="shared" si="8"/>
        <v>1760</v>
      </c>
      <c r="J121">
        <f>+H121+CF*F121*(1+($I121-1850)*slope/1000)+F121*hQc*COS(2*PI()*$I121/qbo+$L121)+F121*hQs*SIN(2*PI()*$I121/qbo+$L121)+F121*hCs*SIN(2*PI()*$I121/cw)+F121*hCc*COS(2*PI()*$I121/cw) +mix*F121*(hQc*COS(2*PI()*$I121/qbo+$L121)+hQs*SIN(2*PI()*$I121/qbo+$L121))*(hCs*SIN(2*PI()*$I121/cw)+hCc*COS(2*PI()*$I121/cw))</f>
        <v>-0.56401357675310804</v>
      </c>
      <c r="K121">
        <f>fQc*COS(2*PI()*$I121/qbo+$L121)+fQs*SIN(2*PI()*$I121/qbo+$L121)+fCs*SIN(2*PI()*$I121/cw)+fCc*COS(2*PI()*$I121/cw)</f>
        <v>-3.072640114545941</v>
      </c>
      <c r="L121">
        <f>+QMA*COS(2*PI()*$I121/QM+QMP)</f>
        <v>0.52399814173431525</v>
      </c>
      <c r="P121">
        <f t="shared" si="9"/>
        <v>1</v>
      </c>
    </row>
    <row r="122" spans="1:16" x14ac:dyDescent="0.25">
      <c r="A122" s="1"/>
      <c r="B122" t="s">
        <v>135</v>
      </c>
      <c r="C122" t="s">
        <v>24</v>
      </c>
      <c r="D122" s="3">
        <v>4.666666666666667</v>
      </c>
      <c r="E122" s="5">
        <f t="shared" si="5"/>
        <v>1761</v>
      </c>
      <c r="F122">
        <v>-0.83013000000000003</v>
      </c>
      <c r="G122">
        <f t="shared" si="6"/>
        <v>2.25312</v>
      </c>
      <c r="H122">
        <f t="shared" si="7"/>
        <v>2.25312</v>
      </c>
      <c r="I122" s="5">
        <f t="shared" si="8"/>
        <v>1761</v>
      </c>
      <c r="J122">
        <f>+H122+CF*F122*(1+($I122-1850)*slope/1000)+F122*hQc*COS(2*PI()*$I122/qbo+$L122)+F122*hQs*SIN(2*PI()*$I122/qbo+$L122)+F122*hCs*SIN(2*PI()*$I122/cw)+F122*hCc*COS(2*PI()*$I122/cw) +mix*F122*(hQc*COS(2*PI()*$I122/qbo+$L122)+hQs*SIN(2*PI()*$I122/qbo+$L122))*(hCs*SIN(2*PI()*$I122/cw)+hCc*COS(2*PI()*$I122/cw))</f>
        <v>-4.5761989281644802</v>
      </c>
      <c r="K122">
        <f>fQc*COS(2*PI()*$I122/qbo+$L122)+fQs*SIN(2*PI()*$I122/qbo+$L122)+fCs*SIN(2*PI()*$I122/cw)+fCc*COS(2*PI()*$I122/cw)</f>
        <v>-1.6074187717908655</v>
      </c>
      <c r="L122">
        <f>+QMA*COS(2*PI()*$I122/QM+QMP)</f>
        <v>0.5433130151845863</v>
      </c>
      <c r="P122">
        <f t="shared" si="9"/>
        <v>1</v>
      </c>
    </row>
    <row r="123" spans="1:16" x14ac:dyDescent="0.25">
      <c r="A123" s="1"/>
      <c r="B123" t="s">
        <v>136</v>
      </c>
      <c r="C123" t="s">
        <v>24</v>
      </c>
      <c r="D123" s="3">
        <v>4.708333333333333</v>
      </c>
      <c r="E123" s="5">
        <f t="shared" si="5"/>
        <v>1762</v>
      </c>
      <c r="F123">
        <v>0.53942000000000001</v>
      </c>
      <c r="G123">
        <f t="shared" si="6"/>
        <v>-2.6812800000000001</v>
      </c>
      <c r="H123">
        <f t="shared" si="7"/>
        <v>-2.6812800000000001</v>
      </c>
      <c r="I123" s="5">
        <f t="shared" si="8"/>
        <v>1762</v>
      </c>
      <c r="J123">
        <f>+H123+CF*F123*(1+($I123-1850)*slope/1000)+F123*hQc*COS(2*PI()*$I123/qbo+$L123)+F123*hQs*SIN(2*PI()*$I123/qbo+$L123)+F123*hCs*SIN(2*PI()*$I123/cw)+F123*hCc*COS(2*PI()*$I123/cw) +mix*F123*(hQc*COS(2*PI()*$I123/qbo+$L123)+hQs*SIN(2*PI()*$I123/qbo+$L123))*(hCs*SIN(2*PI()*$I123/cw)+hCc*COS(2*PI()*$I123/cw))</f>
        <v>-0.8077416162172244</v>
      </c>
      <c r="K123">
        <f>fQc*COS(2*PI()*$I123/qbo+$L123)+fQs*SIN(2*PI()*$I123/qbo+$L123)+fCs*SIN(2*PI()*$I123/cw)+fCc*COS(2*PI()*$I123/cw)</f>
        <v>1.2199055640795149</v>
      </c>
      <c r="L123">
        <f>+QMA*COS(2*PI()*$I123/QM+QMP)</f>
        <v>0.54943808681835282</v>
      </c>
      <c r="P123">
        <f t="shared" si="9"/>
        <v>0</v>
      </c>
    </row>
    <row r="124" spans="1:16" x14ac:dyDescent="0.25">
      <c r="A124" s="1"/>
      <c r="B124" t="s">
        <v>137</v>
      </c>
      <c r="C124" t="s">
        <v>24</v>
      </c>
      <c r="D124" s="3">
        <v>4.75</v>
      </c>
      <c r="E124" s="5">
        <f t="shared" si="5"/>
        <v>1763</v>
      </c>
      <c r="F124">
        <v>-0.77231000000000005</v>
      </c>
      <c r="G124">
        <f t="shared" si="6"/>
        <v>2.0208200000000001</v>
      </c>
      <c r="H124">
        <f t="shared" si="7"/>
        <v>2.0208200000000001</v>
      </c>
      <c r="I124" s="5">
        <f t="shared" si="8"/>
        <v>1763</v>
      </c>
      <c r="J124">
        <f>+H124+CF*F124*(1+($I124-1850)*slope/1000)+F124*hQc*COS(2*PI()*$I124/qbo+$L124)+F124*hQs*SIN(2*PI()*$I124/qbo+$L124)+F124*hCs*SIN(2*PI()*$I124/cw)+F124*hCc*COS(2*PI()*$I124/cw) +mix*F124*(hQc*COS(2*PI()*$I124/qbo+$L124)+hQs*SIN(2*PI()*$I124/qbo+$L124))*(hCs*SIN(2*PI()*$I124/cw)+hCc*COS(2*PI()*$I124/cw))</f>
        <v>0.84641964340272313</v>
      </c>
      <c r="K124">
        <f>fQc*COS(2*PI()*$I124/qbo+$L124)+fQs*SIN(2*PI()*$I124/qbo+$L124)+fCs*SIN(2*PI()*$I124/cw)+fCc*COS(2*PI()*$I124/cw)</f>
        <v>3.3316241027580333</v>
      </c>
      <c r="L124">
        <f>+QMA*COS(2*PI()*$I124/QM+QMP)</f>
        <v>0.54222466061930663</v>
      </c>
      <c r="P124">
        <f t="shared" si="9"/>
        <v>1</v>
      </c>
    </row>
    <row r="125" spans="1:16" x14ac:dyDescent="0.25">
      <c r="A125" s="1"/>
      <c r="B125" t="s">
        <v>138</v>
      </c>
      <c r="C125" t="s">
        <v>24</v>
      </c>
      <c r="D125" s="3">
        <v>4.791666666666667</v>
      </c>
      <c r="E125" s="5">
        <f t="shared" si="5"/>
        <v>1764</v>
      </c>
      <c r="F125">
        <v>-6.3219999999999998E-2</v>
      </c>
      <c r="G125">
        <f t="shared" si="6"/>
        <v>-0.91364000000000001</v>
      </c>
      <c r="H125">
        <f t="shared" si="7"/>
        <v>-0.91364000000000001</v>
      </c>
      <c r="I125" s="5">
        <f t="shared" si="8"/>
        <v>1764</v>
      </c>
      <c r="J125">
        <f>+H125+CF*F125*(1+($I125-1850)*slope/1000)+F125*hQc*COS(2*PI()*$I125/qbo+$L125)+F125*hQs*SIN(2*PI()*$I125/qbo+$L125)+F125*hCs*SIN(2*PI()*$I125/cw)+F125*hCc*COS(2*PI()*$I125/cw) +mix*F125*(hQc*COS(2*PI()*$I125/qbo+$L125)+hQs*SIN(2*PI()*$I125/qbo+$L125))*(hCs*SIN(2*PI()*$I125/cw)+hCc*COS(2*PI()*$I125/cw))</f>
        <v>-1.3369334941150095</v>
      </c>
      <c r="K125">
        <f>fQc*COS(2*PI()*$I125/qbo+$L125)+fQs*SIN(2*PI()*$I125/qbo+$L125)+fCs*SIN(2*PI()*$I125/cw)+fCc*COS(2*PI()*$I125/cw)</f>
        <v>3.4649614453001591</v>
      </c>
      <c r="L125">
        <f>+QMA*COS(2*PI()*$I125/QM+QMP)</f>
        <v>0.52184785417036905</v>
      </c>
      <c r="P125">
        <f t="shared" si="9"/>
        <v>0</v>
      </c>
    </row>
    <row r="126" spans="1:16" x14ac:dyDescent="0.25">
      <c r="A126" s="1"/>
      <c r="B126" t="s">
        <v>139</v>
      </c>
      <c r="C126" t="s">
        <v>24</v>
      </c>
      <c r="D126" s="3">
        <v>4.833333333333333</v>
      </c>
      <c r="E126" s="5">
        <f t="shared" si="5"/>
        <v>1765</v>
      </c>
      <c r="F126">
        <v>-0.26777000000000001</v>
      </c>
      <c r="G126">
        <f t="shared" si="6"/>
        <v>1.14693</v>
      </c>
      <c r="H126">
        <f t="shared" si="7"/>
        <v>1.14693</v>
      </c>
      <c r="I126" s="5">
        <f t="shared" si="8"/>
        <v>1765</v>
      </c>
      <c r="J126">
        <f>+H126+CF*F126*(1+($I126-1850)*slope/1000)+F126*hQc*COS(2*PI()*$I126/qbo+$L126)+F126*hQs*SIN(2*PI()*$I126/qbo+$L126)+F126*hCs*SIN(2*PI()*$I126/cw)+F126*hCc*COS(2*PI()*$I126/cw) +mix*F126*(hQc*COS(2*PI()*$I126/qbo+$L126)+hQs*SIN(2*PI()*$I126/qbo+$L126))*(hCs*SIN(2*PI()*$I126/cw)+hCc*COS(2*PI()*$I126/cw))</f>
        <v>-3.8890734741361066E-2</v>
      </c>
      <c r="K126">
        <f>fQc*COS(2*PI()*$I126/qbo+$L126)+fQs*SIN(2*PI()*$I126/qbo+$L126)+fCs*SIN(2*PI()*$I126/cw)+fCc*COS(2*PI()*$I126/cw)</f>
        <v>2.7154831301138245</v>
      </c>
      <c r="L126">
        <f>+QMA*COS(2*PI()*$I126/QM+QMP)</f>
        <v>0.48880234739120931</v>
      </c>
      <c r="P126">
        <f t="shared" si="9"/>
        <v>0</v>
      </c>
    </row>
    <row r="127" spans="1:16" x14ac:dyDescent="0.25">
      <c r="A127" s="1"/>
      <c r="B127" t="s">
        <v>140</v>
      </c>
      <c r="C127" t="s">
        <v>24</v>
      </c>
      <c r="D127" s="3">
        <v>4.875</v>
      </c>
      <c r="E127" s="5">
        <f t="shared" si="5"/>
        <v>1766</v>
      </c>
      <c r="F127">
        <v>0.67461000000000004</v>
      </c>
      <c r="G127">
        <f t="shared" si="6"/>
        <v>-1.22204</v>
      </c>
      <c r="H127">
        <f t="shared" si="7"/>
        <v>-1.22204</v>
      </c>
      <c r="I127" s="5">
        <f t="shared" si="8"/>
        <v>1766</v>
      </c>
      <c r="J127">
        <f>+H127+CF*F127*(1+($I127-1850)*slope/1000)+F127*hQc*COS(2*PI()*$I127/qbo+$L127)+F127*hQs*SIN(2*PI()*$I127/qbo+$L127)+F127*hCs*SIN(2*PI()*$I127/cw)+F127*hCc*COS(2*PI()*$I127/cw) +mix*F127*(hQc*COS(2*PI()*$I127/qbo+$L127)+hQs*SIN(2*PI()*$I127/qbo+$L127))*(hCs*SIN(2*PI()*$I127/cw)+hCc*COS(2*PI()*$I127/cw))</f>
        <v>1.3673608065793035</v>
      </c>
      <c r="K127">
        <f>fQc*COS(2*PI()*$I127/qbo+$L127)+fQs*SIN(2*PI()*$I127/qbo+$L127)+fCs*SIN(2*PI()*$I127/cw)+fCc*COS(2*PI()*$I127/cw)</f>
        <v>-0.38449559061932093</v>
      </c>
      <c r="L127">
        <f>+QMA*COS(2*PI()*$I127/QM+QMP)</f>
        <v>0.44389037338351028</v>
      </c>
      <c r="P127">
        <f t="shared" si="9"/>
        <v>0</v>
      </c>
    </row>
    <row r="128" spans="1:16" x14ac:dyDescent="0.25">
      <c r="A128" s="1"/>
      <c r="B128" t="s">
        <v>141</v>
      </c>
      <c r="C128" t="s">
        <v>24</v>
      </c>
      <c r="D128" s="3">
        <v>4.916666666666667</v>
      </c>
      <c r="E128" s="5">
        <f t="shared" si="5"/>
        <v>1767</v>
      </c>
      <c r="F128">
        <v>0.39495000000000002</v>
      </c>
      <c r="G128">
        <f t="shared" si="6"/>
        <v>-0.18498999999999999</v>
      </c>
      <c r="H128">
        <f t="shared" si="7"/>
        <v>-0.18498999999999999</v>
      </c>
      <c r="I128" s="5">
        <f t="shared" si="8"/>
        <v>1767</v>
      </c>
      <c r="J128">
        <f>+H128+CF*F128*(1+($I128-1850)*slope/1000)+F128*hQc*COS(2*PI()*$I128/qbo+$L128)+F128*hQs*SIN(2*PI()*$I128/qbo+$L128)+F128*hCs*SIN(2*PI()*$I128/cw)+F128*hCc*COS(2*PI()*$I128/cw) +mix*F128*(hQc*COS(2*PI()*$I128/qbo+$L128)+hQs*SIN(2*PI()*$I128/qbo+$L128))*(hCs*SIN(2*PI()*$I128/cw)+hCc*COS(2*PI()*$I128/cw))</f>
        <v>-1.4391734308355679</v>
      </c>
      <c r="K128">
        <f>fQc*COS(2*PI()*$I128/qbo+$L128)+fQs*SIN(2*PI()*$I128/qbo+$L128)+fCs*SIN(2*PI()*$I128/cw)+fCc*COS(2*PI()*$I128/cw)</f>
        <v>-2.2616658943878423</v>
      </c>
      <c r="L128">
        <f>+QMA*COS(2*PI()*$I128/QM+QMP)</f>
        <v>0.38820224292536176</v>
      </c>
      <c r="P128">
        <f t="shared" si="9"/>
        <v>1</v>
      </c>
    </row>
    <row r="129" spans="1:16" x14ac:dyDescent="0.25">
      <c r="A129" s="1"/>
      <c r="B129" t="s">
        <v>142</v>
      </c>
      <c r="C129" t="s">
        <v>24</v>
      </c>
      <c r="D129" s="3">
        <v>4.958333333333333</v>
      </c>
      <c r="E129" s="5">
        <f t="shared" si="5"/>
        <v>1768</v>
      </c>
      <c r="F129">
        <v>-6.9699999999999998E-2</v>
      </c>
      <c r="G129">
        <f t="shared" si="6"/>
        <v>0.86162000000000005</v>
      </c>
      <c r="H129">
        <f t="shared" si="7"/>
        <v>0.86162000000000005</v>
      </c>
      <c r="I129" s="5">
        <f t="shared" si="8"/>
        <v>1768</v>
      </c>
      <c r="J129">
        <f>+H129+CF*F129*(1+($I129-1850)*slope/1000)+F129*hQc*COS(2*PI()*$I129/qbo+$L129)+F129*hQs*SIN(2*PI()*$I129/qbo+$L129)+F129*hCs*SIN(2*PI()*$I129/cw)+F129*hCc*COS(2*PI()*$I129/cw) +mix*F129*(hQc*COS(2*PI()*$I129/qbo+$L129)+hQs*SIN(2*PI()*$I129/qbo+$L129))*(hCs*SIN(2*PI()*$I129/cw)+hCc*COS(2*PI()*$I129/cw))</f>
        <v>-0.13919520040410038</v>
      </c>
      <c r="K129">
        <f>fQc*COS(2*PI()*$I129/qbo+$L129)+fQs*SIN(2*PI()*$I129/qbo+$L129)+fCs*SIN(2*PI()*$I129/cw)+fCc*COS(2*PI()*$I129/cw)</f>
        <v>-3.8190125181427437</v>
      </c>
      <c r="L129">
        <f>+QMA*COS(2*PI()*$I129/QM+QMP)</f>
        <v>0.32308987541452255</v>
      </c>
      <c r="P129">
        <f t="shared" si="9"/>
        <v>1</v>
      </c>
    </row>
    <row r="130" spans="1:16" x14ac:dyDescent="0.25">
      <c r="A130" s="1"/>
      <c r="B130" t="s">
        <v>143</v>
      </c>
      <c r="C130" t="s">
        <v>24</v>
      </c>
      <c r="D130" s="3">
        <v>5</v>
      </c>
      <c r="E130" s="5">
        <f t="shared" si="5"/>
        <v>1769</v>
      </c>
      <c r="F130">
        <v>0.32727000000000001</v>
      </c>
      <c r="G130">
        <f t="shared" si="6"/>
        <v>0.12131999999999993</v>
      </c>
      <c r="H130">
        <f t="shared" si="7"/>
        <v>0.12131999999999993</v>
      </c>
      <c r="I130" s="5">
        <f t="shared" si="8"/>
        <v>1769</v>
      </c>
      <c r="J130">
        <f>+H130+CF*F130*(1+($I130-1850)*slope/1000)+F130*hQc*COS(2*PI()*$I130/qbo+$L130)+F130*hQs*SIN(2*PI()*$I130/qbo+$L130)+F130*hCs*SIN(2*PI()*$I130/cw)+F130*hCc*COS(2*PI()*$I130/cw) +mix*F130*(hQc*COS(2*PI()*$I130/qbo+$L130)+hQs*SIN(2*PI()*$I130/qbo+$L130))*(hCs*SIN(2*PI()*$I130/cw)+hCc*COS(2*PI()*$I130/cw))</f>
        <v>-2.3769229943540795</v>
      </c>
      <c r="K130">
        <f>fQc*COS(2*PI()*$I130/qbo+$L130)+fQs*SIN(2*PI()*$I130/qbo+$L130)+fCs*SIN(2*PI()*$I130/cw)+fCc*COS(2*PI()*$I130/cw)</f>
        <v>-3.2280224944946756</v>
      </c>
      <c r="L130">
        <f>+QMA*COS(2*PI()*$I130/QM+QMP)</f>
        <v>0.25013397883936161</v>
      </c>
      <c r="P130">
        <f t="shared" si="9"/>
        <v>1</v>
      </c>
    </row>
    <row r="131" spans="1:16" x14ac:dyDescent="0.25">
      <c r="A131" s="1"/>
      <c r="B131" t="s">
        <v>144</v>
      </c>
      <c r="C131" t="s">
        <v>24</v>
      </c>
      <c r="D131" s="3">
        <v>5.041666666666667</v>
      </c>
      <c r="E131" s="5">
        <f t="shared" si="5"/>
        <v>1770</v>
      </c>
      <c r="F131">
        <v>0.84555999999999998</v>
      </c>
      <c r="G131">
        <f t="shared" si="6"/>
        <v>-0.67840999999999985</v>
      </c>
      <c r="H131">
        <f t="shared" si="7"/>
        <v>-0.67840999999999985</v>
      </c>
      <c r="I131" s="5">
        <f t="shared" si="8"/>
        <v>1770</v>
      </c>
      <c r="J131">
        <f>+H131+CF*F131*(1+($I131-1850)*slope/1000)+F131*hQc*COS(2*PI()*$I131/qbo+$L131)+F131*hQs*SIN(2*PI()*$I131/qbo+$L131)+F131*hCs*SIN(2*PI()*$I131/cw)+F131*hCc*COS(2*PI()*$I131/cw) +mix*F131*(hQc*COS(2*PI()*$I131/qbo+$L131)+hQs*SIN(2*PI()*$I131/qbo+$L131))*(hCs*SIN(2*PI()*$I131/cw)+hCc*COS(2*PI()*$I131/cw))</f>
        <v>6.0777831826437474</v>
      </c>
      <c r="K131">
        <f>fQc*COS(2*PI()*$I131/qbo+$L131)+fQs*SIN(2*PI()*$I131/qbo+$L131)+fCs*SIN(2*PI()*$I131/cw)+fCc*COS(2*PI()*$I131/cw)</f>
        <v>-0.82402738390253005</v>
      </c>
      <c r="L131">
        <f>+QMA*COS(2*PI()*$I131/QM+QMP)</f>
        <v>0.17110567553684863</v>
      </c>
      <c r="P131">
        <f t="shared" si="9"/>
        <v>0</v>
      </c>
    </row>
    <row r="132" spans="1:16" x14ac:dyDescent="0.25">
      <c r="A132" s="1"/>
      <c r="B132" t="s">
        <v>145</v>
      </c>
      <c r="C132" t="s">
        <v>24</v>
      </c>
      <c r="D132" s="3">
        <v>5.083333333333333</v>
      </c>
      <c r="E132" s="5">
        <f t="shared" si="5"/>
        <v>1771</v>
      </c>
      <c r="F132">
        <v>0.68544000000000005</v>
      </c>
      <c r="G132">
        <f t="shared" si="6"/>
        <v>-1.19834</v>
      </c>
      <c r="H132">
        <f t="shared" si="7"/>
        <v>-1.19834</v>
      </c>
      <c r="I132" s="5">
        <f t="shared" si="8"/>
        <v>1771</v>
      </c>
      <c r="J132">
        <f>+H132+CF*F132*(1+($I132-1850)*slope/1000)+F132*hQc*COS(2*PI()*$I132/qbo+$L132)+F132*hQs*SIN(2*PI()*$I132/qbo+$L132)+F132*hCs*SIN(2*PI()*$I132/cw)+F132*hCc*COS(2*PI()*$I132/cw) +mix*F132*(hQc*COS(2*PI()*$I132/qbo+$L132)+hQs*SIN(2*PI()*$I132/qbo+$L132))*(hCs*SIN(2*PI()*$I132/cw)+hCc*COS(2*PI()*$I132/cw))</f>
        <v>1.5096900468863779</v>
      </c>
      <c r="K132">
        <f>fQc*COS(2*PI()*$I132/qbo+$L132)+fQs*SIN(2*PI()*$I132/qbo+$L132)+fCs*SIN(2*PI()*$I132/cw)+fCc*COS(2*PI()*$I132/cw)</f>
        <v>1.2354235797584758</v>
      </c>
      <c r="L132">
        <f>+QMA*COS(2*PI()*$I132/QM+QMP)</f>
        <v>8.7923505334496818E-2</v>
      </c>
      <c r="P132">
        <f t="shared" si="9"/>
        <v>1</v>
      </c>
    </row>
    <row r="133" spans="1:16" x14ac:dyDescent="0.25">
      <c r="A133" s="1"/>
      <c r="B133" t="s">
        <v>146</v>
      </c>
      <c r="C133" t="s">
        <v>24</v>
      </c>
      <c r="D133" s="3">
        <v>5.125</v>
      </c>
      <c r="E133" s="5">
        <f t="shared" si="5"/>
        <v>1772</v>
      </c>
      <c r="F133">
        <v>-0.67301999999999995</v>
      </c>
      <c r="G133">
        <f t="shared" si="6"/>
        <v>0.61890999999999985</v>
      </c>
      <c r="H133">
        <f t="shared" si="7"/>
        <v>0.61890999999999985</v>
      </c>
      <c r="I133" s="5">
        <f t="shared" si="8"/>
        <v>1772</v>
      </c>
      <c r="J133">
        <f>+H133+CF*F133*(1+($I133-1850)*slope/1000)+F133*hQc*COS(2*PI()*$I133/qbo+$L133)+F133*hQs*SIN(2*PI()*$I133/qbo+$L133)+F133*hCs*SIN(2*PI()*$I133/cw)+F133*hCc*COS(2*PI()*$I133/cw) +mix*F133*(hQc*COS(2*PI()*$I133/qbo+$L133)+hQs*SIN(2*PI()*$I133/qbo+$L133))*(hCs*SIN(2*PI()*$I133/cw)+hCc*COS(2*PI()*$I133/cw))</f>
        <v>-2.4233873417665182</v>
      </c>
      <c r="K133">
        <f>fQc*COS(2*PI()*$I133/qbo+$L133)+fQs*SIN(2*PI()*$I133/qbo+$L133)+fCs*SIN(2*PI()*$I133/cw)+fCc*COS(2*PI()*$I133/cw)</f>
        <v>3.7223537759321395</v>
      </c>
      <c r="L133">
        <f>+QMA*COS(2*PI()*$I133/QM+QMP)</f>
        <v>2.6068498944515467E-3</v>
      </c>
      <c r="P133">
        <f t="shared" si="9"/>
        <v>0</v>
      </c>
    </row>
    <row r="134" spans="1:16" x14ac:dyDescent="0.25">
      <c r="A134" s="1"/>
      <c r="B134" t="s">
        <v>147</v>
      </c>
      <c r="C134" t="s">
        <v>24</v>
      </c>
      <c r="D134" s="3">
        <v>5.166666666666667</v>
      </c>
      <c r="E134" s="5">
        <f t="shared" si="5"/>
        <v>1773</v>
      </c>
      <c r="F134">
        <v>-1.4125700000000001</v>
      </c>
      <c r="G134">
        <f t="shared" si="6"/>
        <v>1.9438000000000002</v>
      </c>
      <c r="H134">
        <f t="shared" si="7"/>
        <v>1.9438000000000002</v>
      </c>
      <c r="I134" s="5">
        <f t="shared" si="8"/>
        <v>1773</v>
      </c>
      <c r="J134">
        <f>+H134+CF*F134*(1+($I134-1850)*slope/1000)+F134*hQc*COS(2*PI()*$I134/qbo+$L134)+F134*hQs*SIN(2*PI()*$I134/qbo+$L134)+F134*hCs*SIN(2*PI()*$I134/cw)+F134*hCc*COS(2*PI()*$I134/cw) +mix*F134*(hQc*COS(2*PI()*$I134/qbo+$L134)+hQs*SIN(2*PI()*$I134/qbo+$L134))*(hCs*SIN(2*PI()*$I134/cw)+hCc*COS(2*PI()*$I134/cw))</f>
        <v>-1.7383518341200661</v>
      </c>
      <c r="K134">
        <f>fQc*COS(2*PI()*$I134/qbo+$L134)+fQs*SIN(2*PI()*$I134/qbo+$L134)+fCs*SIN(2*PI()*$I134/cw)+fCc*COS(2*PI()*$I134/cw)</f>
        <v>3.3963231689816085</v>
      </c>
      <c r="L134">
        <f>+QMA*COS(2*PI()*$I134/QM+QMP)</f>
        <v>-8.2773091041300623E-2</v>
      </c>
      <c r="P134">
        <f t="shared" si="9"/>
        <v>0</v>
      </c>
    </row>
    <row r="135" spans="1:16" x14ac:dyDescent="0.25">
      <c r="A135" s="1"/>
      <c r="B135" t="s">
        <v>148</v>
      </c>
      <c r="C135" t="s">
        <v>24</v>
      </c>
      <c r="D135" s="3">
        <v>5.208333333333333</v>
      </c>
      <c r="E135" s="5">
        <f t="shared" si="5"/>
        <v>1774</v>
      </c>
      <c r="F135">
        <v>-0.20832000000000001</v>
      </c>
      <c r="G135">
        <f t="shared" si="6"/>
        <v>-1.0641700000000001</v>
      </c>
      <c r="H135">
        <f t="shared" si="7"/>
        <v>-1.0641700000000001</v>
      </c>
      <c r="I135" s="5">
        <f t="shared" si="8"/>
        <v>1774</v>
      </c>
      <c r="J135">
        <f>+H135+CF*F135*(1+($I135-1850)*slope/1000)+F135*hQc*COS(2*PI()*$I135/qbo+$L135)+F135*hQs*SIN(2*PI()*$I135/qbo+$L135)+F135*hCs*SIN(2*PI()*$I135/cw)+F135*hCc*COS(2*PI()*$I135/cw) +mix*F135*(hQc*COS(2*PI()*$I135/qbo+$L135)+hQs*SIN(2*PI()*$I135/qbo+$L135))*(hCs*SIN(2*PI()*$I135/cw)+hCc*COS(2*PI()*$I135/cw))</f>
        <v>-1.4929228198816704</v>
      </c>
      <c r="K135">
        <f>fQc*COS(2*PI()*$I135/qbo+$L135)+fQs*SIN(2*PI()*$I135/qbo+$L135)+fCs*SIN(2*PI()*$I135/cw)+fCc*COS(2*PI()*$I135/cw)</f>
        <v>2.1430006333254701</v>
      </c>
      <c r="L135">
        <f>+QMA*COS(2*PI()*$I135/QM+QMP)</f>
        <v>-0.16614358137295843</v>
      </c>
      <c r="P135">
        <f t="shared" si="9"/>
        <v>0</v>
      </c>
    </row>
    <row r="136" spans="1:16" x14ac:dyDescent="0.25">
      <c r="A136" s="1"/>
      <c r="B136" t="s">
        <v>149</v>
      </c>
      <c r="C136" t="s">
        <v>24</v>
      </c>
      <c r="D136" s="3">
        <v>5.25</v>
      </c>
      <c r="E136" s="5">
        <f t="shared" si="5"/>
        <v>1775</v>
      </c>
      <c r="F136">
        <v>-6.8239999999999995E-2</v>
      </c>
      <c r="G136">
        <f t="shared" si="6"/>
        <v>-0.52205999999999997</v>
      </c>
      <c r="H136">
        <f t="shared" si="7"/>
        <v>-0.52205999999999997</v>
      </c>
      <c r="I136" s="5">
        <f t="shared" si="8"/>
        <v>1775</v>
      </c>
      <c r="J136">
        <f>+H136+CF*F136*(1+($I136-1850)*slope/1000)+F136*hQc*COS(2*PI()*$I136/qbo+$L136)+F136*hQs*SIN(2*PI()*$I136/qbo+$L136)+F136*hCs*SIN(2*PI()*$I136/cw)+F136*hCc*COS(2*PI()*$I136/cw) +mix*F136*(hQc*COS(2*PI()*$I136/qbo+$L136)+hQs*SIN(2*PI()*$I136/qbo+$L136))*(hCs*SIN(2*PI()*$I136/cw)+hCc*COS(2*PI()*$I136/cw))</f>
        <v>-1.2382036296611612</v>
      </c>
      <c r="K136">
        <f>fQc*COS(2*PI()*$I136/qbo+$L136)+fQs*SIN(2*PI()*$I136/qbo+$L136)+fCs*SIN(2*PI()*$I136/cw)+fCc*COS(2*PI()*$I136/cw)</f>
        <v>-0.35630038612630077</v>
      </c>
      <c r="L136">
        <f>+QMA*COS(2*PI()*$I136/QM+QMP)</f>
        <v>-0.24548066766281201</v>
      </c>
      <c r="P136">
        <f t="shared" si="9"/>
        <v>1</v>
      </c>
    </row>
    <row r="137" spans="1:16" x14ac:dyDescent="0.25">
      <c r="A137" s="1"/>
      <c r="B137" t="s">
        <v>150</v>
      </c>
      <c r="C137" t="s">
        <v>24</v>
      </c>
      <c r="D137" s="3">
        <v>5.291666666666667</v>
      </c>
      <c r="E137" s="5">
        <f t="shared" si="5"/>
        <v>1776</v>
      </c>
      <c r="F137">
        <v>-0.45022000000000001</v>
      </c>
      <c r="G137">
        <f t="shared" si="6"/>
        <v>0.28513000000000005</v>
      </c>
      <c r="H137">
        <f t="shared" si="7"/>
        <v>0.28513000000000005</v>
      </c>
      <c r="I137" s="5">
        <f t="shared" si="8"/>
        <v>1776</v>
      </c>
      <c r="J137">
        <f>+H137+CF*F137*(1+($I137-1850)*slope/1000)+F137*hQc*COS(2*PI()*$I137/qbo+$L137)+F137*hQs*SIN(2*PI()*$I137/qbo+$L137)+F137*hCs*SIN(2*PI()*$I137/cw)+F137*hCc*COS(2*PI()*$I137/cw) +mix*F137*(hQc*COS(2*PI()*$I137/qbo+$L137)+hQs*SIN(2*PI()*$I137/qbo+$L137))*(hCs*SIN(2*PI()*$I137/cw)+hCc*COS(2*PI()*$I137/cw))</f>
        <v>3.240328605200459</v>
      </c>
      <c r="K137">
        <f>fQc*COS(2*PI()*$I137/qbo+$L137)+fQs*SIN(2*PI()*$I137/qbo+$L137)+fCs*SIN(2*PI()*$I137/cw)+fCc*COS(2*PI()*$I137/cw)</f>
        <v>-3.0334682888406723</v>
      </c>
      <c r="L137">
        <f>+QMA*COS(2*PI()*$I137/QM+QMP)</f>
        <v>-0.31885831387714714</v>
      </c>
      <c r="P137">
        <f t="shared" si="9"/>
        <v>0</v>
      </c>
    </row>
    <row r="138" spans="1:16" x14ac:dyDescent="0.25">
      <c r="A138" s="1"/>
      <c r="B138" t="s">
        <v>151</v>
      </c>
      <c r="C138" t="s">
        <v>24</v>
      </c>
      <c r="D138" s="3">
        <v>5.333333333333333</v>
      </c>
      <c r="E138" s="5">
        <f t="shared" si="5"/>
        <v>1777</v>
      </c>
      <c r="F138">
        <v>-0.54706999999999995</v>
      </c>
      <c r="G138">
        <f t="shared" si="6"/>
        <v>-0.23581000000000013</v>
      </c>
      <c r="H138">
        <f t="shared" si="7"/>
        <v>-0.23581000000000013</v>
      </c>
      <c r="I138" s="5">
        <f t="shared" si="8"/>
        <v>1777</v>
      </c>
      <c r="J138">
        <f>+H138+CF*F138*(1+($I138-1850)*slope/1000)+F138*hQc*COS(2*PI()*$I138/qbo+$L138)+F138*hQs*SIN(2*PI()*$I138/qbo+$L138)+F138*hCs*SIN(2*PI()*$I138/cw)+F138*hCc*COS(2*PI()*$I138/cw) +mix*F138*(hQc*COS(2*PI()*$I138/qbo+$L138)+hQs*SIN(2*PI()*$I138/qbo+$L138))*(hCs*SIN(2*PI()*$I138/cw)+hCc*COS(2*PI()*$I138/cw))</f>
        <v>-4.1589684508397866</v>
      </c>
      <c r="K138">
        <f>fQc*COS(2*PI()*$I138/qbo+$L138)+fQs*SIN(2*PI()*$I138/qbo+$L138)+fCs*SIN(2*PI()*$I138/cw)+fCc*COS(2*PI()*$I138/cw)</f>
        <v>-3.4345737027852294</v>
      </c>
      <c r="L138">
        <f>+QMA*COS(2*PI()*$I138/QM+QMP)</f>
        <v>-0.38449515902458603</v>
      </c>
      <c r="P138">
        <f t="shared" si="9"/>
        <v>1</v>
      </c>
    </row>
    <row r="139" spans="1:16" x14ac:dyDescent="0.25">
      <c r="A139" s="1"/>
      <c r="B139" t="s">
        <v>152</v>
      </c>
      <c r="C139" t="s">
        <v>24</v>
      </c>
      <c r="D139" s="3">
        <v>5.375</v>
      </c>
      <c r="E139" s="5">
        <f t="shared" si="5"/>
        <v>1778</v>
      </c>
      <c r="F139">
        <v>-0.87973000000000001</v>
      </c>
      <c r="G139">
        <f t="shared" si="6"/>
        <v>0.59026000000000012</v>
      </c>
      <c r="H139">
        <f t="shared" si="7"/>
        <v>0.59026000000000012</v>
      </c>
      <c r="I139" s="5">
        <f t="shared" si="8"/>
        <v>1778</v>
      </c>
      <c r="J139">
        <f>+H139+CF*F139*(1+($I139-1850)*slope/1000)+F139*hQc*COS(2*PI()*$I139/qbo+$L139)+F139*hQs*SIN(2*PI()*$I139/qbo+$L139)+F139*hCs*SIN(2*PI()*$I139/cw)+F139*hCc*COS(2*PI()*$I139/cw) +mix*F139*(hQc*COS(2*PI()*$I139/qbo+$L139)+hQs*SIN(2*PI()*$I139/qbo+$L139))*(hCs*SIN(2*PI()*$I139/cw)+hCc*COS(2*PI()*$I139/cw))</f>
        <v>-3.1577513582232197</v>
      </c>
      <c r="K139">
        <f>fQc*COS(2*PI()*$I139/qbo+$L139)+fQs*SIN(2*PI()*$I139/qbo+$L139)+fCs*SIN(2*PI()*$I139/cw)+fCc*COS(2*PI()*$I139/cw)</f>
        <v>-3.2246133396457028</v>
      </c>
      <c r="L139">
        <f>+QMA*COS(2*PI()*$I139/QM+QMP)</f>
        <v>-0.44079776257428516</v>
      </c>
      <c r="P139">
        <f t="shared" si="9"/>
        <v>1</v>
      </c>
    </row>
    <row r="140" spans="1:16" x14ac:dyDescent="0.25">
      <c r="A140" s="1"/>
      <c r="B140" t="s">
        <v>153</v>
      </c>
      <c r="C140" t="s">
        <v>24</v>
      </c>
      <c r="D140" s="3">
        <v>5.416666666666667</v>
      </c>
      <c r="E140" s="5">
        <f t="shared" si="5"/>
        <v>1779</v>
      </c>
      <c r="F140">
        <v>-0.62212999999999996</v>
      </c>
      <c r="G140">
        <f t="shared" si="6"/>
        <v>0.30409999999999993</v>
      </c>
      <c r="H140">
        <f t="shared" si="7"/>
        <v>0.30409999999999993</v>
      </c>
      <c r="I140" s="5">
        <f t="shared" si="8"/>
        <v>1779</v>
      </c>
      <c r="J140">
        <f>+H140+CF*F140*(1+($I140-1850)*slope/1000)+F140*hQc*COS(2*PI()*$I140/qbo+$L140)+F140*hQs*SIN(2*PI()*$I140/qbo+$L140)+F140*hCs*SIN(2*PI()*$I140/cw)+F140*hCc*COS(2*PI()*$I140/cw) +mix*F140*(hQc*COS(2*PI()*$I140/qbo+$L140)+hQs*SIN(2*PI()*$I140/qbo+$L140))*(hCs*SIN(2*PI()*$I140/cw)+hCc*COS(2*PI()*$I140/cw))</f>
        <v>-1.4014042255539039E-6</v>
      </c>
      <c r="K140">
        <f>fQc*COS(2*PI()*$I140/qbo+$L140)+fQs*SIN(2*PI()*$I140/qbo+$L140)+fCs*SIN(2*PI()*$I140/cw)+fCc*COS(2*PI()*$I140/cw)</f>
        <v>-0.44550225760256545</v>
      </c>
      <c r="L140">
        <f>+QMA*COS(2*PI()*$I140/QM+QMP)</f>
        <v>-0.48639928780075969</v>
      </c>
      <c r="P140">
        <f t="shared" si="9"/>
        <v>1</v>
      </c>
    </row>
    <row r="141" spans="1:16" x14ac:dyDescent="0.25">
      <c r="A141" s="1"/>
      <c r="B141" t="s">
        <v>154</v>
      </c>
      <c r="C141" t="s">
        <v>24</v>
      </c>
      <c r="D141" s="3">
        <v>5.458333333333333</v>
      </c>
      <c r="E141" s="5">
        <f t="shared" ref="E141:E204" si="10">+E140+1</f>
        <v>1780</v>
      </c>
      <c r="F141">
        <v>-6.0429999999999998E-2</v>
      </c>
      <c r="G141">
        <f t="shared" ref="G141:G204" si="11">+(F142-F141)-(F141-F140)</f>
        <v>-1.3107199999999999</v>
      </c>
      <c r="H141">
        <f t="shared" ref="H141:H204" si="12">+G141</f>
        <v>-1.3107199999999999</v>
      </c>
      <c r="I141" s="5">
        <f t="shared" si="8"/>
        <v>1780</v>
      </c>
      <c r="J141">
        <f>+H141+CF*F141*(1+($I141-1850)*slope/1000)+F141*hQc*COS(2*PI()*$I141/qbo+$L141)+F141*hQs*SIN(2*PI()*$I141/qbo+$L141)+F141*hCs*SIN(2*PI()*$I141/cw)+F141*hCc*COS(2*PI()*$I141/cw) +mix*F141*(hQc*COS(2*PI()*$I141/qbo+$L141)+hQs*SIN(2*PI()*$I141/qbo+$L141))*(hCs*SIN(2*PI()*$I141/cw)+hCc*COS(2*PI()*$I141/cw))</f>
        <v>-1.4965477053140461</v>
      </c>
      <c r="K141">
        <f>fQc*COS(2*PI()*$I141/qbo+$L141)+fQs*SIN(2*PI()*$I141/qbo+$L141)+fCs*SIN(2*PI()*$I141/cw)+fCc*COS(2*PI()*$I141/cw)</f>
        <v>1.828293382535588</v>
      </c>
      <c r="L141">
        <f>+QMA*COS(2*PI()*$I141/QM+QMP)</f>
        <v>-0.52019268395524565</v>
      </c>
      <c r="P141">
        <f t="shared" si="9"/>
        <v>0</v>
      </c>
    </row>
    <row r="142" spans="1:16" x14ac:dyDescent="0.25">
      <c r="A142" s="1"/>
      <c r="B142" t="s">
        <v>155</v>
      </c>
      <c r="C142" t="s">
        <v>24</v>
      </c>
      <c r="D142" s="3">
        <v>5.5</v>
      </c>
      <c r="E142" s="5">
        <f t="shared" si="10"/>
        <v>1781</v>
      </c>
      <c r="F142">
        <v>-0.80945</v>
      </c>
      <c r="G142">
        <f t="shared" si="11"/>
        <v>0.48418000000000005</v>
      </c>
      <c r="H142">
        <f t="shared" si="12"/>
        <v>0.48418000000000005</v>
      </c>
      <c r="I142" s="5">
        <f t="shared" ref="I142:I205" si="13">+E142</f>
        <v>1781</v>
      </c>
      <c r="J142">
        <f>+H142+CF*F142*(1+($I142-1850)*slope/1000)+F142*hQc*COS(2*PI()*$I142/qbo+$L142)+F142*hQs*SIN(2*PI()*$I142/qbo+$L142)+F142*hCs*SIN(2*PI()*$I142/cw)+F142*hCc*COS(2*PI()*$I142/cw) +mix*F142*(hQc*COS(2*PI()*$I142/qbo+$L142)+hQs*SIN(2*PI()*$I142/qbo+$L142))*(hCs*SIN(2*PI()*$I142/cw)+hCc*COS(2*PI()*$I142/cw))</f>
        <v>-5.4211530017618426</v>
      </c>
      <c r="K142">
        <f>fQc*COS(2*PI()*$I142/qbo+$L142)+fQs*SIN(2*PI()*$I142/qbo+$L142)+fCs*SIN(2*PI()*$I142/cw)+fCc*COS(2*PI()*$I142/cw)</f>
        <v>3.4802977445849135</v>
      </c>
      <c r="L142">
        <f>+QMA*COS(2*PI()*$I142/QM+QMP)</f>
        <v>-0.54135756171241112</v>
      </c>
      <c r="P142">
        <f t="shared" ref="P142:P205" si="14">+IF(J142*K142&gt;0,1, 0)</f>
        <v>0</v>
      </c>
    </row>
    <row r="143" spans="1:16" x14ac:dyDescent="0.25">
      <c r="A143" s="1"/>
      <c r="B143" t="s">
        <v>156</v>
      </c>
      <c r="C143" t="s">
        <v>24</v>
      </c>
      <c r="D143" s="3">
        <v>5.541666666666667</v>
      </c>
      <c r="E143" s="5">
        <f t="shared" si="10"/>
        <v>1782</v>
      </c>
      <c r="F143">
        <v>-1.07429</v>
      </c>
      <c r="G143">
        <f t="shared" si="11"/>
        <v>2.16337</v>
      </c>
      <c r="H143">
        <f t="shared" si="12"/>
        <v>2.16337</v>
      </c>
      <c r="I143" s="5">
        <f t="shared" si="13"/>
        <v>1782</v>
      </c>
      <c r="J143">
        <f>+H143+CF*F143*(1+($I143-1850)*slope/1000)+F143*hQc*COS(2*PI()*$I143/qbo+$L143)+F143*hQs*SIN(2*PI()*$I143/qbo+$L143)+F143*hCs*SIN(2*PI()*$I143/cw)+F143*hCc*COS(2*PI()*$I143/cw) +mix*F143*(hQc*COS(2*PI()*$I143/qbo+$L143)+hQs*SIN(2*PI()*$I143/qbo+$L143))*(hCs*SIN(2*PI()*$I143/cw)+hCc*COS(2*PI()*$I143/cw))</f>
        <v>1.8554912401214096E-5</v>
      </c>
      <c r="K143">
        <f>fQc*COS(2*PI()*$I143/qbo+$L143)+fQs*SIN(2*PI()*$I143/qbo+$L143)+fCs*SIN(2*PI()*$I143/cw)+fCc*COS(2*PI()*$I143/cw)</f>
        <v>3.7000440852636909</v>
      </c>
      <c r="L143">
        <f>+QMA*COS(2*PI()*$I143/QM+QMP)</f>
        <v>-0.54938010944747651</v>
      </c>
      <c r="P143">
        <f t="shared" si="14"/>
        <v>1</v>
      </c>
    </row>
    <row r="144" spans="1:16" x14ac:dyDescent="0.25">
      <c r="A144" s="1"/>
      <c r="B144" t="s">
        <v>157</v>
      </c>
      <c r="C144" t="s">
        <v>24</v>
      </c>
      <c r="D144" s="3">
        <v>5.583333333333333</v>
      </c>
      <c r="E144" s="5">
        <f t="shared" si="10"/>
        <v>1783</v>
      </c>
      <c r="F144">
        <v>0.82423999999999997</v>
      </c>
      <c r="G144">
        <f t="shared" si="11"/>
        <v>-1.2054200000000002</v>
      </c>
      <c r="H144">
        <f t="shared" si="12"/>
        <v>-1.2054200000000002</v>
      </c>
      <c r="I144" s="5">
        <f t="shared" si="13"/>
        <v>1783</v>
      </c>
      <c r="J144">
        <f>+H144+CF*F144*(1+($I144-1850)*slope/1000)+F144*hQc*COS(2*PI()*$I144/qbo+$L144)+F144*hQs*SIN(2*PI()*$I144/qbo+$L144)+F144*hCs*SIN(2*PI()*$I144/cw)+F144*hCc*COS(2*PI()*$I144/cw) +mix*F144*(hQc*COS(2*PI()*$I144/qbo+$L144)+hQs*SIN(2*PI()*$I144/qbo+$L144))*(hCs*SIN(2*PI()*$I144/cw)+hCc*COS(2*PI()*$I144/cw))</f>
        <v>0.3377379332267838</v>
      </c>
      <c r="K144">
        <f>fQc*COS(2*PI()*$I144/qbo+$L144)+fQs*SIN(2*PI()*$I144/qbo+$L144)+fCs*SIN(2*PI()*$I144/cw)+fCc*COS(2*PI()*$I144/cw)</f>
        <v>1.4347538416299273</v>
      </c>
      <c r="L144">
        <f>+QMA*COS(2*PI()*$I144/QM+QMP)</f>
        <v>-0.54406556684414875</v>
      </c>
      <c r="P144">
        <f t="shared" si="14"/>
        <v>1</v>
      </c>
    </row>
    <row r="145" spans="1:16" x14ac:dyDescent="0.25">
      <c r="A145" s="1"/>
      <c r="B145" t="s">
        <v>158</v>
      </c>
      <c r="C145" t="s">
        <v>24</v>
      </c>
      <c r="D145" s="3">
        <v>5.625</v>
      </c>
      <c r="E145" s="5">
        <f t="shared" si="10"/>
        <v>1784</v>
      </c>
      <c r="F145">
        <v>1.51735</v>
      </c>
      <c r="G145">
        <f t="shared" si="11"/>
        <v>-2.7677499999999999</v>
      </c>
      <c r="H145">
        <f t="shared" si="12"/>
        <v>-2.7677499999999999</v>
      </c>
      <c r="I145" s="5">
        <f t="shared" si="13"/>
        <v>1784</v>
      </c>
      <c r="J145">
        <f>+H145+CF*F145*(1+($I145-1850)*slope/1000)+F145*hQc*COS(2*PI()*$I145/qbo+$L145)+F145*hQs*SIN(2*PI()*$I145/qbo+$L145)+F145*hCs*SIN(2*PI()*$I145/cw)+F145*hCc*COS(2*PI()*$I145/cw) +mix*F145*(hQc*COS(2*PI()*$I145/qbo+$L145)+hQs*SIN(2*PI()*$I145/qbo+$L145))*(hCs*SIN(2*PI()*$I145/cw)+hCc*COS(2*PI()*$I145/cw))</f>
        <v>3.5039050611251876</v>
      </c>
      <c r="K145">
        <f>fQc*COS(2*PI()*$I145/qbo+$L145)+fQs*SIN(2*PI()*$I145/qbo+$L145)+fCs*SIN(2*PI()*$I145/cw)+fCc*COS(2*PI()*$I145/cw)</f>
        <v>-0.53036187821755509</v>
      </c>
      <c r="L145">
        <f>+QMA*COS(2*PI()*$I145/QM+QMP)</f>
        <v>-0.5255429530161233</v>
      </c>
      <c r="P145">
        <f t="shared" si="14"/>
        <v>0</v>
      </c>
    </row>
    <row r="146" spans="1:16" x14ac:dyDescent="0.25">
      <c r="A146" s="1"/>
      <c r="B146" t="s">
        <v>159</v>
      </c>
      <c r="C146" t="s">
        <v>24</v>
      </c>
      <c r="D146" s="3">
        <v>5.666666666666667</v>
      </c>
      <c r="E146" s="5">
        <f t="shared" si="10"/>
        <v>1785</v>
      </c>
      <c r="F146">
        <v>-0.55728999999999995</v>
      </c>
      <c r="G146">
        <f t="shared" si="11"/>
        <v>1.5596000000000001</v>
      </c>
      <c r="H146">
        <f t="shared" si="12"/>
        <v>1.5596000000000001</v>
      </c>
      <c r="I146" s="5">
        <f t="shared" si="13"/>
        <v>1785</v>
      </c>
      <c r="J146">
        <f>+H146+CF*F146*(1+($I146-1850)*slope/1000)+F146*hQc*COS(2*PI()*$I146/qbo+$L146)+F146*hQs*SIN(2*PI()*$I146/qbo+$L146)+F146*hCs*SIN(2*PI()*$I146/cw)+F146*hCc*COS(2*PI()*$I146/cw) +mix*F146*(hQc*COS(2*PI()*$I146/qbo+$L146)+hQs*SIN(2*PI()*$I146/qbo+$L146))*(hCs*SIN(2*PI()*$I146/cw)+hCc*COS(2*PI()*$I146/cw))</f>
        <v>-1.5309734073767898</v>
      </c>
      <c r="K146">
        <f>fQc*COS(2*PI()*$I146/qbo+$L146)+fQs*SIN(2*PI()*$I146/qbo+$L146)+fCs*SIN(2*PI()*$I146/cw)+fCc*COS(2*PI()*$I146/cw)</f>
        <v>-3.3308269539965547</v>
      </c>
      <c r="L146">
        <f>+QMA*COS(2*PI()*$I146/QM+QMP)</f>
        <v>-0.49426193435954224</v>
      </c>
      <c r="P146">
        <f t="shared" si="14"/>
        <v>1</v>
      </c>
    </row>
    <row r="147" spans="1:16" x14ac:dyDescent="0.25">
      <c r="A147" s="1"/>
      <c r="B147" t="s">
        <v>160</v>
      </c>
      <c r="C147" t="s">
        <v>24</v>
      </c>
      <c r="D147" s="3">
        <v>5.708333333333333</v>
      </c>
      <c r="E147" s="5">
        <f t="shared" si="10"/>
        <v>1786</v>
      </c>
      <c r="F147">
        <v>-1.07233</v>
      </c>
      <c r="G147">
        <f t="shared" si="11"/>
        <v>1.5132400000000001</v>
      </c>
      <c r="H147">
        <f t="shared" si="12"/>
        <v>1.5132400000000001</v>
      </c>
      <c r="I147" s="5">
        <f t="shared" si="13"/>
        <v>1786</v>
      </c>
      <c r="J147">
        <f>+H147+CF*F147*(1+($I147-1850)*slope/1000)+F147*hQc*COS(2*PI()*$I147/qbo+$L147)+F147*hQs*SIN(2*PI()*$I147/qbo+$L147)+F147*hCs*SIN(2*PI()*$I147/cw)+F147*hCc*COS(2*PI()*$I147/cw) +mix*F147*(hQc*COS(2*PI()*$I147/qbo+$L147)+hQs*SIN(2*PI()*$I147/qbo+$L147))*(hCs*SIN(2*PI()*$I147/cw)+hCc*COS(2*PI()*$I147/cw))</f>
        <v>7.5578206366148155</v>
      </c>
      <c r="K147">
        <f>fQc*COS(2*PI()*$I147/qbo+$L147)+fQs*SIN(2*PI()*$I147/qbo+$L147)+fCs*SIN(2*PI()*$I147/cw)+fCc*COS(2*PI()*$I147/cw)</f>
        <v>-3.5332976695883582</v>
      </c>
      <c r="L147">
        <f>+QMA*COS(2*PI()*$I147/QM+QMP)</f>
        <v>-0.45098190817426337</v>
      </c>
      <c r="P147">
        <f t="shared" si="14"/>
        <v>0</v>
      </c>
    </row>
    <row r="148" spans="1:16" x14ac:dyDescent="0.25">
      <c r="A148" s="1"/>
      <c r="B148" t="s">
        <v>161</v>
      </c>
      <c r="C148" t="s">
        <v>24</v>
      </c>
      <c r="D148" s="3">
        <v>5.75</v>
      </c>
      <c r="E148" s="5">
        <f t="shared" si="10"/>
        <v>1787</v>
      </c>
      <c r="F148">
        <v>-7.4130000000000001E-2</v>
      </c>
      <c r="G148">
        <f t="shared" si="11"/>
        <v>-0.81238999999999995</v>
      </c>
      <c r="H148">
        <f t="shared" si="12"/>
        <v>-0.81238999999999995</v>
      </c>
      <c r="I148" s="5">
        <f t="shared" si="13"/>
        <v>1787</v>
      </c>
      <c r="J148">
        <f>+H148+CF*F148*(1+($I148-1850)*slope/1000)+F148*hQc*COS(2*PI()*$I148/qbo+$L148)+F148*hQs*SIN(2*PI()*$I148/qbo+$L148)+F148*hCs*SIN(2*PI()*$I148/cw)+F148*hCc*COS(2*PI()*$I148/cw) +mix*F148*(hQc*COS(2*PI()*$I148/qbo+$L148)+hQs*SIN(2*PI()*$I148/qbo+$L148))*(hCs*SIN(2*PI()*$I148/cw)+hCc*COS(2*PI()*$I148/cw))</f>
        <v>-1.6114550250827164</v>
      </c>
      <c r="K148">
        <f>fQc*COS(2*PI()*$I148/qbo+$L148)+fQs*SIN(2*PI()*$I148/qbo+$L148)+fCs*SIN(2*PI()*$I148/cw)+fCc*COS(2*PI()*$I148/cw)</f>
        <v>-2.7455351696381856</v>
      </c>
      <c r="L148">
        <f>+QMA*COS(2*PI()*$I148/QM+QMP)</f>
        <v>-0.39675356706662196</v>
      </c>
      <c r="P148">
        <f t="shared" si="14"/>
        <v>1</v>
      </c>
    </row>
    <row r="149" spans="1:16" x14ac:dyDescent="0.25">
      <c r="A149" s="1"/>
      <c r="B149" t="s">
        <v>162</v>
      </c>
      <c r="C149" t="s">
        <v>24</v>
      </c>
      <c r="D149" s="3">
        <v>5.791666666666667</v>
      </c>
      <c r="E149" s="5">
        <f t="shared" si="10"/>
        <v>1788</v>
      </c>
      <c r="F149">
        <v>0.11168</v>
      </c>
      <c r="G149">
        <f t="shared" si="11"/>
        <v>-1.2239200000000001</v>
      </c>
      <c r="H149">
        <f t="shared" si="12"/>
        <v>-1.2239200000000001</v>
      </c>
      <c r="I149" s="5">
        <f t="shared" si="13"/>
        <v>1788</v>
      </c>
      <c r="J149">
        <f>+H149+CF*F149*(1+($I149-1850)*slope/1000)+F149*hQc*COS(2*PI()*$I149/qbo+$L149)+F149*hQs*SIN(2*PI()*$I149/qbo+$L149)+F149*hCs*SIN(2*PI()*$I149/cw)+F149*hCc*COS(2*PI()*$I149/cw) +mix*F149*(hQc*COS(2*PI()*$I149/qbo+$L149)+hQs*SIN(2*PI()*$I149/qbo+$L149))*(hCs*SIN(2*PI()*$I149/cw)+hCc*COS(2*PI()*$I149/cw))</f>
        <v>-1.2926925968015368</v>
      </c>
      <c r="K149">
        <f>fQc*COS(2*PI()*$I149/qbo+$L149)+fQs*SIN(2*PI()*$I149/qbo+$L149)+fCs*SIN(2*PI()*$I149/cw)+fCc*COS(2*PI()*$I149/cw)</f>
        <v>-0.29747728438206134</v>
      </c>
      <c r="L149">
        <f>+QMA*COS(2*PI()*$I149/QM+QMP)</f>
        <v>-0.33289339168787951</v>
      </c>
      <c r="P149">
        <f t="shared" si="14"/>
        <v>1</v>
      </c>
    </row>
    <row r="150" spans="1:16" x14ac:dyDescent="0.25">
      <c r="A150" s="1"/>
      <c r="B150" t="s">
        <v>163</v>
      </c>
      <c r="C150" t="s">
        <v>24</v>
      </c>
      <c r="D150" s="3">
        <v>5.833333333333333</v>
      </c>
      <c r="E150" s="5">
        <f t="shared" si="10"/>
        <v>1789</v>
      </c>
      <c r="F150">
        <v>-0.92642999999999998</v>
      </c>
      <c r="G150">
        <f t="shared" si="11"/>
        <v>0.5069800000000001</v>
      </c>
      <c r="H150">
        <f t="shared" si="12"/>
        <v>0.5069800000000001</v>
      </c>
      <c r="I150" s="5">
        <f t="shared" si="13"/>
        <v>1789</v>
      </c>
      <c r="J150">
        <f>+H150+CF*F150*(1+($I150-1850)*slope/1000)+F150*hQc*COS(2*PI()*$I150/qbo+$L150)+F150*hQs*SIN(2*PI()*$I150/qbo+$L150)+F150*hCs*SIN(2*PI()*$I150/cw)+F150*hCc*COS(2*PI()*$I150/cw) +mix*F150*(hQc*COS(2*PI()*$I150/qbo+$L150)+hQs*SIN(2*PI()*$I150/qbo+$L150))*(hCs*SIN(2*PI()*$I150/cw)+hCc*COS(2*PI()*$I150/cw))</f>
        <v>-1.5686914228590316</v>
      </c>
      <c r="K150">
        <f>fQc*COS(2*PI()*$I150/qbo+$L150)+fQs*SIN(2*PI()*$I150/qbo+$L150)+fCs*SIN(2*PI()*$I150/cw)+fCc*COS(2*PI()*$I150/cw)</f>
        <v>2.3891026307389724</v>
      </c>
      <c r="L150">
        <f>+QMA*COS(2*PI()*$I150/QM+QMP)</f>
        <v>-0.26095169103790783</v>
      </c>
      <c r="P150">
        <f t="shared" si="14"/>
        <v>0</v>
      </c>
    </row>
    <row r="151" spans="1:16" x14ac:dyDescent="0.25">
      <c r="A151" s="1"/>
      <c r="B151" t="s">
        <v>164</v>
      </c>
      <c r="C151" t="s">
        <v>24</v>
      </c>
      <c r="D151" s="3">
        <v>5.875</v>
      </c>
      <c r="E151" s="5">
        <f t="shared" si="10"/>
        <v>1790</v>
      </c>
      <c r="F151">
        <v>-1.45756</v>
      </c>
      <c r="G151">
        <f t="shared" si="11"/>
        <v>3.2947699999999998</v>
      </c>
      <c r="H151">
        <f t="shared" si="12"/>
        <v>3.2947699999999998</v>
      </c>
      <c r="I151" s="5">
        <f t="shared" si="13"/>
        <v>1790</v>
      </c>
      <c r="J151">
        <f>+H151+CF*F151*(1+($I151-1850)*slope/1000)+F151*hQc*COS(2*PI()*$I151/qbo+$L151)+F151*hQs*SIN(2*PI()*$I151/qbo+$L151)+F151*hCs*SIN(2*PI()*$I151/cw)+F151*hCc*COS(2*PI()*$I151/cw) +mix*F151*(hQc*COS(2*PI()*$I151/qbo+$L151)+hQs*SIN(2*PI()*$I151/qbo+$L151))*(hCs*SIN(2*PI()*$I151/cw)+hCc*COS(2*PI()*$I151/cw))</f>
        <v>-5.9921102343499513</v>
      </c>
      <c r="K151">
        <f>fQc*COS(2*PI()*$I151/qbo+$L151)+fQs*SIN(2*PI()*$I151/qbo+$L151)+fCs*SIN(2*PI()*$I151/cw)+fCc*COS(2*PI()*$I151/cw)</f>
        <v>3.4189593604322464</v>
      </c>
      <c r="L151">
        <f>+QMA*COS(2*PI()*$I151/QM+QMP)</f>
        <v>-0.18267496620798943</v>
      </c>
      <c r="P151">
        <f t="shared" si="14"/>
        <v>0</v>
      </c>
    </row>
    <row r="152" spans="1:16" x14ac:dyDescent="0.25">
      <c r="A152" s="1"/>
      <c r="B152" t="s">
        <v>165</v>
      </c>
      <c r="C152" t="s">
        <v>24</v>
      </c>
      <c r="D152" s="3">
        <v>5.916666666666667</v>
      </c>
      <c r="E152" s="5">
        <f t="shared" si="10"/>
        <v>1791</v>
      </c>
      <c r="F152">
        <v>1.3060799999999999</v>
      </c>
      <c r="G152">
        <f t="shared" si="11"/>
        <v>-1.8857299999999995</v>
      </c>
      <c r="H152">
        <f t="shared" si="12"/>
        <v>-1.8857299999999995</v>
      </c>
      <c r="I152" s="5">
        <f t="shared" si="13"/>
        <v>1791</v>
      </c>
      <c r="J152">
        <f>+H152+CF*F152*(1+($I152-1850)*slope/1000)+F152*hQc*COS(2*PI()*$I152/qbo+$L152)+F152*hQs*SIN(2*PI()*$I152/qbo+$L152)+F152*hCs*SIN(2*PI()*$I152/cw)+F152*hCc*COS(2*PI()*$I152/cw) +mix*F152*(hQc*COS(2*PI()*$I152/qbo+$L152)+hQs*SIN(2*PI()*$I152/qbo+$L152))*(hCs*SIN(2*PI()*$I152/cw)+hCc*COS(2*PI()*$I152/cw))</f>
        <v>1.6517041029320776</v>
      </c>
      <c r="K152">
        <f>fQc*COS(2*PI()*$I152/qbo+$L152)+fQs*SIN(2*PI()*$I152/qbo+$L152)+fCs*SIN(2*PI()*$I152/cw)+fCc*COS(2*PI()*$I152/cw)</f>
        <v>3.6289873524590157</v>
      </c>
      <c r="L152">
        <f>+QMA*COS(2*PI()*$I152/QM+QMP)</f>
        <v>-9.9963511243203046E-2</v>
      </c>
      <c r="P152">
        <f t="shared" si="14"/>
        <v>1</v>
      </c>
    </row>
    <row r="153" spans="1:16" x14ac:dyDescent="0.25">
      <c r="A153" s="1"/>
      <c r="B153" t="s">
        <v>166</v>
      </c>
      <c r="C153" t="s">
        <v>24</v>
      </c>
      <c r="D153" s="3">
        <v>5.958333333333333</v>
      </c>
      <c r="E153" s="5">
        <f t="shared" si="10"/>
        <v>1792</v>
      </c>
      <c r="F153">
        <v>2.1839900000000001</v>
      </c>
      <c r="G153">
        <f t="shared" si="11"/>
        <v>-1.3871000000000002</v>
      </c>
      <c r="H153">
        <f t="shared" si="12"/>
        <v>-1.3871000000000002</v>
      </c>
      <c r="I153" s="5">
        <f t="shared" si="13"/>
        <v>1792</v>
      </c>
      <c r="J153">
        <f>+H153+CF*F153*(1+($I153-1850)*slope/1000)+F153*hQc*COS(2*PI()*$I153/qbo+$L153)+F153*hQs*SIN(2*PI()*$I153/qbo+$L153)+F153*hCs*SIN(2*PI()*$I153/cw)+F153*hCc*COS(2*PI()*$I153/cw) +mix*F153*(hQc*COS(2*PI()*$I153/qbo+$L153)+hQs*SIN(2*PI()*$I153/qbo+$L153))*(hCs*SIN(2*PI()*$I153/cw)+hCc*COS(2*PI()*$I153/cw))</f>
        <v>3.962645307749062</v>
      </c>
      <c r="K153">
        <f>fQc*COS(2*PI()*$I153/qbo+$L153)+fQs*SIN(2*PI()*$I153/qbo+$L153)+fCs*SIN(2*PI()*$I153/cw)+fCc*COS(2*PI()*$I153/cw)</f>
        <v>1.043340385444127</v>
      </c>
      <c r="L153">
        <f>+QMA*COS(2*PI()*$I153/QM+QMP)</f>
        <v>-1.4825280432178659E-2</v>
      </c>
      <c r="P153">
        <f t="shared" si="14"/>
        <v>1</v>
      </c>
    </row>
    <row r="154" spans="1:16" x14ac:dyDescent="0.25">
      <c r="A154" s="1"/>
      <c r="B154" t="s">
        <v>167</v>
      </c>
      <c r="C154" t="s">
        <v>24</v>
      </c>
      <c r="D154" s="3">
        <v>6</v>
      </c>
      <c r="E154" s="5">
        <f t="shared" si="10"/>
        <v>1793</v>
      </c>
      <c r="F154">
        <v>1.6748000000000001</v>
      </c>
      <c r="G154">
        <f t="shared" si="11"/>
        <v>-0.90332000000000012</v>
      </c>
      <c r="H154">
        <f t="shared" si="12"/>
        <v>-0.90332000000000012</v>
      </c>
      <c r="I154" s="5">
        <f t="shared" si="13"/>
        <v>1793</v>
      </c>
      <c r="J154">
        <f>+H154+CF*F154*(1+($I154-1850)*slope/1000)+F154*hQc*COS(2*PI()*$I154/qbo+$L154)+F154*hQs*SIN(2*PI()*$I154/qbo+$L154)+F154*hCs*SIN(2*PI()*$I154/cw)+F154*hCc*COS(2*PI()*$I154/cw) +mix*F154*(hQc*COS(2*PI()*$I154/qbo+$L154)+hQs*SIN(2*PI()*$I154/qbo+$L154))*(hCs*SIN(2*PI()*$I154/cw)+hCc*COS(2*PI()*$I154/cw))</f>
        <v>-3.7404826211521636E-2</v>
      </c>
      <c r="K154">
        <f>fQc*COS(2*PI()*$I154/qbo+$L154)+fQs*SIN(2*PI()*$I154/qbo+$L154)+fCs*SIN(2*PI()*$I154/cw)+fCc*COS(2*PI()*$I154/cw)</f>
        <v>-0.93959932332000029</v>
      </c>
      <c r="L154">
        <f>+QMA*COS(2*PI()*$I154/QM+QMP)</f>
        <v>7.067285802933379E-2</v>
      </c>
      <c r="P154">
        <f t="shared" si="14"/>
        <v>1</v>
      </c>
    </row>
    <row r="155" spans="1:16" x14ac:dyDescent="0.25">
      <c r="A155" s="1"/>
      <c r="B155" t="s">
        <v>168</v>
      </c>
      <c r="C155" t="s">
        <v>24</v>
      </c>
      <c r="D155" s="3">
        <v>6.041666666666667</v>
      </c>
      <c r="E155" s="5">
        <f t="shared" si="10"/>
        <v>1794</v>
      </c>
      <c r="F155">
        <v>0.26229000000000002</v>
      </c>
      <c r="G155">
        <f t="shared" si="11"/>
        <v>1.7649700000000001</v>
      </c>
      <c r="H155">
        <f t="shared" si="12"/>
        <v>1.7649700000000001</v>
      </c>
      <c r="I155" s="5">
        <f t="shared" si="13"/>
        <v>1794</v>
      </c>
      <c r="J155">
        <f>+H155+CF*F155*(1+($I155-1850)*slope/1000)+F155*hQc*COS(2*PI()*$I155/qbo+$L155)+F155*hQs*SIN(2*PI()*$I155/qbo+$L155)+F155*hCs*SIN(2*PI()*$I155/cw)+F155*hCc*COS(2*PI()*$I155/cw) +mix*F155*(hQc*COS(2*PI()*$I155/qbo+$L155)+hQs*SIN(2*PI()*$I155/qbo+$L155))*(hCs*SIN(2*PI()*$I155/cw)+hCc*COS(2*PI()*$I155/cw))</f>
        <v>4.1432213293517606</v>
      </c>
      <c r="K155">
        <f>fQc*COS(2*PI()*$I155/qbo+$L155)+fQs*SIN(2*PI()*$I155/qbo+$L155)+fCs*SIN(2*PI()*$I155/cw)+fCc*COS(2*PI()*$I155/cw)</f>
        <v>-3.4876831771035466</v>
      </c>
      <c r="L155">
        <f>+QMA*COS(2*PI()*$I155/QM+QMP)</f>
        <v>0.15445529860550641</v>
      </c>
      <c r="P155">
        <f t="shared" si="14"/>
        <v>0</v>
      </c>
    </row>
    <row r="156" spans="1:16" x14ac:dyDescent="0.25">
      <c r="A156" s="1"/>
      <c r="B156" t="s">
        <v>169</v>
      </c>
      <c r="C156" t="s">
        <v>24</v>
      </c>
      <c r="D156" s="3">
        <v>6.083333333333333</v>
      </c>
      <c r="E156" s="5">
        <f t="shared" si="10"/>
        <v>1795</v>
      </c>
      <c r="F156">
        <v>0.61475000000000002</v>
      </c>
      <c r="G156">
        <f t="shared" si="11"/>
        <v>-0.77715000000000001</v>
      </c>
      <c r="H156">
        <f t="shared" si="12"/>
        <v>-0.77715000000000001</v>
      </c>
      <c r="I156" s="5">
        <f t="shared" si="13"/>
        <v>1795</v>
      </c>
      <c r="J156">
        <f>+H156+CF*F156*(1+($I156-1850)*slope/1000)+F156*hQc*COS(2*PI()*$I156/qbo+$L156)+F156*hQs*SIN(2*PI()*$I156/qbo+$L156)+F156*hCs*SIN(2*PI()*$I156/cw)+F156*hCc*COS(2*PI()*$I156/cw) +mix*F156*(hQc*COS(2*PI()*$I156/qbo+$L156)+hQs*SIN(2*PI()*$I156/qbo+$L156))*(hCs*SIN(2*PI()*$I156/cw)+hCc*COS(2*PI()*$I156/cw))</f>
        <v>-5.7803831964091525</v>
      </c>
      <c r="K156">
        <f>fQc*COS(2*PI()*$I156/qbo+$L156)+fQs*SIN(2*PI()*$I156/qbo+$L156)+fCs*SIN(2*PI()*$I156/cw)+fCc*COS(2*PI()*$I156/cw)</f>
        <v>-3.5604463111206242</v>
      </c>
      <c r="L156">
        <f>+QMA*COS(2*PI()*$I156/QM+QMP)</f>
        <v>0.23448808710050539</v>
      </c>
      <c r="P156">
        <f t="shared" si="14"/>
        <v>1</v>
      </c>
    </row>
    <row r="157" spans="1:16" x14ac:dyDescent="0.25">
      <c r="A157" s="1"/>
      <c r="B157" t="s">
        <v>170</v>
      </c>
      <c r="C157" t="s">
        <v>24</v>
      </c>
      <c r="D157" s="3">
        <v>6.125</v>
      </c>
      <c r="E157" s="5">
        <f t="shared" si="10"/>
        <v>1796</v>
      </c>
      <c r="F157">
        <v>0.19006000000000001</v>
      </c>
      <c r="G157">
        <f t="shared" si="11"/>
        <v>-0.57364000000000004</v>
      </c>
      <c r="H157">
        <f t="shared" si="12"/>
        <v>-0.57364000000000004</v>
      </c>
      <c r="I157" s="5">
        <f t="shared" si="13"/>
        <v>1796</v>
      </c>
      <c r="J157">
        <f>+H157+CF*F157*(1+($I157-1850)*slope/1000)+F157*hQc*COS(2*PI()*$I157/qbo+$L157)+F157*hQs*SIN(2*PI()*$I157/qbo+$L157)+F157*hCs*SIN(2*PI()*$I157/cw)+F157*hCc*COS(2*PI()*$I157/cw) +mix*F157*(hQc*COS(2*PI()*$I157/qbo+$L157)+hQs*SIN(2*PI()*$I157/qbo+$L157))*(hCs*SIN(2*PI()*$I157/cw)+hCc*COS(2*PI()*$I157/cw))</f>
        <v>1.4636801389283933</v>
      </c>
      <c r="K157">
        <f>fQc*COS(2*PI()*$I157/qbo+$L157)+fQs*SIN(2*PI()*$I157/qbo+$L157)+fCs*SIN(2*PI()*$I157/cw)+fCc*COS(2*PI()*$I157/cw)</f>
        <v>-2.3608315466726757</v>
      </c>
      <c r="L157">
        <f>+QMA*COS(2*PI()*$I157/QM+QMP)</f>
        <v>0.30882829818481594</v>
      </c>
      <c r="P157">
        <f t="shared" si="14"/>
        <v>0</v>
      </c>
    </row>
    <row r="158" spans="1:16" x14ac:dyDescent="0.25">
      <c r="A158" s="1"/>
      <c r="B158" t="s">
        <v>171</v>
      </c>
      <c r="C158" t="s">
        <v>24</v>
      </c>
      <c r="D158" s="3">
        <v>6.166666666666667</v>
      </c>
      <c r="E158" s="5">
        <f t="shared" si="10"/>
        <v>1797</v>
      </c>
      <c r="F158">
        <v>-0.80827000000000004</v>
      </c>
      <c r="G158">
        <f t="shared" si="11"/>
        <v>0.9987100000000001</v>
      </c>
      <c r="H158">
        <f t="shared" si="12"/>
        <v>0.9987100000000001</v>
      </c>
      <c r="I158" s="5">
        <f t="shared" si="13"/>
        <v>1797</v>
      </c>
      <c r="J158">
        <f>+H158+CF*F158*(1+($I158-1850)*slope/1000)+F158*hQc*COS(2*PI()*$I158/qbo+$L158)+F158*hQs*SIN(2*PI()*$I158/qbo+$L158)+F158*hCs*SIN(2*PI()*$I158/cw)+F158*hCc*COS(2*PI()*$I158/cw) +mix*F158*(hQc*COS(2*PI()*$I158/qbo+$L158)+hQs*SIN(2*PI()*$I158/qbo+$L158))*(hCs*SIN(2*PI()*$I158/cw)+hCc*COS(2*PI()*$I158/cw))</f>
        <v>0.93516458767321109</v>
      </c>
      <c r="K158">
        <f>fQc*COS(2*PI()*$I158/qbo+$L158)+fQs*SIN(2*PI()*$I158/qbo+$L158)+fCs*SIN(2*PI()*$I158/cw)+fCc*COS(2*PI()*$I158/cw)</f>
        <v>1.6813229537436691E-2</v>
      </c>
      <c r="L158">
        <f>+QMA*COS(2*PI()*$I158/QM+QMP)</f>
        <v>0.37567120304866453</v>
      </c>
      <c r="P158">
        <f t="shared" si="14"/>
        <v>1</v>
      </c>
    </row>
    <row r="159" spans="1:16" x14ac:dyDescent="0.25">
      <c r="A159" s="1"/>
      <c r="B159" t="s">
        <v>172</v>
      </c>
      <c r="C159" t="s">
        <v>24</v>
      </c>
      <c r="D159" s="3">
        <v>6.208333333333333</v>
      </c>
      <c r="E159" s="5">
        <f t="shared" si="10"/>
        <v>1798</v>
      </c>
      <c r="F159">
        <v>-0.80789</v>
      </c>
      <c r="G159">
        <f t="shared" si="11"/>
        <v>1.6793199999999999</v>
      </c>
      <c r="H159">
        <f t="shared" si="12"/>
        <v>1.6793199999999999</v>
      </c>
      <c r="I159" s="5">
        <f t="shared" si="13"/>
        <v>1798</v>
      </c>
      <c r="J159">
        <f>+H159+CF*F159*(1+($I159-1850)*slope/1000)+F159*hQc*COS(2*PI()*$I159/qbo+$L159)+F159*hQs*SIN(2*PI()*$I159/qbo+$L159)+F159*hCs*SIN(2*PI()*$I159/cw)+F159*hCc*COS(2*PI()*$I159/cw) +mix*F159*(hQc*COS(2*PI()*$I159/qbo+$L159)+hQs*SIN(2*PI()*$I159/qbo+$L159))*(hCs*SIN(2*PI()*$I159/cw)+hCc*COS(2*PI()*$I159/cw))</f>
        <v>0.28996791989351678</v>
      </c>
      <c r="K159">
        <f>fQc*COS(2*PI()*$I159/qbo+$L159)+fQs*SIN(2*PI()*$I159/qbo+$L159)+fCs*SIN(2*PI()*$I159/cw)+fCc*COS(2*PI()*$I159/cw)</f>
        <v>2.7715552138586315</v>
      </c>
      <c r="L159">
        <f>+QMA*COS(2*PI()*$I159/QM+QMP)</f>
        <v>0.43339408211175856</v>
      </c>
      <c r="P159">
        <f t="shared" si="14"/>
        <v>1</v>
      </c>
    </row>
    <row r="160" spans="1:16" x14ac:dyDescent="0.25">
      <c r="A160" s="1"/>
      <c r="B160" t="s">
        <v>173</v>
      </c>
      <c r="C160" t="s">
        <v>24</v>
      </c>
      <c r="D160" s="3">
        <v>6.25</v>
      </c>
      <c r="E160" s="5">
        <f t="shared" si="10"/>
        <v>1799</v>
      </c>
      <c r="F160">
        <v>0.87180999999999997</v>
      </c>
      <c r="G160">
        <f t="shared" si="11"/>
        <v>-1.5446</v>
      </c>
      <c r="H160">
        <f t="shared" si="12"/>
        <v>-1.5446</v>
      </c>
      <c r="I160" s="5">
        <f t="shared" si="13"/>
        <v>1799</v>
      </c>
      <c r="J160">
        <f>+H160+CF*F160*(1+($I160-1850)*slope/1000)+F160*hQc*COS(2*PI()*$I160/qbo+$L160)+F160*hQs*SIN(2*PI()*$I160/qbo+$L160)+F160*hCs*SIN(2*PI()*$I160/cw)+F160*hCc*COS(2*PI()*$I160/cw) +mix*F160*(hQc*COS(2*PI()*$I160/qbo+$L160)+hQs*SIN(2*PI()*$I160/qbo+$L160))*(hCs*SIN(2*PI()*$I160/cw)+hCc*COS(2*PI()*$I160/cw))</f>
        <v>3.083418849742829</v>
      </c>
      <c r="K160">
        <f>fQc*COS(2*PI()*$I160/qbo+$L160)+fQs*SIN(2*PI()*$I160/qbo+$L160)+fCs*SIN(2*PI()*$I160/cw)+fCc*COS(2*PI()*$I160/cw)</f>
        <v>3.432020380816974</v>
      </c>
      <c r="L160">
        <f>+QMA*COS(2*PI()*$I160/QM+QMP)</f>
        <v>0.48059561916435412</v>
      </c>
      <c r="P160">
        <f t="shared" si="14"/>
        <v>1</v>
      </c>
    </row>
    <row r="161" spans="1:16" x14ac:dyDescent="0.25">
      <c r="A161" s="1"/>
      <c r="B161" t="s">
        <v>174</v>
      </c>
      <c r="C161" t="s">
        <v>24</v>
      </c>
      <c r="D161" s="3">
        <v>6.291666666666667</v>
      </c>
      <c r="E161" s="5">
        <f t="shared" si="10"/>
        <v>1800</v>
      </c>
      <c r="F161">
        <v>1.00691</v>
      </c>
      <c r="G161">
        <f t="shared" si="11"/>
        <v>-2.2700099999999996</v>
      </c>
      <c r="H161">
        <f t="shared" si="12"/>
        <v>-2.2700099999999996</v>
      </c>
      <c r="I161" s="5">
        <f t="shared" si="13"/>
        <v>1800</v>
      </c>
      <c r="J161">
        <f>+H161+CF*F161*(1+($I161-1850)*slope/1000)+F161*hQc*COS(2*PI()*$I161/qbo+$L161)+F161*hQs*SIN(2*PI()*$I161/qbo+$L161)+F161*hCs*SIN(2*PI()*$I161/cw)+F161*hCc*COS(2*PI()*$I161/cw) +mix*F161*(hQc*COS(2*PI()*$I161/qbo+$L161)+hQs*SIN(2*PI()*$I161/qbo+$L161))*(hCs*SIN(2*PI()*$I161/cw)+hCc*COS(2*PI()*$I161/cw))</f>
        <v>0.74998972440331957</v>
      </c>
      <c r="K161">
        <f>fQc*COS(2*PI()*$I161/qbo+$L161)+fQs*SIN(2*PI()*$I161/qbo+$L161)+fCs*SIN(2*PI()*$I161/cw)+fCc*COS(2*PI()*$I161/cw)</f>
        <v>3.4425601601886715</v>
      </c>
      <c r="L161">
        <f>+QMA*COS(2*PI()*$I161/QM+QMP)</f>
        <v>0.51612992058391671</v>
      </c>
      <c r="P161">
        <f t="shared" si="14"/>
        <v>1</v>
      </c>
    </row>
    <row r="162" spans="1:16" x14ac:dyDescent="0.25">
      <c r="A162" s="1"/>
      <c r="B162" t="s">
        <v>175</v>
      </c>
      <c r="C162" t="s">
        <v>24</v>
      </c>
      <c r="D162" s="3">
        <v>6.333333333333333</v>
      </c>
      <c r="E162" s="5">
        <f t="shared" si="10"/>
        <v>1801</v>
      </c>
      <c r="F162">
        <v>-1.1279999999999999</v>
      </c>
      <c r="G162">
        <f t="shared" si="11"/>
        <v>2.4182199999999994</v>
      </c>
      <c r="H162">
        <f t="shared" si="12"/>
        <v>2.4182199999999994</v>
      </c>
      <c r="I162" s="5">
        <f t="shared" si="13"/>
        <v>1801</v>
      </c>
      <c r="J162">
        <f>+H162+CF*F162*(1+($I162-1850)*slope/1000)+F162*hQc*COS(2*PI()*$I162/qbo+$L162)+F162*hQs*SIN(2*PI()*$I162/qbo+$L162)+F162*hCs*SIN(2*PI()*$I162/cw)+F162*hCc*COS(2*PI()*$I162/cw) +mix*F162*(hQc*COS(2*PI()*$I162/qbo+$L162)+hQs*SIN(2*PI()*$I162/qbo+$L162))*(hCs*SIN(2*PI()*$I162/cw)+hCc*COS(2*PI()*$I162/cw))</f>
        <v>-1.8218954218894441</v>
      </c>
      <c r="K162">
        <f>fQc*COS(2*PI()*$I162/qbo+$L162)+fQs*SIN(2*PI()*$I162/qbo+$L162)+fCs*SIN(2*PI()*$I162/cw)+fCc*COS(2*PI()*$I162/cw)</f>
        <v>0.69685126384703411</v>
      </c>
      <c r="L162">
        <f>+QMA*COS(2*PI()*$I162/QM+QMP)</f>
        <v>0.53913433375524367</v>
      </c>
      <c r="P162">
        <f t="shared" si="14"/>
        <v>0</v>
      </c>
    </row>
    <row r="163" spans="1:16" x14ac:dyDescent="0.25">
      <c r="A163" s="1"/>
      <c r="B163" t="s">
        <v>176</v>
      </c>
      <c r="C163" t="s">
        <v>24</v>
      </c>
      <c r="D163" s="3">
        <v>6.375</v>
      </c>
      <c r="E163" s="5">
        <f t="shared" si="10"/>
        <v>1802</v>
      </c>
      <c r="F163">
        <v>-0.84469000000000005</v>
      </c>
      <c r="G163">
        <f t="shared" si="11"/>
        <v>0.33026000000000022</v>
      </c>
      <c r="H163">
        <f t="shared" si="12"/>
        <v>0.33026000000000022</v>
      </c>
      <c r="I163" s="5">
        <f t="shared" si="13"/>
        <v>1802</v>
      </c>
      <c r="J163">
        <f>+H163+CF*F163*(1+($I163-1850)*slope/1000)+F163*hQc*COS(2*PI()*$I163/qbo+$L163)+F163*hQs*SIN(2*PI()*$I163/qbo+$L163)+F163*hCs*SIN(2*PI()*$I163/cw)+F163*hCc*COS(2*PI()*$I163/cw) +mix*F163*(hQc*COS(2*PI()*$I163/qbo+$L163)+hQs*SIN(2*PI()*$I163/qbo+$L163))*(hCs*SIN(2*PI()*$I163/cw)+hCc*COS(2*PI()*$I163/cw))</f>
        <v>3.935798618232258</v>
      </c>
      <c r="K163">
        <f>fQc*COS(2*PI()*$I163/qbo+$L163)+fQs*SIN(2*PI()*$I163/qbo+$L163)+fCs*SIN(2*PI()*$I163/cw)+fCc*COS(2*PI()*$I163/cw)</f>
        <v>-1.4062934039793387</v>
      </c>
      <c r="L163">
        <f>+QMA*COS(2*PI()*$I163/QM+QMP)</f>
        <v>0.54905038935741768</v>
      </c>
      <c r="P163">
        <f t="shared" si="14"/>
        <v>0</v>
      </c>
    </row>
    <row r="164" spans="1:16" x14ac:dyDescent="0.25">
      <c r="A164" s="1"/>
      <c r="B164" t="s">
        <v>177</v>
      </c>
      <c r="C164" t="s">
        <v>24</v>
      </c>
      <c r="D164" s="3">
        <v>6.416666666666667</v>
      </c>
      <c r="E164" s="5">
        <f t="shared" si="10"/>
        <v>1803</v>
      </c>
      <c r="F164">
        <v>-0.23111999999999999</v>
      </c>
      <c r="G164">
        <f t="shared" si="11"/>
        <v>0.74812999999999985</v>
      </c>
      <c r="H164">
        <f t="shared" si="12"/>
        <v>0.74812999999999985</v>
      </c>
      <c r="I164" s="5">
        <f t="shared" si="13"/>
        <v>1803</v>
      </c>
      <c r="J164">
        <f>+H164+CF*F164*(1+($I164-1850)*slope/1000)+F164*hQc*COS(2*PI()*$I164/qbo+$L164)+F164*hQs*SIN(2*PI()*$I164/qbo+$L164)+F164*hCs*SIN(2*PI()*$I164/cw)+F164*hCc*COS(2*PI()*$I164/cw) +mix*F164*(hQc*COS(2*PI()*$I164/qbo+$L164)+hQs*SIN(2*PI()*$I164/qbo+$L164))*(hCs*SIN(2*PI()*$I164/cw)+hCc*COS(2*PI()*$I164/cw))</f>
        <v>-2.4001418824201721</v>
      </c>
      <c r="K164">
        <f>fQc*COS(2*PI()*$I164/qbo+$L164)+fQs*SIN(2*PI()*$I164/qbo+$L164)+fCs*SIN(2*PI()*$I164/cw)+fCc*COS(2*PI()*$I164/cw)</f>
        <v>-3.5038165998832604</v>
      </c>
      <c r="L164">
        <f>+QMA*COS(2*PI()*$I164/QM+QMP)</f>
        <v>0.54563735910943867</v>
      </c>
      <c r="P164">
        <f t="shared" si="14"/>
        <v>1</v>
      </c>
    </row>
    <row r="165" spans="1:16" x14ac:dyDescent="0.25">
      <c r="A165" s="1"/>
      <c r="B165" t="s">
        <v>178</v>
      </c>
      <c r="C165" t="s">
        <v>24</v>
      </c>
      <c r="D165" s="3">
        <v>6.458333333333333</v>
      </c>
      <c r="E165" s="5">
        <f t="shared" si="10"/>
        <v>1804</v>
      </c>
      <c r="F165">
        <v>1.1305799999999999</v>
      </c>
      <c r="G165">
        <f t="shared" si="11"/>
        <v>-3.59389</v>
      </c>
      <c r="H165">
        <f t="shared" si="12"/>
        <v>-3.59389</v>
      </c>
      <c r="I165" s="5">
        <f t="shared" si="13"/>
        <v>1804</v>
      </c>
      <c r="J165">
        <f>+H165+CF*F165*(1+($I165-1850)*slope/1000)+F165*hQc*COS(2*PI()*$I165/qbo+$L165)+F165*hQs*SIN(2*PI()*$I165/qbo+$L165)+F165*hCs*SIN(2*PI()*$I165/cw)+F165*hCc*COS(2*PI()*$I165/cw) +mix*F165*(hQc*COS(2*PI()*$I165/qbo+$L165)+hQs*SIN(2*PI()*$I165/qbo+$L165))*(hCs*SIN(2*PI()*$I165/cw)+hCc*COS(2*PI()*$I165/cw))</f>
        <v>-15.093421617313499</v>
      </c>
      <c r="K165">
        <f>fQc*COS(2*PI()*$I165/qbo+$L165)+fQs*SIN(2*PI()*$I165/qbo+$L165)+fCs*SIN(2*PI()*$I165/cw)+fCc*COS(2*PI()*$I165/cw)</f>
        <v>-3.6839991187539964</v>
      </c>
      <c r="L165">
        <f>+QMA*COS(2*PI()*$I165/QM+QMP)</f>
        <v>0.5289780998384086</v>
      </c>
      <c r="P165">
        <f t="shared" si="14"/>
        <v>1</v>
      </c>
    </row>
    <row r="166" spans="1:16" x14ac:dyDescent="0.25">
      <c r="A166" s="1"/>
      <c r="B166" t="s">
        <v>179</v>
      </c>
      <c r="C166" t="s">
        <v>24</v>
      </c>
      <c r="D166" s="3">
        <v>6.5</v>
      </c>
      <c r="E166" s="5">
        <f t="shared" si="10"/>
        <v>1805</v>
      </c>
      <c r="F166">
        <v>-1.10161</v>
      </c>
      <c r="G166">
        <f t="shared" si="11"/>
        <v>2.3978600000000001</v>
      </c>
      <c r="H166">
        <f t="shared" si="12"/>
        <v>2.3978600000000001</v>
      </c>
      <c r="I166" s="5">
        <f t="shared" si="13"/>
        <v>1805</v>
      </c>
      <c r="J166">
        <f>+H166+CF*F166*(1+($I166-1850)*slope/1000)+F166*hQc*COS(2*PI()*$I166/qbo+$L166)+F166*hQs*SIN(2*PI()*$I166/qbo+$L166)+F166*hCs*SIN(2*PI()*$I166/cw)+F166*hCc*COS(2*PI()*$I166/cw) +mix*F166*(hQc*COS(2*PI()*$I166/qbo+$L166)+hQs*SIN(2*PI()*$I166/qbo+$L166))*(hCs*SIN(2*PI()*$I166/cw)+hCc*COS(2*PI()*$I166/cw))</f>
        <v>-7.2436527928331955</v>
      </c>
      <c r="K166">
        <f>fQc*COS(2*PI()*$I166/qbo+$L166)+fQs*SIN(2*PI()*$I166/qbo+$L166)+fCs*SIN(2*PI()*$I166/cw)+fCc*COS(2*PI()*$I166/cw)</f>
        <v>-1.8016434625390501</v>
      </c>
      <c r="L166">
        <f>+QMA*COS(2*PI()*$I166/QM+QMP)</f>
        <v>0.49947704199613108</v>
      </c>
      <c r="P166">
        <f t="shared" si="14"/>
        <v>1</v>
      </c>
    </row>
    <row r="167" spans="1:16" x14ac:dyDescent="0.25">
      <c r="A167" s="1"/>
      <c r="B167" t="s">
        <v>180</v>
      </c>
      <c r="C167" t="s">
        <v>24</v>
      </c>
      <c r="D167" s="3">
        <v>6.541666666666667</v>
      </c>
      <c r="E167" s="5">
        <f t="shared" si="10"/>
        <v>1806</v>
      </c>
      <c r="F167">
        <v>-0.93593999999999999</v>
      </c>
      <c r="G167">
        <f t="shared" si="11"/>
        <v>1.1355599999999999</v>
      </c>
      <c r="H167">
        <f t="shared" si="12"/>
        <v>1.1355599999999999</v>
      </c>
      <c r="I167" s="5">
        <f t="shared" si="13"/>
        <v>1806</v>
      </c>
      <c r="J167">
        <f>+H167+CF*F167*(1+($I167-1850)*slope/1000)+F167*hQc*COS(2*PI()*$I167/qbo+$L167)+F167*hQs*SIN(2*PI()*$I167/qbo+$L167)+F167*hCs*SIN(2*PI()*$I167/cw)+F167*hCc*COS(2*PI()*$I167/cw) +mix*F167*(hQc*COS(2*PI()*$I167/qbo+$L167)+hQs*SIN(2*PI()*$I167/qbo+$L167))*(hCs*SIN(2*PI()*$I167/cw)+hCc*COS(2*PI()*$I167/cw))</f>
        <v>-0.47423227860047701</v>
      </c>
      <c r="K167">
        <f>fQc*COS(2*PI()*$I167/qbo+$L167)+fQs*SIN(2*PI()*$I167/qbo+$L167)+fCs*SIN(2*PI()*$I167/cw)+fCc*COS(2*PI()*$I167/cw)</f>
        <v>0.21768492518033644</v>
      </c>
      <c r="L167">
        <f>+QMA*COS(2*PI()*$I167/QM+QMP)</f>
        <v>0.45785037145599855</v>
      </c>
      <c r="P167">
        <f t="shared" si="14"/>
        <v>0</v>
      </c>
    </row>
    <row r="168" spans="1:16" x14ac:dyDescent="0.25">
      <c r="A168" s="1"/>
      <c r="B168" t="s">
        <v>181</v>
      </c>
      <c r="C168" t="s">
        <v>24</v>
      </c>
      <c r="D168" s="3">
        <v>6.583333333333333</v>
      </c>
      <c r="E168" s="5">
        <f t="shared" si="10"/>
        <v>1807</v>
      </c>
      <c r="F168">
        <v>0.36529</v>
      </c>
      <c r="G168">
        <f t="shared" si="11"/>
        <v>-2.5386899999999999</v>
      </c>
      <c r="H168">
        <f t="shared" si="12"/>
        <v>-2.5386899999999999</v>
      </c>
      <c r="I168" s="5">
        <f t="shared" si="13"/>
        <v>1807</v>
      </c>
      <c r="J168">
        <f>+H168+CF*F168*(1+($I168-1850)*slope/1000)+F168*hQc*COS(2*PI()*$I168/qbo+$L168)+F168*hQs*SIN(2*PI()*$I168/qbo+$L168)+F168*hCs*SIN(2*PI()*$I168/cw)+F168*hCc*COS(2*PI()*$I168/cw) +mix*F168*(hQc*COS(2*PI()*$I168/qbo+$L168)+hQs*SIN(2*PI()*$I168/qbo+$L168))*(hCs*SIN(2*PI()*$I168/cw)+hCc*COS(2*PI()*$I168/cw))</f>
        <v>-1.4125259077799392</v>
      </c>
      <c r="K168">
        <f>fQc*COS(2*PI()*$I168/qbo+$L168)+fQs*SIN(2*PI()*$I168/qbo+$L168)+fCs*SIN(2*PI()*$I168/cw)+fCc*COS(2*PI()*$I168/cw)</f>
        <v>3.147888063528435</v>
      </c>
      <c r="L168">
        <f>+QMA*COS(2*PI()*$I168/QM+QMP)</f>
        <v>0.4051086429431453</v>
      </c>
      <c r="P168">
        <f t="shared" si="14"/>
        <v>0</v>
      </c>
    </row>
    <row r="169" spans="1:16" x14ac:dyDescent="0.25">
      <c r="A169" s="1"/>
      <c r="B169" t="s">
        <v>182</v>
      </c>
      <c r="C169" t="s">
        <v>24</v>
      </c>
      <c r="D169" s="3">
        <v>6.625</v>
      </c>
      <c r="E169" s="5">
        <f t="shared" si="10"/>
        <v>1808</v>
      </c>
      <c r="F169">
        <v>-0.87217</v>
      </c>
      <c r="G169">
        <f t="shared" si="11"/>
        <v>1.8944000000000001</v>
      </c>
      <c r="H169">
        <f t="shared" si="12"/>
        <v>1.8944000000000001</v>
      </c>
      <c r="I169" s="5">
        <f t="shared" si="13"/>
        <v>1808</v>
      </c>
      <c r="J169">
        <f>+H169+CF*F169*(1+($I169-1850)*slope/1000)+F169*hQc*COS(2*PI()*$I169/qbo+$L169)+F169*hQs*SIN(2*PI()*$I169/qbo+$L169)+F169*hCs*SIN(2*PI()*$I169/cw)+F169*hCc*COS(2*PI()*$I169/cw) +mix*F169*(hQc*COS(2*PI()*$I169/qbo+$L169)+hQs*SIN(2*PI()*$I169/qbo+$L169))*(hCs*SIN(2*PI()*$I169/cw)+hCc*COS(2*PI()*$I169/cw))</f>
        <v>0.57023546490058497</v>
      </c>
      <c r="K169">
        <f>fQc*COS(2*PI()*$I169/qbo+$L169)+fQs*SIN(2*PI()*$I169/qbo+$L169)+fCs*SIN(2*PI()*$I169/cw)+fCc*COS(2*PI()*$I169/cw)</f>
        <v>3.5090081906538826</v>
      </c>
      <c r="L169">
        <f>+QMA*COS(2*PI()*$I169/QM+QMP)</f>
        <v>0.34253224718463865</v>
      </c>
      <c r="P169">
        <f t="shared" si="14"/>
        <v>1</v>
      </c>
    </row>
    <row r="170" spans="1:16" x14ac:dyDescent="0.25">
      <c r="A170" s="1"/>
      <c r="B170" t="s">
        <v>183</v>
      </c>
      <c r="C170" t="s">
        <v>24</v>
      </c>
      <c r="D170" s="3">
        <v>6.666666666666667</v>
      </c>
      <c r="E170" s="5">
        <f t="shared" si="10"/>
        <v>1809</v>
      </c>
      <c r="F170">
        <v>-0.21523</v>
      </c>
      <c r="G170">
        <f t="shared" si="11"/>
        <v>-0.44238</v>
      </c>
      <c r="H170">
        <f t="shared" si="12"/>
        <v>-0.44238</v>
      </c>
      <c r="I170" s="5">
        <f t="shared" si="13"/>
        <v>1809</v>
      </c>
      <c r="J170">
        <f>+H170+CF*F170*(1+($I170-1850)*slope/1000)+F170*hQc*COS(2*PI()*$I170/qbo+$L170)+F170*hQs*SIN(2*PI()*$I170/qbo+$L170)+F170*hCs*SIN(2*PI()*$I170/cw)+F170*hCc*COS(2*PI()*$I170/cw) +mix*F170*(hQc*COS(2*PI()*$I170/qbo+$L170)+hQs*SIN(2*PI()*$I170/qbo+$L170))*(hCs*SIN(2*PI()*$I170/cw)+hCc*COS(2*PI()*$I170/cw))</f>
        <v>-1.1027557026954491</v>
      </c>
      <c r="K170">
        <f>fQc*COS(2*PI()*$I170/qbo+$L170)+fQs*SIN(2*PI()*$I170/qbo+$L170)+fCs*SIN(2*PI()*$I170/cw)+fCc*COS(2*PI()*$I170/cw)</f>
        <v>2.9822261133703796</v>
      </c>
      <c r="L170">
        <f>+QMA*COS(2*PI()*$I170/QM+QMP)</f>
        <v>0.27164032735460386</v>
      </c>
      <c r="P170">
        <f t="shared" si="14"/>
        <v>0</v>
      </c>
    </row>
    <row r="171" spans="1:16" x14ac:dyDescent="0.25">
      <c r="A171" s="1"/>
      <c r="B171" t="s">
        <v>184</v>
      </c>
      <c r="C171" t="s">
        <v>24</v>
      </c>
      <c r="D171" s="3">
        <v>6.708333333333333</v>
      </c>
      <c r="E171" s="5">
        <f t="shared" si="10"/>
        <v>1810</v>
      </c>
      <c r="F171">
        <v>-6.7000000000000002E-4</v>
      </c>
      <c r="G171">
        <f t="shared" si="11"/>
        <v>-0.71382000000000001</v>
      </c>
      <c r="H171">
        <f t="shared" si="12"/>
        <v>-0.71382000000000001</v>
      </c>
      <c r="I171" s="5">
        <f t="shared" si="13"/>
        <v>1810</v>
      </c>
      <c r="J171">
        <f>+H171+CF*F171*(1+($I171-1850)*slope/1000)+F171*hQc*COS(2*PI()*$I171/qbo+$L171)+F171*hQs*SIN(2*PI()*$I171/qbo+$L171)+F171*hCs*SIN(2*PI()*$I171/cw)+F171*hCc*COS(2*PI()*$I171/cw) +mix*F171*(hQc*COS(2*PI()*$I171/qbo+$L171)+hQs*SIN(2*PI()*$I171/qbo+$L171))*(hCs*SIN(2*PI()*$I171/cw)+hCc*COS(2*PI()*$I171/cw))</f>
        <v>-0.71882060158144845</v>
      </c>
      <c r="K171">
        <f>fQc*COS(2*PI()*$I171/qbo+$L171)+fQs*SIN(2*PI()*$I171/qbo+$L171)+fCs*SIN(2*PI()*$I171/cw)+fCc*COS(2*PI()*$I171/cw)</f>
        <v>0.66652616145844445</v>
      </c>
      <c r="L171">
        <f>+QMA*COS(2*PI()*$I171/QM+QMP)</f>
        <v>0.19415389941776984</v>
      </c>
      <c r="P171">
        <f t="shared" si="14"/>
        <v>0</v>
      </c>
    </row>
    <row r="172" spans="1:16" x14ac:dyDescent="0.25">
      <c r="A172" s="1"/>
      <c r="B172" t="s">
        <v>185</v>
      </c>
      <c r="C172" t="s">
        <v>24</v>
      </c>
      <c r="D172" s="3">
        <v>6.75</v>
      </c>
      <c r="E172" s="5">
        <f t="shared" si="10"/>
        <v>1811</v>
      </c>
      <c r="F172">
        <v>-0.49992999999999999</v>
      </c>
      <c r="G172">
        <f t="shared" si="11"/>
        <v>0.46398</v>
      </c>
      <c r="H172">
        <f t="shared" si="12"/>
        <v>0.46398</v>
      </c>
      <c r="I172" s="5">
        <f t="shared" si="13"/>
        <v>1811</v>
      </c>
      <c r="J172">
        <f>+H172+CF*F172*(1+($I172-1850)*slope/1000)+F172*hQc*COS(2*PI()*$I172/qbo+$L172)+F172*hQs*SIN(2*PI()*$I172/qbo+$L172)+F172*hCs*SIN(2*PI()*$I172/cw)+F172*hCc*COS(2*PI()*$I172/cw) +mix*F172*(hQc*COS(2*PI()*$I172/qbo+$L172)+hQs*SIN(2*PI()*$I172/qbo+$L172))*(hCs*SIN(2*PI()*$I172/cw)+hCc*COS(2*PI()*$I172/cw))</f>
        <v>4.019942449639335</v>
      </c>
      <c r="K172">
        <f>fQc*COS(2*PI()*$I172/qbo+$L172)+fQs*SIN(2*PI()*$I172/qbo+$L172)+fCs*SIN(2*PI()*$I172/cw)+fCc*COS(2*PI()*$I172/cw)</f>
        <v>-2.1823573816420616</v>
      </c>
      <c r="L172">
        <f>+QMA*COS(2*PI()*$I172/QM+QMP)</f>
        <v>0.11195407168437754</v>
      </c>
      <c r="P172">
        <f t="shared" si="14"/>
        <v>0</v>
      </c>
    </row>
    <row r="173" spans="1:16" x14ac:dyDescent="0.25">
      <c r="A173" s="1"/>
      <c r="B173" t="s">
        <v>186</v>
      </c>
      <c r="C173" t="s">
        <v>24</v>
      </c>
      <c r="D173" s="3">
        <v>6.791666666666667</v>
      </c>
      <c r="E173" s="5">
        <f t="shared" si="10"/>
        <v>1812</v>
      </c>
      <c r="F173">
        <v>-0.53520999999999996</v>
      </c>
      <c r="G173">
        <f t="shared" si="11"/>
        <v>-0.15298</v>
      </c>
      <c r="H173">
        <f t="shared" si="12"/>
        <v>-0.15298</v>
      </c>
      <c r="I173" s="5">
        <f t="shared" si="13"/>
        <v>1812</v>
      </c>
      <c r="J173">
        <f>+H173+CF*F173*(1+($I173-1850)*slope/1000)+F173*hQc*COS(2*PI()*$I173/qbo+$L173)+F173*hQs*SIN(2*PI()*$I173/qbo+$L173)+F173*hCs*SIN(2*PI()*$I173/cw)+F173*hCc*COS(2*PI()*$I173/cw) +mix*F173*(hQc*COS(2*PI()*$I173/qbo+$L173)+hQs*SIN(2*PI()*$I173/qbo+$L173))*(hCs*SIN(2*PI()*$I173/cw)+hCc*COS(2*PI()*$I173/cw))</f>
        <v>-4.1488441923305563</v>
      </c>
      <c r="K173">
        <f>fQc*COS(2*PI()*$I173/qbo+$L173)+fQs*SIN(2*PI()*$I173/qbo+$L173)+fCs*SIN(2*PI()*$I173/cw)+fCc*COS(2*PI()*$I173/cw)</f>
        <v>-3.2632350602781597</v>
      </c>
      <c r="L173">
        <f>+QMA*COS(2*PI()*$I173/QM+QMP)</f>
        <v>2.703637786495558E-2</v>
      </c>
      <c r="P173">
        <f t="shared" si="14"/>
        <v>1</v>
      </c>
    </row>
    <row r="174" spans="1:16" x14ac:dyDescent="0.25">
      <c r="A174" s="1"/>
      <c r="B174" t="s">
        <v>187</v>
      </c>
      <c r="C174" t="s">
        <v>24</v>
      </c>
      <c r="D174" s="3">
        <v>6.833333333333333</v>
      </c>
      <c r="E174" s="5">
        <f t="shared" si="10"/>
        <v>1813</v>
      </c>
      <c r="F174">
        <v>-0.72346999999999995</v>
      </c>
      <c r="G174">
        <f t="shared" si="11"/>
        <v>1.4404699999999999</v>
      </c>
      <c r="H174">
        <f t="shared" si="12"/>
        <v>1.4404699999999999</v>
      </c>
      <c r="I174" s="5">
        <f t="shared" si="13"/>
        <v>1813</v>
      </c>
      <c r="J174">
        <f>+H174+CF*F174*(1+($I174-1850)*slope/1000)+F174*hQc*COS(2*PI()*$I174/qbo+$L174)+F174*hQs*SIN(2*PI()*$I174/qbo+$L174)+F174*hCs*SIN(2*PI()*$I174/cw)+F174*hCc*COS(2*PI()*$I174/cw) +mix*F174*(hQc*COS(2*PI()*$I174/qbo+$L174)+hQs*SIN(2*PI()*$I174/qbo+$L174))*(hCs*SIN(2*PI()*$I174/cw)+hCc*COS(2*PI()*$I174/cw))</f>
        <v>-0.2793638116180347</v>
      </c>
      <c r="K174">
        <f>fQc*COS(2*PI()*$I174/qbo+$L174)+fQs*SIN(2*PI()*$I174/qbo+$L174)+fCs*SIN(2*PI()*$I174/cw)+fCc*COS(2*PI()*$I174/cw)</f>
        <v>-3.7813376655191986</v>
      </c>
      <c r="L174">
        <f>+QMA*COS(2*PI()*$I174/QM+QMP)</f>
        <v>-5.853766773675733E-2</v>
      </c>
      <c r="P174">
        <f t="shared" si="14"/>
        <v>1</v>
      </c>
    </row>
    <row r="175" spans="1:16" x14ac:dyDescent="0.25">
      <c r="A175" s="1"/>
      <c r="B175" t="s">
        <v>188</v>
      </c>
      <c r="C175" t="s">
        <v>24</v>
      </c>
      <c r="D175" s="3">
        <v>6.875</v>
      </c>
      <c r="E175" s="5">
        <f t="shared" si="10"/>
        <v>1814</v>
      </c>
      <c r="F175">
        <v>0.52873999999999999</v>
      </c>
      <c r="G175">
        <f t="shared" si="11"/>
        <v>-0.60739999999999972</v>
      </c>
      <c r="H175">
        <f t="shared" si="12"/>
        <v>-0.60739999999999972</v>
      </c>
      <c r="I175" s="5">
        <f t="shared" si="13"/>
        <v>1814</v>
      </c>
      <c r="J175">
        <f>+H175+CF*F175*(1+($I175-1850)*slope/1000)+F175*hQc*COS(2*PI()*$I175/qbo+$L175)+F175*hQs*SIN(2*PI()*$I175/qbo+$L175)+F175*hCs*SIN(2*PI()*$I175/cw)+F175*hCc*COS(2*PI()*$I175/cw) +mix*F175*(hQc*COS(2*PI()*$I175/qbo+$L175)+hQs*SIN(2*PI()*$I175/qbo+$L175))*(hCs*SIN(2*PI()*$I175/cw)+hCc*COS(2*PI()*$I175/cw))</f>
        <v>-1.6268908120442043</v>
      </c>
      <c r="K175">
        <f>fQc*COS(2*PI()*$I175/qbo+$L175)+fQs*SIN(2*PI()*$I175/qbo+$L175)+fCs*SIN(2*PI()*$I175/cw)+fCc*COS(2*PI()*$I175/cw)</f>
        <v>-1.4478377860023144</v>
      </c>
      <c r="L175">
        <f>+QMA*COS(2*PI()*$I175/QM+QMP)</f>
        <v>-0.14269061681647824</v>
      </c>
      <c r="P175">
        <f t="shared" si="14"/>
        <v>1</v>
      </c>
    </row>
    <row r="176" spans="1:16" x14ac:dyDescent="0.25">
      <c r="A176" s="1"/>
      <c r="B176" t="s">
        <v>189</v>
      </c>
      <c r="C176" t="s">
        <v>24</v>
      </c>
      <c r="D176" s="3">
        <v>6.916666666666667</v>
      </c>
      <c r="E176" s="5">
        <f t="shared" si="10"/>
        <v>1815</v>
      </c>
      <c r="F176">
        <v>1.1735500000000001</v>
      </c>
      <c r="G176">
        <f t="shared" si="11"/>
        <v>-0.10818000000000016</v>
      </c>
      <c r="H176">
        <f t="shared" si="12"/>
        <v>-0.10818000000000016</v>
      </c>
      <c r="I176" s="5">
        <f t="shared" si="13"/>
        <v>1815</v>
      </c>
      <c r="J176">
        <f>+H176+CF*F176*(1+($I176-1850)*slope/1000)+F176*hQc*COS(2*PI()*$I176/qbo+$L176)+F176*hQs*SIN(2*PI()*$I176/qbo+$L176)+F176*hCs*SIN(2*PI()*$I176/cw)+F176*hCc*COS(2*PI()*$I176/cw) +mix*F176*(hQc*COS(2*PI()*$I176/qbo+$L176)+hQs*SIN(2*PI()*$I176/qbo+$L176))*(hCs*SIN(2*PI()*$I176/cw)+hCc*COS(2*PI()*$I176/cw))</f>
        <v>4.141519392149255</v>
      </c>
      <c r="K176">
        <f>fQc*COS(2*PI()*$I176/qbo+$L176)+fQs*SIN(2*PI()*$I176/qbo+$L176)+fCs*SIN(2*PI()*$I176/cw)+fCc*COS(2*PI()*$I176/cw)</f>
        <v>0.84293959028749676</v>
      </c>
      <c r="L176">
        <f>+QMA*COS(2*PI()*$I176/QM+QMP)</f>
        <v>-0.22337952048538554</v>
      </c>
      <c r="P176">
        <f t="shared" si="14"/>
        <v>1</v>
      </c>
    </row>
    <row r="177" spans="1:16" x14ac:dyDescent="0.25">
      <c r="A177" s="1"/>
      <c r="B177" t="s">
        <v>190</v>
      </c>
      <c r="C177" t="s">
        <v>24</v>
      </c>
      <c r="D177" s="3">
        <v>6.958333333333333</v>
      </c>
      <c r="E177" s="5">
        <f t="shared" si="10"/>
        <v>1816</v>
      </c>
      <c r="F177">
        <v>1.71018</v>
      </c>
      <c r="G177">
        <f t="shared" si="11"/>
        <v>-1.95078</v>
      </c>
      <c r="H177">
        <f t="shared" si="12"/>
        <v>-1.95078</v>
      </c>
      <c r="I177" s="5">
        <f t="shared" si="13"/>
        <v>1816</v>
      </c>
      <c r="J177">
        <f>+H177+CF*F177*(1+($I177-1850)*slope/1000)+F177*hQc*COS(2*PI()*$I177/qbo+$L177)+F177*hQs*SIN(2*PI()*$I177/qbo+$L177)+F177*hCs*SIN(2*PI()*$I177/cw)+F177*hCc*COS(2*PI()*$I177/cw) +mix*F177*(hQc*COS(2*PI()*$I177/qbo+$L177)+hQs*SIN(2*PI()*$I177/qbo+$L177))*(hCs*SIN(2*PI()*$I177/cw)+hCc*COS(2*PI()*$I177/cw))</f>
        <v>7.5877056127561495</v>
      </c>
      <c r="K177">
        <f>fQc*COS(2*PI()*$I177/qbo+$L177)+fQs*SIN(2*PI()*$I177/qbo+$L177)+fCs*SIN(2*PI()*$I177/cw)+fCc*COS(2*PI()*$I177/cw)</f>
        <v>2.9776576558450638</v>
      </c>
      <c r="L177">
        <f>+QMA*COS(2*PI()*$I177/QM+QMP)</f>
        <v>-0.2986455251573244</v>
      </c>
      <c r="P177">
        <f t="shared" si="14"/>
        <v>1</v>
      </c>
    </row>
    <row r="178" spans="1:16" x14ac:dyDescent="0.25">
      <c r="A178" s="1"/>
      <c r="B178" t="s">
        <v>191</v>
      </c>
      <c r="C178" t="s">
        <v>24</v>
      </c>
      <c r="D178" s="3">
        <v>7</v>
      </c>
      <c r="E178" s="5">
        <f t="shared" si="10"/>
        <v>1817</v>
      </c>
      <c r="F178">
        <v>0.29603000000000002</v>
      </c>
      <c r="G178">
        <f t="shared" si="11"/>
        <v>-8.0999999999999961E-3</v>
      </c>
      <c r="H178">
        <f t="shared" si="12"/>
        <v>-8.0999999999999961E-3</v>
      </c>
      <c r="I178" s="5">
        <f t="shared" si="13"/>
        <v>1817</v>
      </c>
      <c r="J178">
        <f>+H178+CF*F178*(1+($I178-1850)*slope/1000)+F178*hQc*COS(2*PI()*$I178/qbo+$L178)+F178*hQs*SIN(2*PI()*$I178/qbo+$L178)+F178*hCs*SIN(2*PI()*$I178/cw)+F178*hCc*COS(2*PI()*$I178/cw) +mix*F178*(hQc*COS(2*PI()*$I178/qbo+$L178)+hQs*SIN(2*PI()*$I178/qbo+$L178))*(hCs*SIN(2*PI()*$I178/cw)+hCc*COS(2*PI()*$I178/cw))</f>
        <v>0.10917679493370591</v>
      </c>
      <c r="K178">
        <f>fQc*COS(2*PI()*$I178/qbo+$L178)+fQs*SIN(2*PI()*$I178/qbo+$L178)+fCs*SIN(2*PI()*$I178/cw)+fCc*COS(2*PI()*$I178/cw)</f>
        <v>3.9804510067675016</v>
      </c>
      <c r="L178">
        <f>+QMA*COS(2*PI()*$I178/QM+QMP)</f>
        <v>-0.366661426886561</v>
      </c>
      <c r="P178">
        <f t="shared" si="14"/>
        <v>1</v>
      </c>
    </row>
    <row r="179" spans="1:16" x14ac:dyDescent="0.25">
      <c r="A179" s="1"/>
      <c r="B179" t="s">
        <v>192</v>
      </c>
      <c r="C179" t="s">
        <v>24</v>
      </c>
      <c r="D179" s="3">
        <v>7.041666666666667</v>
      </c>
      <c r="E179" s="5">
        <f t="shared" si="10"/>
        <v>1818</v>
      </c>
      <c r="F179">
        <v>-1.12622</v>
      </c>
      <c r="G179">
        <f t="shared" si="11"/>
        <v>1.1086400000000001</v>
      </c>
      <c r="H179">
        <f t="shared" si="12"/>
        <v>1.1086400000000001</v>
      </c>
      <c r="I179" s="5">
        <f t="shared" si="13"/>
        <v>1818</v>
      </c>
      <c r="J179">
        <f>+H179+CF*F179*(1+($I179-1850)*slope/1000)+F179*hQc*COS(2*PI()*$I179/qbo+$L179)+F179*hQs*SIN(2*PI()*$I179/qbo+$L179)+F179*hCs*SIN(2*PI()*$I179/cw)+F179*hCc*COS(2*PI()*$I179/cw) +mix*F179*(hQc*COS(2*PI()*$I179/qbo+$L179)+hQs*SIN(2*PI()*$I179/qbo+$L179))*(hCs*SIN(2*PI()*$I179/cw)+hCc*COS(2*PI()*$I179/cw))</f>
        <v>-1.5021227200169318</v>
      </c>
      <c r="K179">
        <f>fQc*COS(2*PI()*$I179/qbo+$L179)+fQs*SIN(2*PI()*$I179/qbo+$L179)+fCs*SIN(2*PI()*$I179/cw)+fCc*COS(2*PI()*$I179/cw)</f>
        <v>2.2825458767813793</v>
      </c>
      <c r="L179">
        <f>+QMA*COS(2*PI()*$I179/QM+QMP)</f>
        <v>-0.42577602969743672</v>
      </c>
      <c r="P179">
        <f t="shared" si="14"/>
        <v>0</v>
      </c>
    </row>
    <row r="180" spans="1:16" x14ac:dyDescent="0.25">
      <c r="A180" s="1"/>
      <c r="B180" t="s">
        <v>193</v>
      </c>
      <c r="C180" t="s">
        <v>24</v>
      </c>
      <c r="D180" s="3">
        <v>7.083333333333333</v>
      </c>
      <c r="E180" s="5">
        <f t="shared" si="10"/>
        <v>1819</v>
      </c>
      <c r="F180">
        <v>-1.4398299999999999</v>
      </c>
      <c r="G180">
        <f t="shared" si="11"/>
        <v>-0.21862000000000004</v>
      </c>
      <c r="H180">
        <f t="shared" si="12"/>
        <v>-0.21862000000000004</v>
      </c>
      <c r="I180" s="5">
        <f t="shared" si="13"/>
        <v>1819</v>
      </c>
      <c r="J180">
        <f>+H180+CF*F180*(1+($I180-1850)*slope/1000)+F180*hQc*COS(2*PI()*$I180/qbo+$L180)+F180*hQs*SIN(2*PI()*$I180/qbo+$L180)+F180*hCs*SIN(2*PI()*$I180/cw)+F180*hCc*COS(2*PI()*$I180/cw) +mix*F180*(hQc*COS(2*PI()*$I180/qbo+$L180)+hQs*SIN(2*PI()*$I180/qbo+$L180))*(hCs*SIN(2*PI()*$I180/cw)+hCc*COS(2*PI()*$I180/cw))</f>
        <v>-2.2835778899261654</v>
      </c>
      <c r="K180">
        <f>fQc*COS(2*PI()*$I180/qbo+$L180)+fQs*SIN(2*PI()*$I180/qbo+$L180)+fCs*SIN(2*PI()*$I180/cw)+fCc*COS(2*PI()*$I180/cw)</f>
        <v>0.52025450519338379</v>
      </c>
      <c r="L180">
        <f>+QMA*COS(2*PI()*$I180/QM+QMP)</f>
        <v>-0.47455423103625882</v>
      </c>
      <c r="P180">
        <f t="shared" si="14"/>
        <v>0</v>
      </c>
    </row>
    <row r="181" spans="1:16" x14ac:dyDescent="0.25">
      <c r="A181" s="1"/>
      <c r="B181" t="s">
        <v>194</v>
      </c>
      <c r="C181" t="s">
        <v>24</v>
      </c>
      <c r="D181" s="3">
        <v>7.125</v>
      </c>
      <c r="E181" s="5">
        <f t="shared" si="10"/>
        <v>1820</v>
      </c>
      <c r="F181">
        <v>-1.9720599999999999</v>
      </c>
      <c r="G181">
        <f t="shared" si="11"/>
        <v>2.8971200000000001</v>
      </c>
      <c r="H181">
        <f t="shared" si="12"/>
        <v>2.8971200000000001</v>
      </c>
      <c r="I181" s="5">
        <f t="shared" si="13"/>
        <v>1820</v>
      </c>
      <c r="J181">
        <f>+H181+CF*F181*(1+($I181-1850)*slope/1000)+F181*hQc*COS(2*PI()*$I181/qbo+$L181)+F181*hQs*SIN(2*PI()*$I181/qbo+$L181)+F181*hCs*SIN(2*PI()*$I181/cw)+F181*hCc*COS(2*PI()*$I181/cw) +mix*F181*(hQc*COS(2*PI()*$I181/qbo+$L181)+hQs*SIN(2*PI()*$I181/qbo+$L181))*(hCs*SIN(2*PI()*$I181/cw)+hCc*COS(2*PI()*$I181/cw))</f>
        <v>-11.897975460337939</v>
      </c>
      <c r="K181">
        <f>fQc*COS(2*PI()*$I181/qbo+$L181)+fQs*SIN(2*PI()*$I181/qbo+$L181)+fCs*SIN(2*PI()*$I181/cw)+fCc*COS(2*PI()*$I181/cw)</f>
        <v>-2.5266381328955267</v>
      </c>
      <c r="L181">
        <f>+QMA*COS(2*PI()*$I181/QM+QMP)</f>
        <v>-0.51181186120594513</v>
      </c>
      <c r="P181">
        <f t="shared" si="14"/>
        <v>1</v>
      </c>
    </row>
    <row r="182" spans="1:16" x14ac:dyDescent="0.25">
      <c r="A182" s="1"/>
      <c r="B182" t="s">
        <v>195</v>
      </c>
      <c r="C182" t="s">
        <v>24</v>
      </c>
      <c r="D182" s="3">
        <v>7.166666666666667</v>
      </c>
      <c r="E182" s="5">
        <f t="shared" si="10"/>
        <v>1821</v>
      </c>
      <c r="F182">
        <v>0.39283000000000001</v>
      </c>
      <c r="G182">
        <f t="shared" si="11"/>
        <v>-3.3246099999999998</v>
      </c>
      <c r="H182">
        <f t="shared" si="12"/>
        <v>-3.3246099999999998</v>
      </c>
      <c r="I182" s="5">
        <f t="shared" si="13"/>
        <v>1821</v>
      </c>
      <c r="J182">
        <f>+H182+CF*F182*(1+($I182-1850)*slope/1000)+F182*hQc*COS(2*PI()*$I182/qbo+$L182)+F182*hQs*SIN(2*PI()*$I182/qbo+$L182)+F182*hCs*SIN(2*PI()*$I182/cw)+F182*hCc*COS(2*PI()*$I182/cw) +mix*F182*(hQc*COS(2*PI()*$I182/qbo+$L182)+hQs*SIN(2*PI()*$I182/qbo+$L182))*(hCs*SIN(2*PI()*$I182/cw)+hCc*COS(2*PI()*$I182/cw))</f>
        <v>-7.3093296224028386</v>
      </c>
      <c r="K182">
        <f>fQc*COS(2*PI()*$I182/qbo+$L182)+fQs*SIN(2*PI()*$I182/qbo+$L182)+fCs*SIN(2*PI()*$I182/cw)+fCc*COS(2*PI()*$I182/cw)</f>
        <v>-3.5757183186062402</v>
      </c>
      <c r="L182">
        <f>+QMA*COS(2*PI()*$I182/QM+QMP)</f>
        <v>-0.53664443099980841</v>
      </c>
      <c r="P182">
        <f t="shared" si="14"/>
        <v>1</v>
      </c>
    </row>
    <row r="183" spans="1:16" x14ac:dyDescent="0.25">
      <c r="A183" s="1"/>
      <c r="B183" t="s">
        <v>196</v>
      </c>
      <c r="C183" t="s">
        <v>24</v>
      </c>
      <c r="D183" s="3">
        <v>7.208333333333333</v>
      </c>
      <c r="E183" s="5">
        <f t="shared" si="10"/>
        <v>1822</v>
      </c>
      <c r="F183">
        <v>-0.56689000000000001</v>
      </c>
      <c r="G183">
        <f t="shared" si="11"/>
        <v>0.88999000000000006</v>
      </c>
      <c r="H183">
        <f t="shared" si="12"/>
        <v>0.88999000000000006</v>
      </c>
      <c r="I183" s="5">
        <f t="shared" si="13"/>
        <v>1822</v>
      </c>
      <c r="J183">
        <f>+H183+CF*F183*(1+($I183-1850)*slope/1000)+F183*hQc*COS(2*PI()*$I183/qbo+$L183)+F183*hQs*SIN(2*PI()*$I183/qbo+$L183)+F183*hCs*SIN(2*PI()*$I183/cw)+F183*hCc*COS(2*PI()*$I183/cw) +mix*F183*(hQc*COS(2*PI()*$I183/qbo+$L183)+hQs*SIN(2*PI()*$I183/qbo+$L183))*(hCs*SIN(2*PI()*$I183/cw)+hCc*COS(2*PI()*$I183/cw))</f>
        <v>-6.1579544762515344</v>
      </c>
      <c r="K183">
        <f>fQc*COS(2*PI()*$I183/qbo+$L183)+fQs*SIN(2*PI()*$I183/qbo+$L183)+fCs*SIN(2*PI()*$I183/cw)+fCc*COS(2*PI()*$I183/cw)</f>
        <v>-3.2418571420288842</v>
      </c>
      <c r="L183">
        <f>+QMA*COS(2*PI()*$I183/QM+QMP)</f>
        <v>-0.54844908963932637</v>
      </c>
      <c r="P183">
        <f t="shared" si="14"/>
        <v>1</v>
      </c>
    </row>
    <row r="184" spans="1:16" x14ac:dyDescent="0.25">
      <c r="A184" s="1"/>
      <c r="B184" t="s">
        <v>197</v>
      </c>
      <c r="C184" t="s">
        <v>24</v>
      </c>
      <c r="D184" s="3">
        <v>7.25</v>
      </c>
      <c r="E184" s="5">
        <f t="shared" si="10"/>
        <v>1823</v>
      </c>
      <c r="F184">
        <v>-0.63661999999999996</v>
      </c>
      <c r="G184">
        <f t="shared" si="11"/>
        <v>0.91339999999999988</v>
      </c>
      <c r="H184">
        <f t="shared" si="12"/>
        <v>0.91339999999999988</v>
      </c>
      <c r="I184" s="5">
        <f t="shared" si="13"/>
        <v>1823</v>
      </c>
      <c r="J184">
        <f>+H184+CF*F184*(1+($I184-1850)*slope/1000)+F184*hQc*COS(2*PI()*$I184/qbo+$L184)+F184*hQs*SIN(2*PI()*$I184/qbo+$L184)+F184*hCs*SIN(2*PI()*$I184/cw)+F184*hCc*COS(2*PI()*$I184/cw) +mix*F184*(hQc*COS(2*PI()*$I184/qbo+$L184)+hQs*SIN(2*PI()*$I184/qbo+$L184))*(hCs*SIN(2*PI()*$I184/cw)+hCc*COS(2*PI()*$I184/cw))</f>
        <v>3.2709668141118518</v>
      </c>
      <c r="K184">
        <f>fQc*COS(2*PI()*$I184/qbo+$L184)+fQs*SIN(2*PI()*$I184/qbo+$L184)+fCs*SIN(2*PI()*$I184/cw)+fCc*COS(2*PI()*$I184/cw)</f>
        <v>-1.49691735997202</v>
      </c>
      <c r="L184">
        <f>+QMA*COS(2*PI()*$I184/QM+QMP)</f>
        <v>-0.54693925995146853</v>
      </c>
      <c r="P184">
        <f t="shared" si="14"/>
        <v>0</v>
      </c>
    </row>
    <row r="185" spans="1:16" x14ac:dyDescent="0.25">
      <c r="A185" s="1"/>
      <c r="B185" t="s">
        <v>198</v>
      </c>
      <c r="C185" t="s">
        <v>24</v>
      </c>
      <c r="D185" s="3">
        <v>7.291666666666667</v>
      </c>
      <c r="E185" s="5">
        <f t="shared" si="10"/>
        <v>1824</v>
      </c>
      <c r="F185">
        <v>0.20705000000000001</v>
      </c>
      <c r="G185">
        <f t="shared" si="11"/>
        <v>-0.43204999999999988</v>
      </c>
      <c r="H185">
        <f t="shared" si="12"/>
        <v>-0.43204999999999988</v>
      </c>
      <c r="I185" s="5">
        <f t="shared" si="13"/>
        <v>1824</v>
      </c>
      <c r="J185">
        <f>+H185+CF*F185*(1+($I185-1850)*slope/1000)+F185*hQc*COS(2*PI()*$I185/qbo+$L185)+F185*hQs*SIN(2*PI()*$I185/qbo+$L185)+F185*hCs*SIN(2*PI()*$I185/cw)+F185*hCc*COS(2*PI()*$I185/cw) +mix*F185*(hQc*COS(2*PI()*$I185/qbo+$L185)+hQs*SIN(2*PI()*$I185/qbo+$L185))*(hCs*SIN(2*PI()*$I185/cw)+hCc*COS(2*PI()*$I185/cw))</f>
        <v>0.10913374409712706</v>
      </c>
      <c r="K185">
        <f>fQc*COS(2*PI()*$I185/qbo+$L185)+fQs*SIN(2*PI()*$I185/qbo+$L185)+fCs*SIN(2*PI()*$I185/cw)+fCc*COS(2*PI()*$I185/cw)</f>
        <v>1.5850151294106483</v>
      </c>
      <c r="L185">
        <f>+QMA*COS(2*PI()*$I185/QM+QMP)</f>
        <v>-0.53215159549284707</v>
      </c>
      <c r="P185">
        <f t="shared" si="14"/>
        <v>1</v>
      </c>
    </row>
    <row r="186" spans="1:16" x14ac:dyDescent="0.25">
      <c r="A186" s="1"/>
      <c r="B186" t="s">
        <v>199</v>
      </c>
      <c r="C186" t="s">
        <v>24</v>
      </c>
      <c r="D186" s="3">
        <v>7.333333333333333</v>
      </c>
      <c r="E186" s="5">
        <f t="shared" si="10"/>
        <v>1825</v>
      </c>
      <c r="F186">
        <v>0.61867000000000005</v>
      </c>
      <c r="G186">
        <f t="shared" si="11"/>
        <v>-1.02498</v>
      </c>
      <c r="H186">
        <f t="shared" si="12"/>
        <v>-1.02498</v>
      </c>
      <c r="I186" s="5">
        <f t="shared" si="13"/>
        <v>1825</v>
      </c>
      <c r="J186">
        <f>+H186+CF*F186*(1+($I186-1850)*slope/1000)+F186*hQc*COS(2*PI()*$I186/qbo+$L186)+F186*hQs*SIN(2*PI()*$I186/qbo+$L186)+F186*hCs*SIN(2*PI()*$I186/cw)+F186*hCc*COS(2*PI()*$I186/cw) +mix*F186*(hQc*COS(2*PI()*$I186/qbo+$L186)+hQs*SIN(2*PI()*$I186/qbo+$L186))*(hCs*SIN(2*PI()*$I186/cw)+hCc*COS(2*PI()*$I186/cw))</f>
        <v>1.1175634930732194</v>
      </c>
      <c r="K186">
        <f>fQc*COS(2*PI()*$I186/qbo+$L186)+fQs*SIN(2*PI()*$I186/qbo+$L186)+fCs*SIN(2*PI()*$I186/cw)+fCc*COS(2*PI()*$I186/cw)</f>
        <v>2.9589623676211985</v>
      </c>
      <c r="L186">
        <f>+QMA*COS(2*PI()*$I186/QM+QMP)</f>
        <v>-0.50444509072536747</v>
      </c>
      <c r="P186">
        <f t="shared" si="14"/>
        <v>1</v>
      </c>
    </row>
    <row r="187" spans="1:16" x14ac:dyDescent="0.25">
      <c r="A187" s="1"/>
      <c r="B187" t="s">
        <v>200</v>
      </c>
      <c r="C187" t="s">
        <v>24</v>
      </c>
      <c r="D187" s="3">
        <v>7.375</v>
      </c>
      <c r="E187" s="5">
        <f t="shared" si="10"/>
        <v>1826</v>
      </c>
      <c r="F187">
        <v>5.3099999999999996E-3</v>
      </c>
      <c r="G187">
        <f t="shared" si="11"/>
        <v>1.6189200000000001</v>
      </c>
      <c r="H187">
        <f t="shared" si="12"/>
        <v>1.6189200000000001</v>
      </c>
      <c r="I187" s="5">
        <f t="shared" si="13"/>
        <v>1826</v>
      </c>
      <c r="J187">
        <f>+H187+CF*F187*(1+($I187-1850)*slope/1000)+F187*hQc*COS(2*PI()*$I187/qbo+$L187)+F187*hQs*SIN(2*PI()*$I187/qbo+$L187)+F187*hCs*SIN(2*PI()*$I187/cw)+F187*hCc*COS(2*PI()*$I187/cw) +mix*F187*(hQc*COS(2*PI()*$I187/qbo+$L187)+hQs*SIN(2*PI()*$I187/qbo+$L187))*(hCs*SIN(2*PI()*$I187/cw)+hCc*COS(2*PI()*$I187/cw))</f>
        <v>1.6344700854651038</v>
      </c>
      <c r="K187">
        <f>fQc*COS(2*PI()*$I187/qbo+$L187)+fQs*SIN(2*PI()*$I187/qbo+$L187)+fCs*SIN(2*PI()*$I187/cw)+fCc*COS(2*PI()*$I187/cw)</f>
        <v>3.9920844365332298</v>
      </c>
      <c r="L187">
        <f>+QMA*COS(2*PI()*$I187/QM+QMP)</f>
        <v>-0.46449236584530607</v>
      </c>
      <c r="P187">
        <f t="shared" si="14"/>
        <v>1</v>
      </c>
    </row>
    <row r="188" spans="1:16" x14ac:dyDescent="0.25">
      <c r="A188" s="1"/>
      <c r="B188" t="s">
        <v>201</v>
      </c>
      <c r="C188" t="s">
        <v>24</v>
      </c>
      <c r="D188" s="3">
        <v>7.416666666666667</v>
      </c>
      <c r="E188" s="5">
        <f t="shared" si="10"/>
        <v>1827</v>
      </c>
      <c r="F188">
        <v>1.0108699999999999</v>
      </c>
      <c r="G188">
        <f t="shared" si="11"/>
        <v>-0.80272999999999994</v>
      </c>
      <c r="H188">
        <f t="shared" si="12"/>
        <v>-0.80272999999999994</v>
      </c>
      <c r="I188" s="5">
        <f t="shared" si="13"/>
        <v>1827</v>
      </c>
      <c r="J188">
        <f>+H188+CF*F188*(1+($I188-1850)*slope/1000)+F188*hQc*COS(2*PI()*$I188/qbo+$L188)+F188*hQs*SIN(2*PI()*$I188/qbo+$L188)+F188*hCs*SIN(2*PI()*$I188/cw)+F188*hCc*COS(2*PI()*$I188/cw) +mix*F188*(hQc*COS(2*PI()*$I188/qbo+$L188)+hQs*SIN(2*PI()*$I188/qbo+$L188))*(hCs*SIN(2*PI()*$I188/cw)+hCc*COS(2*PI()*$I188/cw))</f>
        <v>2.009791728401594</v>
      </c>
      <c r="K188">
        <f>fQc*COS(2*PI()*$I188/qbo+$L188)+fQs*SIN(2*PI()*$I188/qbo+$L188)+fCs*SIN(2*PI()*$I188/cw)+fCc*COS(2*PI()*$I188/cw)</f>
        <v>2.0543374411813731</v>
      </c>
      <c r="L188">
        <f>+QMA*COS(2*PI()*$I188/QM+QMP)</f>
        <v>-0.41326333784062586</v>
      </c>
      <c r="P188">
        <f t="shared" si="14"/>
        <v>1</v>
      </c>
    </row>
    <row r="189" spans="1:16" x14ac:dyDescent="0.25">
      <c r="A189" s="1"/>
      <c r="B189" t="s">
        <v>202</v>
      </c>
      <c r="C189" t="s">
        <v>24</v>
      </c>
      <c r="D189" s="3">
        <v>7.458333333333333</v>
      </c>
      <c r="E189" s="5">
        <f t="shared" si="10"/>
        <v>1828</v>
      </c>
      <c r="F189">
        <v>1.2137</v>
      </c>
      <c r="G189">
        <f t="shared" si="11"/>
        <v>-0.55542000000000002</v>
      </c>
      <c r="H189">
        <f t="shared" si="12"/>
        <v>-0.55542000000000002</v>
      </c>
      <c r="I189" s="5">
        <f t="shared" si="13"/>
        <v>1828</v>
      </c>
      <c r="J189">
        <f>+H189+CF*F189*(1+($I189-1850)*slope/1000)+F189*hQc*COS(2*PI()*$I189/qbo+$L189)+F189*hQs*SIN(2*PI()*$I189/qbo+$L189)+F189*hCs*SIN(2*PI()*$I189/cw)+F189*hCc*COS(2*PI()*$I189/cw) +mix*F189*(hQc*COS(2*PI()*$I189/qbo+$L189)+hQs*SIN(2*PI()*$I189/qbo+$L189))*(hCs*SIN(2*PI()*$I189/cw)+hCc*COS(2*PI()*$I189/cw))</f>
        <v>-5.3567456280763839</v>
      </c>
      <c r="K189">
        <f>fQc*COS(2*PI()*$I189/qbo+$L189)+fQs*SIN(2*PI()*$I189/qbo+$L189)+fCs*SIN(2*PI()*$I189/cw)+fCc*COS(2*PI()*$I189/cw)</f>
        <v>-5.3220860652667734E-2</v>
      </c>
      <c r="L189">
        <f>+QMA*COS(2*PI()*$I189/QM+QMP)</f>
        <v>-0.35200167418795553</v>
      </c>
      <c r="P189">
        <f t="shared" si="14"/>
        <v>1</v>
      </c>
    </row>
    <row r="190" spans="1:16" x14ac:dyDescent="0.25">
      <c r="A190" s="1"/>
      <c r="B190" t="s">
        <v>203</v>
      </c>
      <c r="C190" t="s">
        <v>24</v>
      </c>
      <c r="D190" s="3">
        <v>7.5</v>
      </c>
      <c r="E190" s="5">
        <f t="shared" si="10"/>
        <v>1829</v>
      </c>
      <c r="F190">
        <v>0.86111000000000004</v>
      </c>
      <c r="G190">
        <f t="shared" si="11"/>
        <v>-0.45816000000000012</v>
      </c>
      <c r="H190">
        <f t="shared" si="12"/>
        <v>-0.45816000000000012</v>
      </c>
      <c r="I190" s="5">
        <f t="shared" si="13"/>
        <v>1829</v>
      </c>
      <c r="J190">
        <f>+H190+CF*F190*(1+($I190-1850)*slope/1000)+F190*hQc*COS(2*PI()*$I190/qbo+$L190)+F190*hQs*SIN(2*PI()*$I190/qbo+$L190)+F190*hCs*SIN(2*PI()*$I190/cw)+F190*hCc*COS(2*PI()*$I190/cw) +mix*F190*(hQc*COS(2*PI()*$I190/qbo+$L190)+hQs*SIN(2*PI()*$I190/qbo+$L190))*(hCs*SIN(2*PI()*$I190/cw)+hCc*COS(2*PI()*$I190/cw))</f>
        <v>10.189815511108019</v>
      </c>
      <c r="K190">
        <f>fQc*COS(2*PI()*$I190/qbo+$L190)+fQs*SIN(2*PI()*$I190/qbo+$L190)+fCs*SIN(2*PI()*$I190/cw)+fCc*COS(2*PI()*$I190/cw)</f>
        <v>-2.6130439430586794</v>
      </c>
      <c r="L190">
        <f>+QMA*COS(2*PI()*$I190/QM+QMP)</f>
        <v>-0.28219460081407166</v>
      </c>
      <c r="P190">
        <f t="shared" si="14"/>
        <v>0</v>
      </c>
    </row>
    <row r="191" spans="1:16" x14ac:dyDescent="0.25">
      <c r="A191" s="1"/>
      <c r="B191" t="s">
        <v>204</v>
      </c>
      <c r="C191" t="s">
        <v>24</v>
      </c>
      <c r="D191" s="3">
        <v>7.541666666666667</v>
      </c>
      <c r="E191" s="5">
        <f t="shared" si="10"/>
        <v>1830</v>
      </c>
      <c r="F191">
        <v>5.0360000000000002E-2</v>
      </c>
      <c r="G191">
        <f t="shared" si="11"/>
        <v>0.28301000000000009</v>
      </c>
      <c r="H191">
        <f t="shared" si="12"/>
        <v>0.28301000000000009</v>
      </c>
      <c r="I191" s="5">
        <f t="shared" si="13"/>
        <v>1830</v>
      </c>
      <c r="J191">
        <f>+H191+CF*F191*(1+($I191-1850)*slope/1000)+F191*hQc*COS(2*PI()*$I191/qbo+$L191)+F191*hQs*SIN(2*PI()*$I191/qbo+$L191)+F191*hCs*SIN(2*PI()*$I191/cw)+F191*hCc*COS(2*PI()*$I191/cw) +mix*F191*(hQc*COS(2*PI()*$I191/qbo+$L191)+hQs*SIN(2*PI()*$I191/qbo+$L191))*(hCs*SIN(2*PI()*$I191/cw)+hCc*COS(2*PI()*$I191/cw))</f>
        <v>-0.31583608009618025</v>
      </c>
      <c r="K191">
        <f>fQc*COS(2*PI()*$I191/qbo+$L191)+fQs*SIN(2*PI()*$I191/qbo+$L191)+fCs*SIN(2*PI()*$I191/cw)+fCc*COS(2*PI()*$I191/cw)</f>
        <v>-3.8436107780876925</v>
      </c>
      <c r="L191">
        <f>+QMA*COS(2*PI()*$I191/QM+QMP)</f>
        <v>-0.20553679728208998</v>
      </c>
      <c r="P191">
        <f t="shared" si="14"/>
        <v>1</v>
      </c>
    </row>
    <row r="192" spans="1:16" x14ac:dyDescent="0.25">
      <c r="A192" s="1"/>
      <c r="B192" t="s">
        <v>205</v>
      </c>
      <c r="C192" t="s">
        <v>24</v>
      </c>
      <c r="D192" s="3">
        <v>7.583333333333333</v>
      </c>
      <c r="E192" s="5">
        <f t="shared" si="10"/>
        <v>1831</v>
      </c>
      <c r="F192">
        <v>-0.47738000000000003</v>
      </c>
      <c r="G192">
        <f t="shared" si="11"/>
        <v>1.6845300000000001</v>
      </c>
      <c r="H192">
        <f t="shared" si="12"/>
        <v>1.6845300000000001</v>
      </c>
      <c r="I192" s="5">
        <f t="shared" si="13"/>
        <v>1831</v>
      </c>
      <c r="J192">
        <f>+H192+CF*F192*(1+($I192-1850)*slope/1000)+F192*hQc*COS(2*PI()*$I192/qbo+$L192)+F192*hQs*SIN(2*PI()*$I192/qbo+$L192)+F192*hCs*SIN(2*PI()*$I192/cw)+F192*hCc*COS(2*PI()*$I192/cw) +mix*F192*(hQc*COS(2*PI()*$I192/qbo+$L192)+hQs*SIN(2*PI()*$I192/qbo+$L192))*(hCs*SIN(2*PI()*$I192/cw)+hCc*COS(2*PI()*$I192/cw))</f>
        <v>-3.229550660074664</v>
      </c>
      <c r="K192">
        <f>fQc*COS(2*PI()*$I192/qbo+$L192)+fQs*SIN(2*PI()*$I192/qbo+$L192)+fCs*SIN(2*PI()*$I192/cw)+fCc*COS(2*PI()*$I192/cw)</f>
        <v>-2.8681612078685119</v>
      </c>
      <c r="L192">
        <f>+QMA*COS(2*PI()*$I192/QM+QMP)</f>
        <v>-0.12388925570518913</v>
      </c>
      <c r="P192">
        <f t="shared" si="14"/>
        <v>1</v>
      </c>
    </row>
    <row r="193" spans="1:16" x14ac:dyDescent="0.25">
      <c r="A193" s="1"/>
      <c r="B193" t="s">
        <v>206</v>
      </c>
      <c r="C193" t="s">
        <v>24</v>
      </c>
      <c r="D193" s="3">
        <v>7.625</v>
      </c>
      <c r="E193" s="5">
        <f t="shared" si="10"/>
        <v>1832</v>
      </c>
      <c r="F193">
        <v>0.67940999999999996</v>
      </c>
      <c r="G193">
        <f t="shared" si="11"/>
        <v>0.30939000000000005</v>
      </c>
      <c r="H193">
        <f t="shared" si="12"/>
        <v>0.30939000000000005</v>
      </c>
      <c r="I193" s="5">
        <f t="shared" si="13"/>
        <v>1832</v>
      </c>
      <c r="J193">
        <f>+H193+CF*F193*(1+($I193-1850)*slope/1000)+F193*hQc*COS(2*PI()*$I193/qbo+$L193)+F193*hQs*SIN(2*PI()*$I193/qbo+$L193)+F193*hCs*SIN(2*PI()*$I193/cw)+F193*hCc*COS(2*PI()*$I193/cw) +mix*F193*(hQc*COS(2*PI()*$I193/qbo+$L193)+hQs*SIN(2*PI()*$I193/qbo+$L193))*(hCs*SIN(2*PI()*$I193/cw)+hCc*COS(2*PI()*$I193/cw))</f>
        <v>-0.80590086803024708</v>
      </c>
      <c r="K193">
        <f>fQc*COS(2*PI()*$I193/qbo+$L193)+fQs*SIN(2*PI()*$I193/qbo+$L193)+fCs*SIN(2*PI()*$I193/cw)+fCc*COS(2*PI()*$I193/cw)</f>
        <v>-1.2174455397364627</v>
      </c>
      <c r="L193">
        <f>+QMA*COS(2*PI()*$I193/QM+QMP)</f>
        <v>-3.9234102154599861E-2</v>
      </c>
      <c r="P193">
        <f t="shared" si="14"/>
        <v>1</v>
      </c>
    </row>
    <row r="194" spans="1:16" x14ac:dyDescent="0.25">
      <c r="A194" s="1"/>
      <c r="B194" t="s">
        <v>207</v>
      </c>
      <c r="C194" t="s">
        <v>24</v>
      </c>
      <c r="D194" s="3">
        <v>7.666666666666667</v>
      </c>
      <c r="E194" s="5">
        <f t="shared" si="10"/>
        <v>1833</v>
      </c>
      <c r="F194">
        <v>2.1455899999999999</v>
      </c>
      <c r="G194">
        <f t="shared" si="11"/>
        <v>-2.7098499999999999</v>
      </c>
      <c r="H194">
        <f t="shared" si="12"/>
        <v>-2.7098499999999999</v>
      </c>
      <c r="I194" s="5">
        <f t="shared" si="13"/>
        <v>1833</v>
      </c>
      <c r="J194">
        <f>+H194+CF*F194*(1+($I194-1850)*slope/1000)+F194*hQc*COS(2*PI()*$I194/qbo+$L194)+F194*hQs*SIN(2*PI()*$I194/qbo+$L194)+F194*hCs*SIN(2*PI()*$I194/cw)+F194*hCc*COS(2*PI()*$I194/cw) +mix*F194*(hQc*COS(2*PI()*$I194/qbo+$L194)+hQs*SIN(2*PI()*$I194/qbo+$L194))*(hCs*SIN(2*PI()*$I194/cw)+hCc*COS(2*PI()*$I194/cw))</f>
        <v>1.6633904219557549</v>
      </c>
      <c r="K194">
        <f>fQc*COS(2*PI()*$I194/qbo+$L194)+fQs*SIN(2*PI()*$I194/qbo+$L194)+fCs*SIN(2*PI()*$I194/cw)+fCc*COS(2*PI()*$I194/cw)</f>
        <v>1.9930991157865319</v>
      </c>
      <c r="L194">
        <f>+QMA*COS(2*PI()*$I194/QM+QMP)</f>
        <v>4.6373522655474779E-2</v>
      </c>
      <c r="P194">
        <f t="shared" si="14"/>
        <v>1</v>
      </c>
    </row>
    <row r="195" spans="1:16" x14ac:dyDescent="0.25">
      <c r="A195" s="1"/>
      <c r="B195" t="s">
        <v>208</v>
      </c>
      <c r="C195" t="s">
        <v>24</v>
      </c>
      <c r="D195" s="3">
        <v>7.708333333333333</v>
      </c>
      <c r="E195" s="5">
        <f t="shared" si="10"/>
        <v>1834</v>
      </c>
      <c r="F195">
        <v>0.90192000000000005</v>
      </c>
      <c r="G195">
        <f t="shared" si="11"/>
        <v>0.3685299999999998</v>
      </c>
      <c r="H195">
        <f t="shared" si="12"/>
        <v>0.3685299999999998</v>
      </c>
      <c r="I195" s="5">
        <f t="shared" si="13"/>
        <v>1834</v>
      </c>
      <c r="J195">
        <f>+H195+CF*F195*(1+($I195-1850)*slope/1000)+F195*hQc*COS(2*PI()*$I195/qbo+$L195)+F195*hQs*SIN(2*PI()*$I195/qbo+$L195)+F195*hCs*SIN(2*PI()*$I195/cw)+F195*hCc*COS(2*PI()*$I195/cw) +mix*F195*(hQc*COS(2*PI()*$I195/qbo+$L195)+hQs*SIN(2*PI()*$I195/qbo+$L195))*(hCs*SIN(2*PI()*$I195/cw)+hCc*COS(2*PI()*$I195/cw))</f>
        <v>2.3365149859711014</v>
      </c>
      <c r="K195">
        <f>fQc*COS(2*PI()*$I195/qbo+$L195)+fQs*SIN(2*PI()*$I195/qbo+$L195)+fCs*SIN(2*PI()*$I195/cw)+fCc*COS(2*PI()*$I195/cw)</f>
        <v>3.1423806231016678</v>
      </c>
      <c r="L195">
        <f>+QMA*COS(2*PI()*$I195/QM+QMP)</f>
        <v>0.13085535523115099</v>
      </c>
      <c r="P195">
        <f t="shared" si="14"/>
        <v>1</v>
      </c>
    </row>
    <row r="196" spans="1:16" x14ac:dyDescent="0.25">
      <c r="A196" s="1"/>
      <c r="B196" t="s">
        <v>209</v>
      </c>
      <c r="C196" t="s">
        <v>24</v>
      </c>
      <c r="D196" s="3">
        <v>7.75</v>
      </c>
      <c r="E196" s="5">
        <f t="shared" si="10"/>
        <v>1835</v>
      </c>
      <c r="F196">
        <v>2.6780000000000002E-2</v>
      </c>
      <c r="G196">
        <f t="shared" si="11"/>
        <v>0.85698000000000008</v>
      </c>
      <c r="H196">
        <f t="shared" si="12"/>
        <v>0.85698000000000008</v>
      </c>
      <c r="I196" s="5">
        <f t="shared" si="13"/>
        <v>1835</v>
      </c>
      <c r="J196">
        <f>+H196+CF*F196*(1+($I196-1850)*slope/1000)+F196*hQc*COS(2*PI()*$I196/qbo+$L196)+F196*hQs*SIN(2*PI()*$I196/qbo+$L196)+F196*hCs*SIN(2*PI()*$I196/cw)+F196*hCc*COS(2*PI()*$I196/cw) +mix*F196*(hQc*COS(2*PI()*$I196/qbo+$L196)+hQs*SIN(2*PI()*$I196/qbo+$L196))*(hCs*SIN(2*PI()*$I196/cw)+hCc*COS(2*PI()*$I196/cw))</f>
        <v>0.94390672035664036</v>
      </c>
      <c r="K196">
        <f>fQc*COS(2*PI()*$I196/qbo+$L196)+fQs*SIN(2*PI()*$I196/qbo+$L196)+fCs*SIN(2*PI()*$I196/cw)+fCc*COS(2*PI()*$I196/cw)</f>
        <v>3.8467969549916621</v>
      </c>
      <c r="L196">
        <f>+QMA*COS(2*PI()*$I196/QM+QMP)</f>
        <v>0.21216046250500897</v>
      </c>
      <c r="P196">
        <f t="shared" si="14"/>
        <v>1</v>
      </c>
    </row>
    <row r="197" spans="1:16" x14ac:dyDescent="0.25">
      <c r="A197" s="1"/>
      <c r="B197" t="s">
        <v>210</v>
      </c>
      <c r="C197" t="s">
        <v>24</v>
      </c>
      <c r="D197" s="3">
        <v>7.791666666666667</v>
      </c>
      <c r="E197" s="5">
        <f t="shared" si="10"/>
        <v>1836</v>
      </c>
      <c r="F197">
        <v>8.6199999999999992E-3</v>
      </c>
      <c r="G197">
        <f t="shared" si="11"/>
        <v>1.0293399999999999</v>
      </c>
      <c r="H197">
        <f t="shared" si="12"/>
        <v>1.0293399999999999</v>
      </c>
      <c r="I197" s="5">
        <f t="shared" si="13"/>
        <v>1836</v>
      </c>
      <c r="J197">
        <f>+H197+CF*F197*(1+($I197-1850)*slope/1000)+F197*hQc*COS(2*PI()*$I197/qbo+$L197)+F197*hQs*SIN(2*PI()*$I197/qbo+$L197)+F197*hCs*SIN(2*PI()*$I197/cw)+F197*hCc*COS(2*PI()*$I197/cw) +mix*F197*(hQc*COS(2*PI()*$I197/qbo+$L197)+hQs*SIN(2*PI()*$I197/qbo+$L197))*(hCs*SIN(2*PI()*$I197/cw)+hCc*COS(2*PI()*$I197/cw))</f>
        <v>1.0576371615992568</v>
      </c>
      <c r="K197">
        <f>fQc*COS(2*PI()*$I197/qbo+$L197)+fQs*SIN(2*PI()*$I197/qbo+$L197)+fCs*SIN(2*PI()*$I197/cw)+fCc*COS(2*PI()*$I197/cw)</f>
        <v>1.793925875967384</v>
      </c>
      <c r="L197">
        <f>+QMA*COS(2*PI()*$I197/QM+QMP)</f>
        <v>0.28831503155225408</v>
      </c>
      <c r="P197">
        <f t="shared" si="14"/>
        <v>1</v>
      </c>
    </row>
    <row r="198" spans="1:16" x14ac:dyDescent="0.25">
      <c r="A198" s="1"/>
      <c r="B198" t="s">
        <v>211</v>
      </c>
      <c r="C198" t="s">
        <v>24</v>
      </c>
      <c r="D198" s="3">
        <v>7.833333333333333</v>
      </c>
      <c r="E198" s="5">
        <f t="shared" si="10"/>
        <v>1837</v>
      </c>
      <c r="F198">
        <v>1.0198</v>
      </c>
      <c r="G198">
        <f t="shared" si="11"/>
        <v>-1.1686000000000001</v>
      </c>
      <c r="H198">
        <f t="shared" si="12"/>
        <v>-1.1686000000000001</v>
      </c>
      <c r="I198" s="5">
        <f t="shared" si="13"/>
        <v>1837</v>
      </c>
      <c r="J198">
        <f>+H198+CF*F198*(1+($I198-1850)*slope/1000)+F198*hQc*COS(2*PI()*$I198/qbo+$L198)+F198*hQs*SIN(2*PI()*$I198/qbo+$L198)+F198*hCs*SIN(2*PI()*$I198/cw)+F198*hCc*COS(2*PI()*$I198/cw) +mix*F198*(hQc*COS(2*PI()*$I198/qbo+$L198)+hQs*SIN(2*PI()*$I198/qbo+$L198))*(hCs*SIN(2*PI()*$I198/cw)+hCc*COS(2*PI()*$I198/cw))</f>
        <v>-7.2382545536048779</v>
      </c>
      <c r="K198">
        <f>fQc*COS(2*PI()*$I198/qbo+$L198)+fQs*SIN(2*PI()*$I198/qbo+$L198)+fCs*SIN(2*PI()*$I198/cw)+fCc*COS(2*PI()*$I198/cw)</f>
        <v>-0.53281941891177731</v>
      </c>
      <c r="L198">
        <f>+QMA*COS(2*PI()*$I198/QM+QMP)</f>
        <v>0.35747028709031675</v>
      </c>
      <c r="P198">
        <f t="shared" si="14"/>
        <v>1</v>
      </c>
    </row>
    <row r="199" spans="1:16" x14ac:dyDescent="0.25">
      <c r="A199" s="1"/>
      <c r="B199" t="s">
        <v>212</v>
      </c>
      <c r="C199" t="s">
        <v>24</v>
      </c>
      <c r="D199" s="3">
        <v>7.875</v>
      </c>
      <c r="E199" s="5">
        <f t="shared" si="10"/>
        <v>1838</v>
      </c>
      <c r="F199">
        <v>0.86238000000000004</v>
      </c>
      <c r="G199">
        <f t="shared" si="11"/>
        <v>1.4644500000000003</v>
      </c>
      <c r="H199">
        <f t="shared" si="12"/>
        <v>1.4644500000000003</v>
      </c>
      <c r="I199" s="5">
        <f t="shared" si="13"/>
        <v>1838</v>
      </c>
      <c r="J199">
        <f>+H199+CF*F199*(1+($I199-1850)*slope/1000)+F199*hQc*COS(2*PI()*$I199/qbo+$L199)+F199*hQs*SIN(2*PI()*$I199/qbo+$L199)+F199*hCs*SIN(2*PI()*$I199/cw)+F199*hCc*COS(2*PI()*$I199/cw) +mix*F199*(hQc*COS(2*PI()*$I199/qbo+$L199)+hQs*SIN(2*PI()*$I199/qbo+$L199))*(hCs*SIN(2*PI()*$I199/cw)+hCc*COS(2*PI()*$I199/cw))</f>
        <v>12.551523654054829</v>
      </c>
      <c r="K199">
        <f>fQc*COS(2*PI()*$I199/qbo+$L199)+fQs*SIN(2*PI()*$I199/qbo+$L199)+fCs*SIN(2*PI()*$I199/cw)+fCc*COS(2*PI()*$I199/cw)</f>
        <v>-2.7974329271908318</v>
      </c>
      <c r="L199">
        <f>+QMA*COS(2*PI()*$I199/QM+QMP)</f>
        <v>0.41794737348784677</v>
      </c>
      <c r="P199">
        <f t="shared" si="14"/>
        <v>0</v>
      </c>
    </row>
    <row r="200" spans="1:16" x14ac:dyDescent="0.25">
      <c r="A200" s="1"/>
      <c r="B200" t="s">
        <v>213</v>
      </c>
      <c r="C200" t="s">
        <v>24</v>
      </c>
      <c r="D200" s="3">
        <v>7.916666666666667</v>
      </c>
      <c r="E200" s="5">
        <f t="shared" si="10"/>
        <v>1839</v>
      </c>
      <c r="F200">
        <v>2.1694100000000001</v>
      </c>
      <c r="G200">
        <f t="shared" si="11"/>
        <v>-3.0995699999999999</v>
      </c>
      <c r="H200">
        <f t="shared" si="12"/>
        <v>-3.0995699999999999</v>
      </c>
      <c r="I200" s="5">
        <f t="shared" si="13"/>
        <v>1839</v>
      </c>
      <c r="J200">
        <f>+H200+CF*F200*(1+($I200-1850)*slope/1000)+F200*hQc*COS(2*PI()*$I200/qbo+$L200)+F200*hQs*SIN(2*PI()*$I200/qbo+$L200)+F200*hCs*SIN(2*PI()*$I200/cw)+F200*hCc*COS(2*PI()*$I200/cw) +mix*F200*(hQc*COS(2*PI()*$I200/qbo+$L200)+hQs*SIN(2*PI()*$I200/qbo+$L200))*(hCs*SIN(2*PI()*$I200/cw)+hCc*COS(2*PI()*$I200/cw))</f>
        <v>-26.790820491374514</v>
      </c>
      <c r="K200">
        <f>fQc*COS(2*PI()*$I200/qbo+$L200)+fQs*SIN(2*PI()*$I200/qbo+$L200)+fCs*SIN(2*PI()*$I200/cw)+fCc*COS(2*PI()*$I200/cw)</f>
        <v>-3.9494839337272669</v>
      </c>
      <c r="L200">
        <f>+QMA*COS(2*PI()*$I200/QM+QMP)</f>
        <v>0.46827811169942107</v>
      </c>
      <c r="P200">
        <f t="shared" si="14"/>
        <v>1</v>
      </c>
    </row>
    <row r="201" spans="1:16" x14ac:dyDescent="0.25">
      <c r="A201" s="1"/>
      <c r="B201" t="s">
        <v>214</v>
      </c>
      <c r="C201" t="s">
        <v>24</v>
      </c>
      <c r="D201" s="3">
        <v>7.958333333333333</v>
      </c>
      <c r="E201" s="5">
        <f t="shared" si="10"/>
        <v>1840</v>
      </c>
      <c r="F201">
        <v>0.37686999999999998</v>
      </c>
      <c r="G201">
        <f t="shared" si="11"/>
        <v>1.48078</v>
      </c>
      <c r="H201">
        <f t="shared" si="12"/>
        <v>1.48078</v>
      </c>
      <c r="I201" s="5">
        <f t="shared" si="13"/>
        <v>1840</v>
      </c>
      <c r="J201">
        <f>+H201+CF*F201*(1+($I201-1850)*slope/1000)+F201*hQc*COS(2*PI()*$I201/qbo+$L201)+F201*hQs*SIN(2*PI()*$I201/qbo+$L201)+F201*hCs*SIN(2*PI()*$I201/cw)+F201*hCc*COS(2*PI()*$I201/cw) +mix*F201*(hQc*COS(2*PI()*$I201/qbo+$L201)+hQs*SIN(2*PI()*$I201/qbo+$L201))*(hCs*SIN(2*PI()*$I201/cw)+hCc*COS(2*PI()*$I201/cw))</f>
        <v>4.2682913468384758</v>
      </c>
      <c r="K201">
        <f>fQc*COS(2*PI()*$I201/qbo+$L201)+fQs*SIN(2*PI()*$I201/qbo+$L201)+fCs*SIN(2*PI()*$I201/cw)+fCc*COS(2*PI()*$I201/cw)</f>
        <v>-2.5498161829557766</v>
      </c>
      <c r="L201">
        <f>+QMA*COS(2*PI()*$I201/QM+QMP)</f>
        <v>0.50724064168534067</v>
      </c>
      <c r="P201">
        <f t="shared" si="14"/>
        <v>0</v>
      </c>
    </row>
    <row r="202" spans="1:16" x14ac:dyDescent="0.25">
      <c r="A202" s="1"/>
      <c r="B202" t="s">
        <v>215</v>
      </c>
      <c r="C202" t="s">
        <v>24</v>
      </c>
      <c r="D202" s="3">
        <v>8</v>
      </c>
      <c r="E202" s="5">
        <f t="shared" si="10"/>
        <v>1841</v>
      </c>
      <c r="F202">
        <v>6.5110000000000001E-2</v>
      </c>
      <c r="G202">
        <f t="shared" si="11"/>
        <v>-0.61817000000000011</v>
      </c>
      <c r="H202">
        <f t="shared" si="12"/>
        <v>-0.61817000000000011</v>
      </c>
      <c r="I202" s="5">
        <f t="shared" si="13"/>
        <v>1841</v>
      </c>
      <c r="J202">
        <f>+H202+CF*F202*(1+($I202-1850)*slope/1000)+F202*hQc*COS(2*PI()*$I202/qbo+$L202)+F202*hQs*SIN(2*PI()*$I202/qbo+$L202)+F202*hCs*SIN(2*PI()*$I202/cw)+F202*hCc*COS(2*PI()*$I202/cw) +mix*F202*(hQc*COS(2*PI()*$I202/qbo+$L202)+hQs*SIN(2*PI()*$I202/qbo+$L202))*(hCs*SIN(2*PI()*$I202/cw)+hCc*COS(2*PI()*$I202/cw))</f>
        <v>-0.6020504200293284</v>
      </c>
      <c r="K202">
        <f>fQc*COS(2*PI()*$I202/qbo+$L202)+fQs*SIN(2*PI()*$I202/qbo+$L202)+fCs*SIN(2*PI()*$I202/cw)+fCc*COS(2*PI()*$I202/cw)</f>
        <v>-0.86442285538230346</v>
      </c>
      <c r="L202">
        <f>+QMA*COS(2*PI()*$I202/QM+QMP)</f>
        <v>0.5338890850395569</v>
      </c>
      <c r="P202">
        <f t="shared" si="14"/>
        <v>1</v>
      </c>
    </row>
    <row r="203" spans="1:16" x14ac:dyDescent="0.25">
      <c r="A203" s="1"/>
      <c r="B203" t="s">
        <v>216</v>
      </c>
      <c r="C203" t="s">
        <v>24</v>
      </c>
      <c r="D203" s="3">
        <v>8.0416666666666661</v>
      </c>
      <c r="E203" s="5">
        <f t="shared" si="10"/>
        <v>1842</v>
      </c>
      <c r="F203">
        <v>-0.86482000000000003</v>
      </c>
      <c r="G203">
        <f t="shared" si="11"/>
        <v>1.83446</v>
      </c>
      <c r="H203">
        <f t="shared" si="12"/>
        <v>1.83446</v>
      </c>
      <c r="I203" s="5">
        <f t="shared" si="13"/>
        <v>1842</v>
      </c>
      <c r="J203">
        <f>+H203+CF*F203*(1+($I203-1850)*slope/1000)+F203*hQc*COS(2*PI()*$I203/qbo+$L203)+F203*hQs*SIN(2*PI()*$I203/qbo+$L203)+F203*hCs*SIN(2*PI()*$I203/cw)+F203*hCc*COS(2*PI()*$I203/cw) +mix*F203*(hQc*COS(2*PI()*$I203/qbo+$L203)+hQs*SIN(2*PI()*$I203/qbo+$L203))*(hCs*SIN(2*PI()*$I203/cw)+hCc*COS(2*PI()*$I203/cw))</f>
        <v>5.1380726039603752E-2</v>
      </c>
      <c r="K203">
        <f>fQc*COS(2*PI()*$I203/qbo+$L203)+fQs*SIN(2*PI()*$I203/qbo+$L203)+fCs*SIN(2*PI()*$I203/cw)+fCc*COS(2*PI()*$I203/cw)</f>
        <v>2.3242859265221525</v>
      </c>
      <c r="L203">
        <f>+QMA*COS(2*PI()*$I203/QM+QMP)</f>
        <v>0.54757650771718835</v>
      </c>
      <c r="P203">
        <f t="shared" si="14"/>
        <v>1</v>
      </c>
    </row>
    <row r="204" spans="1:16" x14ac:dyDescent="0.25">
      <c r="A204" s="1"/>
      <c r="B204" t="s">
        <v>217</v>
      </c>
      <c r="C204" t="s">
        <v>24</v>
      </c>
      <c r="D204" s="3">
        <v>8.0833333333333339</v>
      </c>
      <c r="E204" s="5">
        <f t="shared" si="10"/>
        <v>1843</v>
      </c>
      <c r="F204">
        <v>3.9710000000000002E-2</v>
      </c>
      <c r="G204">
        <f t="shared" si="11"/>
        <v>-0.38485000000000003</v>
      </c>
      <c r="H204">
        <f t="shared" si="12"/>
        <v>-0.38485000000000003</v>
      </c>
      <c r="I204" s="5">
        <f t="shared" si="13"/>
        <v>1843</v>
      </c>
      <c r="J204">
        <f>+H204+CF*F204*(1+($I204-1850)*slope/1000)+F204*hQc*COS(2*PI()*$I204/qbo+$L204)+F204*hQs*SIN(2*PI()*$I204/qbo+$L204)+F204*hCs*SIN(2*PI()*$I204/cw)+F204*hCc*COS(2*PI()*$I204/cw) +mix*F204*(hQc*COS(2*PI()*$I204/qbo+$L204)+hQs*SIN(2*PI()*$I204/qbo+$L204))*(hCs*SIN(2*PI()*$I204/cw)+hCc*COS(2*PI()*$I204/cw))</f>
        <v>-0.37844879264108944</v>
      </c>
      <c r="K204">
        <f>fQc*COS(2*PI()*$I204/qbo+$L204)+fQs*SIN(2*PI()*$I204/qbo+$L204)+fCs*SIN(2*PI()*$I204/cw)+fCc*COS(2*PI()*$I204/cw)</f>
        <v>3.3686821059806582</v>
      </c>
      <c r="L204">
        <f>+QMA*COS(2*PI()*$I204/QM+QMP)</f>
        <v>0.54797062540430064</v>
      </c>
      <c r="P204">
        <f t="shared" si="14"/>
        <v>0</v>
      </c>
    </row>
    <row r="205" spans="1:16" x14ac:dyDescent="0.25">
      <c r="A205" s="1"/>
      <c r="B205" t="s">
        <v>218</v>
      </c>
      <c r="C205" t="s">
        <v>24</v>
      </c>
      <c r="D205" s="3">
        <v>8.125</v>
      </c>
      <c r="E205" s="5">
        <f t="shared" ref="E205:E268" si="15">+E204+1</f>
        <v>1844</v>
      </c>
      <c r="F205">
        <v>0.55939000000000005</v>
      </c>
      <c r="G205">
        <f t="shared" ref="G205:G268" si="16">+(F206-F205)-(F205-F204)</f>
        <v>-0.66176000000000013</v>
      </c>
      <c r="H205">
        <f t="shared" ref="H205:H268" si="17">+G205</f>
        <v>-0.66176000000000013</v>
      </c>
      <c r="I205" s="5">
        <f t="shared" si="13"/>
        <v>1844</v>
      </c>
      <c r="J205">
        <f>+H205+CF*F205*(1+($I205-1850)*slope/1000)+F205*hQc*COS(2*PI()*$I205/qbo+$L205)+F205*hQs*SIN(2*PI()*$I205/qbo+$L205)+F205*hCs*SIN(2*PI()*$I205/cw)+F205*hCc*COS(2*PI()*$I205/cw) +mix*F205*(hQc*COS(2*PI()*$I205/qbo+$L205)+hQs*SIN(2*PI()*$I205/qbo+$L205))*(hCs*SIN(2*PI()*$I205/cw)+hCc*COS(2*PI()*$I205/cw))</f>
        <v>1.3605170168790848</v>
      </c>
      <c r="K205">
        <f>fQc*COS(2*PI()*$I205/qbo+$L205)+fQs*SIN(2*PI()*$I205/qbo+$L205)+fCs*SIN(2*PI()*$I205/cw)+fCc*COS(2*PI()*$I205/cw)</f>
        <v>3.535011574269499</v>
      </c>
      <c r="L205">
        <f>+QMA*COS(2*PI()*$I205/QM+QMP)</f>
        <v>0.53506187025687046</v>
      </c>
      <c r="P205">
        <f t="shared" si="14"/>
        <v>1</v>
      </c>
    </row>
    <row r="206" spans="1:16" x14ac:dyDescent="0.25">
      <c r="A206" s="1"/>
      <c r="B206" t="s">
        <v>219</v>
      </c>
      <c r="C206" t="s">
        <v>24</v>
      </c>
      <c r="D206" s="3">
        <v>8.1666666666666661</v>
      </c>
      <c r="E206" s="5">
        <f t="shared" si="15"/>
        <v>1845</v>
      </c>
      <c r="F206">
        <v>0.41731000000000001</v>
      </c>
      <c r="G206">
        <f t="shared" si="16"/>
        <v>0.73028999999999988</v>
      </c>
      <c r="H206">
        <f t="shared" si="17"/>
        <v>0.73028999999999988</v>
      </c>
      <c r="I206" s="5">
        <f t="shared" ref="I206:I269" si="18">+E206</f>
        <v>1845</v>
      </c>
      <c r="J206">
        <f>+H206+CF*F206*(1+($I206-1850)*slope/1000)+F206*hQc*COS(2*PI()*$I206/qbo+$L206)+F206*hQs*SIN(2*PI()*$I206/qbo+$L206)+F206*hCs*SIN(2*PI()*$I206/cw)+F206*hCc*COS(2*PI()*$I206/cw) +mix*F206*(hQc*COS(2*PI()*$I206/qbo+$L206)+hQs*SIN(2*PI()*$I206/qbo+$L206))*(hCs*SIN(2*PI()*$I206/cw)+hCc*COS(2*PI()*$I206/cw))</f>
        <v>2.5340693235096232</v>
      </c>
      <c r="K206">
        <f>fQc*COS(2*PI()*$I206/qbo+$L206)+fQs*SIN(2*PI()*$I206/qbo+$L206)+fCs*SIN(2*PI()*$I206/cw)+fCc*COS(2*PI()*$I206/cw)</f>
        <v>1.6801338609785281</v>
      </c>
      <c r="L206">
        <f>+QMA*COS(2*PI()*$I206/QM+QMP)</f>
        <v>0.50916362317566566</v>
      </c>
      <c r="P206">
        <f t="shared" ref="P206:P269" si="19">+IF(J206*K206&gt;0,1, 0)</f>
        <v>1</v>
      </c>
    </row>
    <row r="207" spans="1:16" x14ac:dyDescent="0.25">
      <c r="A207" s="1"/>
      <c r="B207" t="s">
        <v>220</v>
      </c>
      <c r="C207" t="s">
        <v>24</v>
      </c>
      <c r="D207" s="3">
        <v>8.2083333333333339</v>
      </c>
      <c r="E207" s="5">
        <f t="shared" si="15"/>
        <v>1846</v>
      </c>
      <c r="F207">
        <v>1.00552</v>
      </c>
      <c r="G207">
        <f t="shared" si="16"/>
        <v>-2.6277099999999995</v>
      </c>
      <c r="H207">
        <f t="shared" si="17"/>
        <v>-2.6277099999999995</v>
      </c>
      <c r="I207" s="5">
        <f t="shared" si="18"/>
        <v>1846</v>
      </c>
      <c r="J207">
        <f>+H207+CF*F207*(1+($I207-1850)*slope/1000)+F207*hQc*COS(2*PI()*$I207/qbo+$L207)+F207*hQs*SIN(2*PI()*$I207/qbo+$L207)+F207*hCs*SIN(2*PI()*$I207/cw)+F207*hCc*COS(2*PI()*$I207/cw) +mix*F207*(hQc*COS(2*PI()*$I207/qbo+$L207)+hQs*SIN(2*PI()*$I207/qbo+$L207))*(hCs*SIN(2*PI()*$I207/cw)+hCc*COS(2*PI()*$I207/cw))</f>
        <v>-9.2522817161705504</v>
      </c>
      <c r="K207">
        <f>fQc*COS(2*PI()*$I207/qbo+$L207)+fQs*SIN(2*PI()*$I207/qbo+$L207)+fCs*SIN(2*PI()*$I207/cw)+fCc*COS(2*PI()*$I207/cw)</f>
        <v>-1.1883128043997786</v>
      </c>
      <c r="L207">
        <f>+QMA*COS(2*PI()*$I207/QM+QMP)</f>
        <v>0.47090460597820039</v>
      </c>
      <c r="P207">
        <f t="shared" si="19"/>
        <v>1</v>
      </c>
    </row>
    <row r="208" spans="1:16" x14ac:dyDescent="0.25">
      <c r="A208" s="1"/>
      <c r="B208" t="s">
        <v>221</v>
      </c>
      <c r="C208" t="s">
        <v>24</v>
      </c>
      <c r="D208" s="3">
        <v>8.25</v>
      </c>
      <c r="E208" s="5">
        <f t="shared" si="15"/>
        <v>1847</v>
      </c>
      <c r="F208">
        <v>-1.0339799999999999</v>
      </c>
      <c r="G208">
        <f t="shared" si="16"/>
        <v>3.3584299999999998</v>
      </c>
      <c r="H208">
        <f t="shared" si="17"/>
        <v>3.3584299999999998</v>
      </c>
      <c r="I208" s="5">
        <f t="shared" si="18"/>
        <v>1847</v>
      </c>
      <c r="J208">
        <f>+H208+CF*F208*(1+($I208-1850)*slope/1000)+F208*hQc*COS(2*PI()*$I208/qbo+$L208)+F208*hQs*SIN(2*PI()*$I208/qbo+$L208)+F208*hCs*SIN(2*PI()*$I208/cw)+F208*hCc*COS(2*PI()*$I208/cw) +mix*F208*(hQc*COS(2*PI()*$I208/qbo+$L208)+hQs*SIN(2*PI()*$I208/qbo+$L208))*(hCs*SIN(2*PI()*$I208/cw)+hCc*COS(2*PI()*$I208/cw))</f>
        <v>-4.1074091659945884</v>
      </c>
      <c r="K208">
        <f>fQc*COS(2*PI()*$I208/qbo+$L208)+fQs*SIN(2*PI()*$I208/qbo+$L208)+fCs*SIN(2*PI()*$I208/cw)+fCc*COS(2*PI()*$I208/cw)</f>
        <v>-2.805372050284884</v>
      </c>
      <c r="L208">
        <f>+QMA*COS(2*PI()*$I208/QM+QMP)</f>
        <v>0.42121361816023584</v>
      </c>
      <c r="P208">
        <f t="shared" si="19"/>
        <v>1</v>
      </c>
    </row>
    <row r="209" spans="1:16" x14ac:dyDescent="0.25">
      <c r="A209" s="1"/>
      <c r="B209" t="s">
        <v>222</v>
      </c>
      <c r="C209" t="s">
        <v>24</v>
      </c>
      <c r="D209" s="3">
        <v>8.2916666666666661</v>
      </c>
      <c r="E209" s="5">
        <f t="shared" si="15"/>
        <v>1848</v>
      </c>
      <c r="F209">
        <v>0.28494999999999998</v>
      </c>
      <c r="G209">
        <f t="shared" si="16"/>
        <v>-1.40743</v>
      </c>
      <c r="H209">
        <f t="shared" si="17"/>
        <v>-1.40743</v>
      </c>
      <c r="I209" s="5">
        <f t="shared" si="18"/>
        <v>1848</v>
      </c>
      <c r="J209">
        <f>+H209+CF*F209*(1+($I209-1850)*slope/1000)+F209*hQc*COS(2*PI()*$I209/qbo+$L209)+F209*hQs*SIN(2*PI()*$I209/qbo+$L209)+F209*hCs*SIN(2*PI()*$I209/cw)+F209*hCc*COS(2*PI()*$I209/cw) +mix*F209*(hQc*COS(2*PI()*$I209/qbo+$L209)+hQs*SIN(2*PI()*$I209/qbo+$L209))*(hCs*SIN(2*PI()*$I209/cw)+hCc*COS(2*PI()*$I209/cw))</f>
        <v>-1.4593276383114471</v>
      </c>
      <c r="K209">
        <f>fQc*COS(2*PI()*$I209/qbo+$L209)+fQs*SIN(2*PI()*$I209/qbo+$L209)+fCs*SIN(2*PI()*$I209/cw)+fCc*COS(2*PI()*$I209/cw)</f>
        <v>-4.0587839352671802</v>
      </c>
      <c r="L209">
        <f>+QMA*COS(2*PI()*$I209/QM+QMP)</f>
        <v>0.36129698878632316</v>
      </c>
      <c r="P209">
        <f t="shared" si="19"/>
        <v>1</v>
      </c>
    </row>
    <row r="210" spans="1:16" x14ac:dyDescent="0.25">
      <c r="A210" s="1"/>
      <c r="B210" t="s">
        <v>223</v>
      </c>
      <c r="C210" t="s">
        <v>24</v>
      </c>
      <c r="D210" s="3">
        <v>8.3333333333333339</v>
      </c>
      <c r="E210" s="5">
        <f t="shared" si="15"/>
        <v>1849</v>
      </c>
      <c r="F210">
        <v>0.19645000000000001</v>
      </c>
      <c r="G210">
        <f t="shared" si="16"/>
        <v>-9.4840000000000035E-2</v>
      </c>
      <c r="H210">
        <f t="shared" si="17"/>
        <v>-9.4840000000000035E-2</v>
      </c>
      <c r="I210" s="5">
        <f t="shared" si="18"/>
        <v>1849</v>
      </c>
      <c r="J210">
        <f>+H210+CF*F210*(1+($I210-1850)*slope/1000)+F210*hQc*COS(2*PI()*$I210/qbo+$L210)+F210*hQs*SIN(2*PI()*$I210/qbo+$L210)+F210*hCs*SIN(2*PI()*$I210/cw)+F210*hCc*COS(2*PI()*$I210/cw) +mix*F210*(hQc*COS(2*PI()*$I210/qbo+$L210)+hQs*SIN(2*PI()*$I210/qbo+$L210))*(hCs*SIN(2*PI()*$I210/cw)+hCc*COS(2*PI()*$I210/cw))</f>
        <v>-0.75296688364821984</v>
      </c>
      <c r="K210">
        <f>fQc*COS(2*PI()*$I210/qbo+$L210)+fQs*SIN(2*PI()*$I210/qbo+$L210)+fCs*SIN(2*PI()*$I210/cw)+fCc*COS(2*PI()*$I210/cw)</f>
        <v>-2.2959941952737193</v>
      </c>
      <c r="L210">
        <f>+QMA*COS(2*PI()*$I210/QM+QMP)</f>
        <v>0.29260929090163412</v>
      </c>
      <c r="P210">
        <f t="shared" si="19"/>
        <v>1</v>
      </c>
    </row>
    <row r="211" spans="1:16" x14ac:dyDescent="0.25">
      <c r="A211" s="1"/>
      <c r="B211" t="s">
        <v>224</v>
      </c>
      <c r="C211" t="s">
        <v>24</v>
      </c>
      <c r="D211" s="3">
        <v>8.375</v>
      </c>
      <c r="E211" s="5">
        <f t="shared" si="15"/>
        <v>1850</v>
      </c>
      <c r="F211">
        <v>1.311E-2</v>
      </c>
      <c r="G211">
        <f t="shared" si="16"/>
        <v>-0.64488999999999996</v>
      </c>
      <c r="H211">
        <f t="shared" si="17"/>
        <v>-0.64488999999999996</v>
      </c>
      <c r="I211" s="5">
        <f t="shared" si="18"/>
        <v>1850</v>
      </c>
      <c r="J211">
        <f>+H211+CF*F211*(1+($I211-1850)*slope/1000)+F211*hQc*COS(2*PI()*$I211/qbo+$L211)+F211*hQs*SIN(2*PI()*$I211/qbo+$L211)+F211*hCs*SIN(2*PI()*$I211/cw)+F211*hCc*COS(2*PI()*$I211/cw) +mix*F211*(hQc*COS(2*PI()*$I211/qbo+$L211)+hQs*SIN(2*PI()*$I211/qbo+$L211))*(hCs*SIN(2*PI()*$I211/cw)+hCc*COS(2*PI()*$I211/cw))</f>
        <v>-0.59010521921452608</v>
      </c>
      <c r="K211">
        <f>fQc*COS(2*PI()*$I211/qbo+$L211)+fQs*SIN(2*PI()*$I211/qbo+$L211)+fCs*SIN(2*PI()*$I211/cw)+fCc*COS(2*PI()*$I211/cw)</f>
        <v>-0.26130204591181372</v>
      </c>
      <c r="L211">
        <f>+QMA*COS(2*PI()*$I211/QM+QMP)</f>
        <v>0.21681802941951372</v>
      </c>
      <c r="P211">
        <f t="shared" si="19"/>
        <v>1</v>
      </c>
    </row>
    <row r="212" spans="1:16" x14ac:dyDescent="0.25">
      <c r="A212" s="1"/>
      <c r="B212" t="s">
        <v>225</v>
      </c>
      <c r="C212" t="s">
        <v>24</v>
      </c>
      <c r="D212" s="3">
        <v>8.4166666666666661</v>
      </c>
      <c r="E212" s="5">
        <f t="shared" si="15"/>
        <v>1851</v>
      </c>
      <c r="F212">
        <v>-0.81511999999999996</v>
      </c>
      <c r="G212">
        <f t="shared" si="16"/>
        <v>3.0331700000000001</v>
      </c>
      <c r="H212">
        <f t="shared" si="17"/>
        <v>3.0331700000000001</v>
      </c>
      <c r="I212" s="5">
        <f t="shared" si="18"/>
        <v>1851</v>
      </c>
      <c r="J212">
        <f>+H212+CF*F212*(1+($I212-1850)*slope/1000)+F212*hQc*COS(2*PI()*$I212/qbo+$L212)+F212*hQs*SIN(2*PI()*$I212/qbo+$L212)+F212*hCs*SIN(2*PI()*$I212/cw)+F212*hCc*COS(2*PI()*$I212/cw) +mix*F212*(hQc*COS(2*PI()*$I212/qbo+$L212)+hQs*SIN(2*PI()*$I212/qbo+$L212))*(hCs*SIN(2*PI()*$I212/cw)+hCc*COS(2*PI()*$I212/cw))</f>
        <v>0.40673951038601608</v>
      </c>
      <c r="K212">
        <f>fQc*COS(2*PI()*$I212/qbo+$L212)+fQs*SIN(2*PI()*$I212/qbo+$L212)+fCs*SIN(2*PI()*$I212/cw)+fCc*COS(2*PI()*$I212/cw)</f>
        <v>2.2884311655548895</v>
      </c>
      <c r="L212">
        <f>+QMA*COS(2*PI()*$I212/QM+QMP)</f>
        <v>0.13576315974402273</v>
      </c>
      <c r="P212">
        <f t="shared" si="19"/>
        <v>1</v>
      </c>
    </row>
    <row r="213" spans="1:16" x14ac:dyDescent="0.25">
      <c r="A213" s="1"/>
      <c r="B213" t="s">
        <v>226</v>
      </c>
      <c r="C213" t="s">
        <v>24</v>
      </c>
      <c r="D213" s="3">
        <v>8.4583333333333339</v>
      </c>
      <c r="E213" s="5">
        <f t="shared" si="15"/>
        <v>1852</v>
      </c>
      <c r="F213">
        <v>1.3898200000000001</v>
      </c>
      <c r="G213">
        <f t="shared" si="16"/>
        <v>-2.8027600000000001</v>
      </c>
      <c r="H213">
        <f t="shared" si="17"/>
        <v>-2.8027600000000001</v>
      </c>
      <c r="I213" s="5">
        <f t="shared" si="18"/>
        <v>1852</v>
      </c>
      <c r="J213">
        <f>+H213+CF*F213*(1+($I213-1850)*slope/1000)+F213*hQc*COS(2*PI()*$I213/qbo+$L213)+F213*hQs*SIN(2*PI()*$I213/qbo+$L213)+F213*hCs*SIN(2*PI()*$I213/cw)+F213*hCc*COS(2*PI()*$I213/cw) +mix*F213*(hQc*COS(2*PI()*$I213/qbo+$L213)+hQs*SIN(2*PI()*$I213/qbo+$L213))*(hCs*SIN(2*PI()*$I213/cw)+hCc*COS(2*PI()*$I213/cw))</f>
        <v>-4.3576335036428748</v>
      </c>
      <c r="K213">
        <f>fQc*COS(2*PI()*$I213/qbo+$L213)+fQs*SIN(2*PI()*$I213/qbo+$L213)+fCs*SIN(2*PI()*$I213/cw)+fCc*COS(2*PI()*$I213/cw)</f>
        <v>3.9037193872393812</v>
      </c>
      <c r="L213">
        <f>+QMA*COS(2*PI()*$I213/QM+QMP)</f>
        <v>5.1412419877787087E-2</v>
      </c>
      <c r="P213">
        <f t="shared" si="19"/>
        <v>0</v>
      </c>
    </row>
    <row r="214" spans="1:16" x14ac:dyDescent="0.25">
      <c r="A214" s="1"/>
      <c r="B214" t="s">
        <v>227</v>
      </c>
      <c r="C214" t="s">
        <v>24</v>
      </c>
      <c r="D214" s="3">
        <v>8.5</v>
      </c>
      <c r="E214" s="5">
        <f t="shared" si="15"/>
        <v>1853</v>
      </c>
      <c r="F214">
        <v>0.79200000000000004</v>
      </c>
      <c r="G214">
        <f t="shared" si="16"/>
        <v>-0.41556999999999999</v>
      </c>
      <c r="H214">
        <f t="shared" si="17"/>
        <v>-0.41556999999999999</v>
      </c>
      <c r="I214" s="5">
        <f t="shared" si="18"/>
        <v>1853</v>
      </c>
      <c r="J214">
        <f>+H214+CF*F214*(1+($I214-1850)*slope/1000)+F214*hQc*COS(2*PI()*$I214/qbo+$L214)+F214*hQs*SIN(2*PI()*$I214/qbo+$L214)+F214*hCs*SIN(2*PI()*$I214/cw)+F214*hCc*COS(2*PI()*$I214/cw) +mix*F214*(hQc*COS(2*PI()*$I214/qbo+$L214)+hQs*SIN(2*PI()*$I214/qbo+$L214))*(hCs*SIN(2*PI()*$I214/cw)+hCc*COS(2*PI()*$I214/cw))</f>
        <v>1.3950966584843183</v>
      </c>
      <c r="K214">
        <f>fQc*COS(2*PI()*$I214/qbo+$L214)+fQs*SIN(2*PI()*$I214/qbo+$L214)+fCs*SIN(2*PI()*$I214/cw)+fCc*COS(2*PI()*$I214/cw)</f>
        <v>2.9480684489521813</v>
      </c>
      <c r="L214">
        <f>+QMA*COS(2*PI()*$I214/QM+QMP)</f>
        <v>-3.4186439599353621E-2</v>
      </c>
      <c r="P214">
        <f t="shared" si="19"/>
        <v>1</v>
      </c>
    </row>
    <row r="215" spans="1:16" x14ac:dyDescent="0.25">
      <c r="A215" s="1"/>
      <c r="B215" t="s">
        <v>228</v>
      </c>
      <c r="C215" t="s">
        <v>24</v>
      </c>
      <c r="D215" s="3">
        <v>8.5416666666666661</v>
      </c>
      <c r="E215" s="5">
        <f t="shared" si="15"/>
        <v>1854</v>
      </c>
      <c r="F215">
        <v>-0.22139</v>
      </c>
      <c r="G215">
        <f t="shared" si="16"/>
        <v>0.86353000000000002</v>
      </c>
      <c r="H215">
        <f t="shared" si="17"/>
        <v>0.86353000000000002</v>
      </c>
      <c r="I215" s="5">
        <f t="shared" si="18"/>
        <v>1854</v>
      </c>
      <c r="J215">
        <f>+H215+CF*F215*(1+($I215-1850)*slope/1000)+F215*hQc*COS(2*PI()*$I215/qbo+$L215)+F215*hQs*SIN(2*PI()*$I215/qbo+$L215)+F215*hCs*SIN(2*PI()*$I215/cw)+F215*hCc*COS(2*PI()*$I215/cw) +mix*F215*(hQc*COS(2*PI()*$I215/qbo+$L215)+hQs*SIN(2*PI()*$I215/qbo+$L215))*(hCs*SIN(2*PI()*$I215/cw)+hCc*COS(2*PI()*$I215/cw))</f>
        <v>0.63843025417577726</v>
      </c>
      <c r="K215">
        <f>fQc*COS(2*PI()*$I215/qbo+$L215)+fQs*SIN(2*PI()*$I215/qbo+$L215)+fCs*SIN(2*PI()*$I215/cw)+fCc*COS(2*PI()*$I215/cw)</f>
        <v>1.5706922460559767</v>
      </c>
      <c r="L215">
        <f>+QMA*COS(2*PI()*$I215/QM+QMP)</f>
        <v>-0.11895536798605089</v>
      </c>
      <c r="P215">
        <f t="shared" si="19"/>
        <v>1</v>
      </c>
    </row>
    <row r="216" spans="1:16" x14ac:dyDescent="0.25">
      <c r="A216" s="1"/>
      <c r="B216" t="s">
        <v>229</v>
      </c>
      <c r="C216" t="s">
        <v>24</v>
      </c>
      <c r="D216" s="3">
        <v>8.5833333333333339</v>
      </c>
      <c r="E216" s="5">
        <f t="shared" si="15"/>
        <v>1855</v>
      </c>
      <c r="F216">
        <v>-0.37125000000000002</v>
      </c>
      <c r="G216">
        <f t="shared" si="16"/>
        <v>2.0419100000000001</v>
      </c>
      <c r="H216">
        <f t="shared" si="17"/>
        <v>2.0419100000000001</v>
      </c>
      <c r="I216" s="5">
        <f t="shared" si="18"/>
        <v>1855</v>
      </c>
      <c r="J216">
        <f>+H216+CF*F216*(1+($I216-1850)*slope/1000)+F216*hQc*COS(2*PI()*$I216/qbo+$L216)+F216*hQs*SIN(2*PI()*$I216/qbo+$L216)+F216*hCs*SIN(2*PI()*$I216/cw)+F216*hCc*COS(2*PI()*$I216/cw) +mix*F216*(hQc*COS(2*PI()*$I216/qbo+$L216)+hQs*SIN(2*PI()*$I216/qbo+$L216))*(hCs*SIN(2*PI()*$I216/cw)+hCc*COS(2*PI()*$I216/cw))</f>
        <v>-3.3869633013640987E-2</v>
      </c>
      <c r="K216">
        <f>fQc*COS(2*PI()*$I216/qbo+$L216)+fQs*SIN(2*PI()*$I216/qbo+$L216)+fCs*SIN(2*PI()*$I216/cw)+fCc*COS(2*PI()*$I216/cw)</f>
        <v>-1.5994827074401683</v>
      </c>
      <c r="L216">
        <f>+QMA*COS(2*PI()*$I216/QM+QMP)</f>
        <v>-0.20083646250004683</v>
      </c>
      <c r="P216">
        <f t="shared" si="19"/>
        <v>1</v>
      </c>
    </row>
    <row r="217" spans="1:16" x14ac:dyDescent="0.25">
      <c r="A217" s="1"/>
      <c r="B217" t="s">
        <v>230</v>
      </c>
      <c r="C217" t="s">
        <v>24</v>
      </c>
      <c r="D217" s="3">
        <v>8.625</v>
      </c>
      <c r="E217" s="5">
        <f t="shared" si="15"/>
        <v>1856</v>
      </c>
      <c r="F217">
        <v>1.5207999999999999</v>
      </c>
      <c r="G217">
        <f t="shared" si="16"/>
        <v>-3.7130200000000002</v>
      </c>
      <c r="H217">
        <f t="shared" si="17"/>
        <v>-3.7130200000000002</v>
      </c>
      <c r="I217" s="5">
        <f t="shared" si="18"/>
        <v>1856</v>
      </c>
      <c r="J217">
        <f>+H217+CF*F217*(1+($I217-1850)*slope/1000)+F217*hQc*COS(2*PI()*$I217/qbo+$L217)+F217*hQs*SIN(2*PI()*$I217/qbo+$L217)+F217*hCs*SIN(2*PI()*$I217/cw)+F217*hCc*COS(2*PI()*$I217/cw) +mix*F217*(hQc*COS(2*PI()*$I217/qbo+$L217)+hQs*SIN(2*PI()*$I217/qbo+$L217))*(hCs*SIN(2*PI()*$I217/cw)+hCc*COS(2*PI()*$I217/cw))</f>
        <v>-20.606849555515097</v>
      </c>
      <c r="K217">
        <f>fQc*COS(2*PI()*$I217/qbo+$L217)+fQs*SIN(2*PI()*$I217/qbo+$L217)+fCs*SIN(2*PI()*$I217/cw)+fCc*COS(2*PI()*$I217/cw)</f>
        <v>-3.2253896465448184</v>
      </c>
      <c r="L217">
        <f>+QMA*COS(2*PI()*$I217/QM+QMP)</f>
        <v>-0.27784192719500489</v>
      </c>
      <c r="P217">
        <f t="shared" si="19"/>
        <v>1</v>
      </c>
    </row>
    <row r="218" spans="1:16" x14ac:dyDescent="0.25">
      <c r="A218" s="1"/>
      <c r="B218" t="s">
        <v>231</v>
      </c>
      <c r="C218" t="s">
        <v>24</v>
      </c>
      <c r="D218" s="3">
        <v>8.6666666666666661</v>
      </c>
      <c r="E218" s="5">
        <f t="shared" si="15"/>
        <v>1857</v>
      </c>
      <c r="F218">
        <v>-0.30016999999999999</v>
      </c>
      <c r="G218">
        <f t="shared" si="16"/>
        <v>2.5389900000000001</v>
      </c>
      <c r="H218">
        <f t="shared" si="17"/>
        <v>2.5389900000000001</v>
      </c>
      <c r="I218" s="5">
        <f t="shared" si="18"/>
        <v>1857</v>
      </c>
      <c r="J218">
        <f>+H218+CF*F218*(1+($I218-1850)*slope/1000)+F218*hQc*COS(2*PI()*$I218/qbo+$L218)+F218*hQs*SIN(2*PI()*$I218/qbo+$L218)+F218*hCs*SIN(2*PI()*$I218/cw)+F218*hCc*COS(2*PI()*$I218/cw) +mix*F218*(hQc*COS(2*PI()*$I218/qbo+$L218)+hQs*SIN(2*PI()*$I218/qbo+$L218))*(hCs*SIN(2*PI()*$I218/cw)+hCc*COS(2*PI()*$I218/cw))</f>
        <v>-1.219324118390869</v>
      </c>
      <c r="K218">
        <f>fQc*COS(2*PI()*$I218/qbo+$L218)+fQs*SIN(2*PI()*$I218/qbo+$L218)+fCs*SIN(2*PI()*$I218/cw)+fCc*COS(2*PI()*$I218/cw)</f>
        <v>-3.5874066253864147</v>
      </c>
      <c r="L218">
        <f>+QMA*COS(2*PI()*$I218/QM+QMP)</f>
        <v>-0.34810232992087242</v>
      </c>
      <c r="P218">
        <f t="shared" si="19"/>
        <v>1</v>
      </c>
    </row>
    <row r="219" spans="1:16" x14ac:dyDescent="0.25">
      <c r="A219" s="1"/>
      <c r="B219" t="s">
        <v>232</v>
      </c>
      <c r="C219" t="s">
        <v>24</v>
      </c>
      <c r="D219" s="3">
        <v>8.7083333333333339</v>
      </c>
      <c r="E219" s="5">
        <f t="shared" si="15"/>
        <v>1858</v>
      </c>
      <c r="F219">
        <v>0.41785</v>
      </c>
      <c r="G219">
        <f t="shared" si="16"/>
        <v>-1.84158</v>
      </c>
      <c r="H219">
        <f t="shared" si="17"/>
        <v>-1.84158</v>
      </c>
      <c r="I219" s="5">
        <f t="shared" si="18"/>
        <v>1858</v>
      </c>
      <c r="J219">
        <f>+H219+CF*F219*(1+($I219-1850)*slope/1000)+F219*hQc*COS(2*PI()*$I219/qbo+$L219)+F219*hQs*SIN(2*PI()*$I219/qbo+$L219)+F219*hCs*SIN(2*PI()*$I219/cw)+F219*hCc*COS(2*PI()*$I219/cw) +mix*F219*(hQc*COS(2*PI()*$I219/qbo+$L219)+hQs*SIN(2*PI()*$I219/qbo+$L219))*(hCs*SIN(2*PI()*$I219/cw)+hCc*COS(2*PI()*$I219/cw))</f>
        <v>-4.4907854876798208</v>
      </c>
      <c r="K219">
        <f>fQc*COS(2*PI()*$I219/qbo+$L219)+fQs*SIN(2*PI()*$I219/qbo+$L219)+fCs*SIN(2*PI()*$I219/cw)+fCc*COS(2*PI()*$I219/cw)</f>
        <v>-2.4752794819906465</v>
      </c>
      <c r="L219">
        <f>+QMA*COS(2*PI()*$I219/QM+QMP)</f>
        <v>-0.40991198581167693</v>
      </c>
      <c r="P219">
        <f t="shared" si="19"/>
        <v>1</v>
      </c>
    </row>
    <row r="220" spans="1:16" x14ac:dyDescent="0.25">
      <c r="A220" s="1"/>
      <c r="B220" t="s">
        <v>233</v>
      </c>
      <c r="C220" t="s">
        <v>24</v>
      </c>
      <c r="D220" s="3">
        <v>8.75</v>
      </c>
      <c r="E220" s="5">
        <f t="shared" si="15"/>
        <v>1859</v>
      </c>
      <c r="F220">
        <v>-0.70570999999999995</v>
      </c>
      <c r="G220">
        <f t="shared" si="16"/>
        <v>0.71167999999999976</v>
      </c>
      <c r="H220">
        <f t="shared" si="17"/>
        <v>0.71167999999999976</v>
      </c>
      <c r="I220" s="5">
        <f t="shared" si="18"/>
        <v>1859</v>
      </c>
      <c r="J220">
        <f>+H220+CF*F220*(1+($I220-1850)*slope/1000)+F220*hQc*COS(2*PI()*$I220/qbo+$L220)+F220*hQs*SIN(2*PI()*$I220/qbo+$L220)+F220*hCs*SIN(2*PI()*$I220/cw)+F220*hCc*COS(2*PI()*$I220/cw) +mix*F220*(hQc*COS(2*PI()*$I220/qbo+$L220)+hQs*SIN(2*PI()*$I220/qbo+$L220))*(hCs*SIN(2*PI()*$I220/cw)+hCc*COS(2*PI()*$I220/cw))</f>
        <v>-0.89938575781204755</v>
      </c>
      <c r="K220">
        <f>fQc*COS(2*PI()*$I220/qbo+$L220)+fQs*SIN(2*PI()*$I220/qbo+$L220)+fCs*SIN(2*PI()*$I220/cw)+fCc*COS(2*PI()*$I220/cw)</f>
        <v>0.57202673083193645</v>
      </c>
      <c r="L220">
        <f>+QMA*COS(2*PI()*$I220/QM+QMP)</f>
        <v>-0.46177036554315803</v>
      </c>
      <c r="P220">
        <f t="shared" si="19"/>
        <v>0</v>
      </c>
    </row>
    <row r="221" spans="1:16" x14ac:dyDescent="0.25">
      <c r="A221" s="1"/>
      <c r="B221" t="s">
        <v>234</v>
      </c>
      <c r="C221" t="s">
        <v>24</v>
      </c>
      <c r="D221" s="3">
        <v>8.7916666666666661</v>
      </c>
      <c r="E221" s="5">
        <f t="shared" si="15"/>
        <v>1860</v>
      </c>
      <c r="F221">
        <v>-1.1175900000000001</v>
      </c>
      <c r="G221">
        <f t="shared" si="16"/>
        <v>0.52851000000000015</v>
      </c>
      <c r="H221">
        <f t="shared" si="17"/>
        <v>0.52851000000000015</v>
      </c>
      <c r="I221" s="5">
        <f t="shared" si="18"/>
        <v>1860</v>
      </c>
      <c r="J221">
        <f>+H221+CF*F221*(1+($I221-1850)*slope/1000)+F221*hQc*COS(2*PI()*$I221/qbo+$L221)+F221*hQs*SIN(2*PI()*$I221/qbo+$L221)+F221*hCs*SIN(2*PI()*$I221/cw)+F221*hCc*COS(2*PI()*$I221/cw) +mix*F221*(hQc*COS(2*PI()*$I221/qbo+$L221)+hQs*SIN(2*PI()*$I221/qbo+$L221))*(hCs*SIN(2*PI()*$I221/cw)+hCc*COS(2*PI()*$I221/cw))</f>
        <v>-1.0953035784200844</v>
      </c>
      <c r="K221">
        <f>fQc*COS(2*PI()*$I221/qbo+$L221)+fQs*SIN(2*PI()*$I221/qbo+$L221)+fCs*SIN(2*PI()*$I221/cw)+fCc*COS(2*PI()*$I221/cw)</f>
        <v>2.3190293080002764</v>
      </c>
      <c r="L221">
        <f>+QMA*COS(2*PI()*$I221/QM+QMP)</f>
        <v>-0.50241852310797341</v>
      </c>
      <c r="P221">
        <f t="shared" si="19"/>
        <v>0</v>
      </c>
    </row>
    <row r="222" spans="1:16" x14ac:dyDescent="0.25">
      <c r="A222" s="1"/>
      <c r="B222" t="s">
        <v>235</v>
      </c>
      <c r="C222" t="s">
        <v>24</v>
      </c>
      <c r="D222" s="3">
        <v>8.8333333333333339</v>
      </c>
      <c r="E222" s="5">
        <f t="shared" si="15"/>
        <v>1861</v>
      </c>
      <c r="F222">
        <v>-1.0009600000000001</v>
      </c>
      <c r="G222">
        <f t="shared" si="16"/>
        <v>-0.15195000000000003</v>
      </c>
      <c r="H222">
        <f t="shared" si="17"/>
        <v>-0.15195000000000003</v>
      </c>
      <c r="I222" s="5">
        <f t="shared" si="18"/>
        <v>1861</v>
      </c>
      <c r="J222">
        <f>+H222+CF*F222*(1+($I222-1850)*slope/1000)+F222*hQc*COS(2*PI()*$I222/qbo+$L222)+F222*hQs*SIN(2*PI()*$I222/qbo+$L222)+F222*hCs*SIN(2*PI()*$I222/cw)+F222*hCc*COS(2*PI()*$I222/cw) +mix*F222*(hQc*COS(2*PI()*$I222/qbo+$L222)+hQs*SIN(2*PI()*$I222/qbo+$L222))*(hCs*SIN(2*PI()*$I222/cw)+hCc*COS(2*PI()*$I222/cw))</f>
        <v>-3.3527044306907436</v>
      </c>
      <c r="K222">
        <f>fQc*COS(2*PI()*$I222/qbo+$L222)+fQs*SIN(2*PI()*$I222/qbo+$L222)+fCs*SIN(2*PI()*$I222/cw)+fCc*COS(2*PI()*$I222/cw)</f>
        <v>3.9983345950420244</v>
      </c>
      <c r="L222">
        <f>+QMA*COS(2*PI()*$I222/QM+QMP)</f>
        <v>-0.53086965876548342</v>
      </c>
      <c r="P222">
        <f t="shared" si="19"/>
        <v>0</v>
      </c>
    </row>
    <row r="223" spans="1:16" x14ac:dyDescent="0.25">
      <c r="A223" s="1"/>
      <c r="B223" t="s">
        <v>236</v>
      </c>
      <c r="C223" t="s">
        <v>24</v>
      </c>
      <c r="D223" s="3">
        <v>8.875</v>
      </c>
      <c r="E223" s="5">
        <f t="shared" si="15"/>
        <v>1862</v>
      </c>
      <c r="F223">
        <v>-1.0362800000000001</v>
      </c>
      <c r="G223">
        <f t="shared" si="16"/>
        <v>-0.14271999999999996</v>
      </c>
      <c r="H223">
        <f t="shared" si="17"/>
        <v>-0.14271999999999996</v>
      </c>
      <c r="I223" s="5">
        <f t="shared" si="18"/>
        <v>1862</v>
      </c>
      <c r="J223">
        <f>+H223+CF*F223*(1+($I223-1850)*slope/1000)+F223*hQc*COS(2*PI()*$I223/qbo+$L223)+F223*hQs*SIN(2*PI()*$I223/qbo+$L223)+F223*hCs*SIN(2*PI()*$I223/cw)+F223*hCc*COS(2*PI()*$I223/cw) +mix*F223*(hQc*COS(2*PI()*$I223/qbo+$L223)+hQs*SIN(2*PI()*$I223/qbo+$L223))*(hCs*SIN(2*PI()*$I223/cw)+hCc*COS(2*PI()*$I223/cw))</f>
        <v>-0.87232977475617268</v>
      </c>
      <c r="K223">
        <f>fQc*COS(2*PI()*$I223/qbo+$L223)+fQs*SIN(2*PI()*$I223/qbo+$L223)+fCs*SIN(2*PI()*$I223/cw)+fCc*COS(2*PI()*$I223/cw)</f>
        <v>2.911587374853839</v>
      </c>
      <c r="L223">
        <f>+QMA*COS(2*PI()*$I223/QM+QMP)</f>
        <v>-0.54643307520069917</v>
      </c>
      <c r="P223">
        <f t="shared" si="19"/>
        <v>0</v>
      </c>
    </row>
    <row r="224" spans="1:16" x14ac:dyDescent="0.25">
      <c r="A224" s="1"/>
      <c r="B224" t="s">
        <v>237</v>
      </c>
      <c r="C224" t="s">
        <v>24</v>
      </c>
      <c r="D224" s="3">
        <v>8.9166666666666661</v>
      </c>
      <c r="E224" s="5">
        <f t="shared" si="15"/>
        <v>1863</v>
      </c>
      <c r="F224">
        <v>-1.2143200000000001</v>
      </c>
      <c r="G224">
        <f t="shared" si="16"/>
        <v>-0.2688299999999999</v>
      </c>
      <c r="H224">
        <f t="shared" si="17"/>
        <v>-0.2688299999999999</v>
      </c>
      <c r="I224" s="5">
        <f t="shared" si="18"/>
        <v>1863</v>
      </c>
      <c r="J224">
        <f>+H224+CF*F224*(1+($I224-1850)*slope/1000)+F224*hQc*COS(2*PI()*$I224/qbo+$L224)+F224*hQs*SIN(2*PI()*$I224/qbo+$L224)+F224*hCs*SIN(2*PI()*$I224/cw)+F224*hCc*COS(2*PI()*$I224/cw) +mix*F224*(hQc*COS(2*PI()*$I224/qbo+$L224)+hQs*SIN(2*PI()*$I224/qbo+$L224))*(hCs*SIN(2*PI()*$I224/cw)+hCc*COS(2*PI()*$I224/cw))</f>
        <v>4.2849476137869029</v>
      </c>
      <c r="K224">
        <f>fQc*COS(2*PI()*$I224/qbo+$L224)+fQs*SIN(2*PI()*$I224/qbo+$L224)+fCs*SIN(2*PI()*$I224/cw)+fCc*COS(2*PI()*$I224/cw)</f>
        <v>0.85082350166498988</v>
      </c>
      <c r="L224">
        <f>+QMA*COS(2*PI()*$I224/QM+QMP)</f>
        <v>-0.54873094531831779</v>
      </c>
      <c r="P224">
        <f t="shared" si="19"/>
        <v>1</v>
      </c>
    </row>
    <row r="225" spans="1:16" x14ac:dyDescent="0.25">
      <c r="A225" s="1"/>
      <c r="B225" t="s">
        <v>238</v>
      </c>
      <c r="C225" t="s">
        <v>24</v>
      </c>
      <c r="D225" s="3">
        <v>8.9583333333333339</v>
      </c>
      <c r="E225" s="5">
        <f t="shared" si="15"/>
        <v>1864</v>
      </c>
      <c r="F225">
        <v>-1.6611899999999999</v>
      </c>
      <c r="G225">
        <f t="shared" si="16"/>
        <v>2.6381399999999999</v>
      </c>
      <c r="H225">
        <f t="shared" si="17"/>
        <v>2.6381399999999999</v>
      </c>
      <c r="I225" s="5">
        <f t="shared" si="18"/>
        <v>1864</v>
      </c>
      <c r="J225">
        <f>+H225+CF*F225*(1+($I225-1850)*slope/1000)+F225*hQc*COS(2*PI()*$I225/qbo+$L225)+F225*hQs*SIN(2*PI()*$I225/qbo+$L225)+F225*hCs*SIN(2*PI()*$I225/cw)+F225*hCc*COS(2*PI()*$I225/cw) +mix*F225*(hQc*COS(2*PI()*$I225/qbo+$L225)+hQs*SIN(2*PI()*$I225/qbo+$L225))*(hCs*SIN(2*PI()*$I225/cw)+hCc*COS(2*PI()*$I225/cw))</f>
        <v>-13.575840980456075</v>
      </c>
      <c r="K225">
        <f>fQc*COS(2*PI()*$I225/qbo+$L225)+fQs*SIN(2*PI()*$I225/qbo+$L225)+fCs*SIN(2*PI()*$I225/cw)+fCc*COS(2*PI()*$I225/cw)</f>
        <v>-1.5687665265506148</v>
      </c>
      <c r="L225">
        <f>+QMA*COS(2*PI()*$I225/QM+QMP)</f>
        <v>-0.53770748460627416</v>
      </c>
      <c r="P225">
        <f t="shared" si="19"/>
        <v>1</v>
      </c>
    </row>
    <row r="226" spans="1:16" x14ac:dyDescent="0.25">
      <c r="A226" s="1"/>
      <c r="B226" t="s">
        <v>239</v>
      </c>
      <c r="C226" t="s">
        <v>24</v>
      </c>
      <c r="D226" s="3">
        <v>9</v>
      </c>
      <c r="E226" s="5">
        <f t="shared" si="15"/>
        <v>1865</v>
      </c>
      <c r="F226">
        <v>0.53008</v>
      </c>
      <c r="G226">
        <f t="shared" si="16"/>
        <v>-2.5571199999999998</v>
      </c>
      <c r="H226">
        <f t="shared" si="17"/>
        <v>-2.5571199999999998</v>
      </c>
      <c r="I226" s="5">
        <f t="shared" si="18"/>
        <v>1865</v>
      </c>
      <c r="J226">
        <f>+H226+CF*F226*(1+($I226-1850)*slope/1000)+F226*hQc*COS(2*PI()*$I226/qbo+$L226)+F226*hQs*SIN(2*PI()*$I226/qbo+$L226)+F226*hCs*SIN(2*PI()*$I226/cw)+F226*hCc*COS(2*PI()*$I226/cw) +mix*F226*(hQc*COS(2*PI()*$I226/qbo+$L226)+hQs*SIN(2*PI()*$I226/qbo+$L226))*(hCs*SIN(2*PI()*$I226/cw)+hCc*COS(2*PI()*$I226/cw))</f>
        <v>-7.6131600116989508</v>
      </c>
      <c r="K226">
        <f>fQc*COS(2*PI()*$I226/qbo+$L226)+fQs*SIN(2*PI()*$I226/qbo+$L226)+fCs*SIN(2*PI()*$I226/cw)+fCc*COS(2*PI()*$I226/cw)</f>
        <v>-3.7476310044593641</v>
      </c>
      <c r="L226">
        <f>+QMA*COS(2*PI()*$I226/QM+QMP)</f>
        <v>-0.51363030539496501</v>
      </c>
      <c r="P226">
        <f t="shared" si="19"/>
        <v>1</v>
      </c>
    </row>
    <row r="227" spans="1:16" x14ac:dyDescent="0.25">
      <c r="A227" s="1"/>
      <c r="B227" t="s">
        <v>240</v>
      </c>
      <c r="C227" t="s">
        <v>24</v>
      </c>
      <c r="D227" s="3">
        <v>9.0416666666666661</v>
      </c>
      <c r="E227" s="5">
        <f t="shared" si="15"/>
        <v>1866</v>
      </c>
      <c r="F227">
        <v>0.16422999999999999</v>
      </c>
      <c r="G227">
        <f t="shared" si="16"/>
        <v>0.22108000000000003</v>
      </c>
      <c r="H227">
        <f t="shared" si="17"/>
        <v>0.22108000000000003</v>
      </c>
      <c r="I227" s="5">
        <f t="shared" si="18"/>
        <v>1866</v>
      </c>
      <c r="J227">
        <f>+H227+CF*F227*(1+($I227-1850)*slope/1000)+F227*hQc*COS(2*PI()*$I227/qbo+$L227)+F227*hQs*SIN(2*PI()*$I227/qbo+$L227)+F227*hCs*SIN(2*PI()*$I227/cw)+F227*hCc*COS(2*PI()*$I227/cw) +mix*F227*(hQc*COS(2*PI()*$I227/qbo+$L227)+hQs*SIN(2*PI()*$I227/qbo+$L227))*(hCs*SIN(2*PI()*$I227/cw)+hCc*COS(2*PI()*$I227/cw))</f>
        <v>0.99421849074273361</v>
      </c>
      <c r="K227">
        <f>fQc*COS(2*PI()*$I227/qbo+$L227)+fQs*SIN(2*PI()*$I227/qbo+$L227)+fCs*SIN(2*PI()*$I227/cw)+fCc*COS(2*PI()*$I227/cw)</f>
        <v>-3.240493924677406</v>
      </c>
      <c r="L227">
        <f>+QMA*COS(2*PI()*$I227/QM+QMP)</f>
        <v>-0.47708392013524759</v>
      </c>
      <c r="P227">
        <f t="shared" si="19"/>
        <v>0</v>
      </c>
    </row>
    <row r="228" spans="1:16" x14ac:dyDescent="0.25">
      <c r="A228" s="1"/>
      <c r="B228" t="s">
        <v>241</v>
      </c>
      <c r="C228" t="s">
        <v>24</v>
      </c>
      <c r="D228" s="3">
        <v>9.0833333333333339</v>
      </c>
      <c r="E228" s="5">
        <f t="shared" si="15"/>
        <v>1867</v>
      </c>
      <c r="F228">
        <v>1.9460000000000002E-2</v>
      </c>
      <c r="G228">
        <f t="shared" si="16"/>
        <v>0.33774999999999999</v>
      </c>
      <c r="H228">
        <f t="shared" si="17"/>
        <v>0.33774999999999999</v>
      </c>
      <c r="I228" s="5">
        <f t="shared" si="18"/>
        <v>1867</v>
      </c>
      <c r="J228">
        <f>+H228+CF*F228*(1+($I228-1850)*slope/1000)+F228*hQc*COS(2*PI()*$I228/qbo+$L228)+F228*hQs*SIN(2*PI()*$I228/qbo+$L228)+F228*hCs*SIN(2*PI()*$I228/cw)+F228*hCc*COS(2*PI()*$I228/cw) +mix*F228*(hQc*COS(2*PI()*$I228/qbo+$L228)+hQs*SIN(2*PI()*$I228/qbo+$L228))*(hCs*SIN(2*PI()*$I228/cw)+hCc*COS(2*PI()*$I228/cw))</f>
        <v>0.34599526459072855</v>
      </c>
      <c r="K228">
        <f>fQc*COS(2*PI()*$I228/qbo+$L228)+fQs*SIN(2*PI()*$I228/qbo+$L228)+fCs*SIN(2*PI()*$I228/cw)+fCc*COS(2*PI()*$I228/cw)</f>
        <v>-2.2372405339554544</v>
      </c>
      <c r="L228">
        <f>+QMA*COS(2*PI()*$I228/QM+QMP)</f>
        <v>-0.4289555514137654</v>
      </c>
      <c r="P228">
        <f t="shared" si="19"/>
        <v>0</v>
      </c>
    </row>
    <row r="229" spans="1:16" x14ac:dyDescent="0.25">
      <c r="A229" s="1"/>
      <c r="B229" t="s">
        <v>242</v>
      </c>
      <c r="C229" t="s">
        <v>24</v>
      </c>
      <c r="D229" s="3">
        <v>9.125</v>
      </c>
      <c r="E229" s="5">
        <f t="shared" si="15"/>
        <v>1868</v>
      </c>
      <c r="F229">
        <v>0.21243999999999999</v>
      </c>
      <c r="G229">
        <f t="shared" si="16"/>
        <v>1.2817400000000001</v>
      </c>
      <c r="H229">
        <f t="shared" si="17"/>
        <v>1.2817400000000001</v>
      </c>
      <c r="I229" s="5">
        <f t="shared" si="18"/>
        <v>1868</v>
      </c>
      <c r="J229">
        <f>+H229+CF*F229*(1+($I229-1850)*slope/1000)+F229*hQc*COS(2*PI()*$I229/qbo+$L229)+F229*hQs*SIN(2*PI()*$I229/qbo+$L229)+F229*hCs*SIN(2*PI()*$I229/cw)+F229*hCc*COS(2*PI()*$I229/cw) +mix*F229*(hQc*COS(2*PI()*$I229/qbo+$L229)+hQs*SIN(2*PI()*$I229/qbo+$L229))*(hCs*SIN(2*PI()*$I229/cw)+hCc*COS(2*PI()*$I229/cw))</f>
        <v>1.3262032250185927</v>
      </c>
      <c r="K229">
        <f>fQc*COS(2*PI()*$I229/qbo+$L229)+fQs*SIN(2*PI()*$I229/qbo+$L229)+fCs*SIN(2*PI()*$I229/cw)+fCc*COS(2*PI()*$I229/cw)</f>
        <v>0.92706123483736291</v>
      </c>
      <c r="L229">
        <f>+QMA*COS(2*PI()*$I229/QM+QMP)</f>
        <v>-0.37041359319027917</v>
      </c>
      <c r="P229">
        <f t="shared" si="19"/>
        <v>1</v>
      </c>
    </row>
    <row r="230" spans="1:16" x14ac:dyDescent="0.25">
      <c r="A230" s="1"/>
      <c r="B230" t="s">
        <v>243</v>
      </c>
      <c r="C230" t="s">
        <v>24</v>
      </c>
      <c r="D230" s="3">
        <v>9.1666666666666661</v>
      </c>
      <c r="E230" s="5">
        <f t="shared" si="15"/>
        <v>1869</v>
      </c>
      <c r="F230">
        <v>1.68716</v>
      </c>
      <c r="G230">
        <f t="shared" si="16"/>
        <v>-3.8360799999999999</v>
      </c>
      <c r="H230">
        <f t="shared" si="17"/>
        <v>-3.8360799999999999</v>
      </c>
      <c r="I230" s="5">
        <f t="shared" si="18"/>
        <v>1869</v>
      </c>
      <c r="J230">
        <f>+H230+CF*F230*(1+($I230-1850)*slope/1000)+F230*hQc*COS(2*PI()*$I230/qbo+$L230)+F230*hQs*SIN(2*PI()*$I230/qbo+$L230)+F230*hCs*SIN(2*PI()*$I230/cw)+F230*hCc*COS(2*PI()*$I230/cw) +mix*F230*(hQc*COS(2*PI()*$I230/qbo+$L230)+hQs*SIN(2*PI()*$I230/qbo+$L230))*(hCs*SIN(2*PI()*$I230/cw)+hCc*COS(2*PI()*$I230/cw))</f>
        <v>-4.690104129067274</v>
      </c>
      <c r="K230">
        <f>fQc*COS(2*PI()*$I230/qbo+$L230)+fQs*SIN(2*PI()*$I230/qbo+$L230)+fCs*SIN(2*PI()*$I230/cw)+fCc*COS(2*PI()*$I230/cw)</f>
        <v>2.7261295178252865</v>
      </c>
      <c r="L230">
        <f>+QMA*COS(2*PI()*$I230/QM+QMP)</f>
        <v>-0.30287924614527106</v>
      </c>
      <c r="P230">
        <f t="shared" si="19"/>
        <v>0</v>
      </c>
    </row>
    <row r="231" spans="1:16" x14ac:dyDescent="0.25">
      <c r="A231" s="1"/>
      <c r="B231" t="s">
        <v>244</v>
      </c>
      <c r="C231" t="s">
        <v>24</v>
      </c>
      <c r="D231" s="3">
        <v>9.2083333333333339</v>
      </c>
      <c r="E231" s="5">
        <f t="shared" si="15"/>
        <v>1870</v>
      </c>
      <c r="F231">
        <v>-0.67420000000000002</v>
      </c>
      <c r="G231">
        <f t="shared" si="16"/>
        <v>1.8069799999999998</v>
      </c>
      <c r="H231">
        <f t="shared" si="17"/>
        <v>1.8069799999999998</v>
      </c>
      <c r="I231" s="5">
        <f t="shared" si="18"/>
        <v>1870</v>
      </c>
      <c r="J231">
        <f>+H231+CF*F231*(1+($I231-1850)*slope/1000)+F231*hQc*COS(2*PI()*$I231/qbo+$L231)+F231*hQs*SIN(2*PI()*$I231/qbo+$L231)+F231*hCs*SIN(2*PI()*$I231/cw)+F231*hCc*COS(2*PI()*$I231/cw) +mix*F231*(hQc*COS(2*PI()*$I231/qbo+$L231)+hQs*SIN(2*PI()*$I231/qbo+$L231))*(hCs*SIN(2*PI()*$I231/cw)+hCc*COS(2*PI()*$I231/cw))</f>
        <v>-1.0620206309458258</v>
      </c>
      <c r="K231">
        <f>fQc*COS(2*PI()*$I231/qbo+$L231)+fQs*SIN(2*PI()*$I231/qbo+$L231)+fCs*SIN(2*PI()*$I231/cw)+fCc*COS(2*PI()*$I231/cw)</f>
        <v>3.8250877067161668</v>
      </c>
      <c r="L231">
        <f>+QMA*COS(2*PI()*$I231/QM+QMP)</f>
        <v>-0.22799201573593111</v>
      </c>
      <c r="P231">
        <f t="shared" si="19"/>
        <v>0</v>
      </c>
    </row>
    <row r="232" spans="1:16" x14ac:dyDescent="0.25">
      <c r="A232" s="1"/>
      <c r="B232" t="s">
        <v>245</v>
      </c>
      <c r="C232" t="s">
        <v>24</v>
      </c>
      <c r="D232" s="3">
        <v>9.25</v>
      </c>
      <c r="E232" s="5">
        <f t="shared" si="15"/>
        <v>1871</v>
      </c>
      <c r="F232">
        <v>-1.22858</v>
      </c>
      <c r="G232">
        <f t="shared" si="16"/>
        <v>0.84607999999999994</v>
      </c>
      <c r="H232">
        <f t="shared" si="17"/>
        <v>0.84607999999999994</v>
      </c>
      <c r="I232" s="5">
        <f t="shared" si="18"/>
        <v>1871</v>
      </c>
      <c r="J232">
        <f>+H232+CF*F232*(1+($I232-1850)*slope/1000)+F232*hQc*COS(2*PI()*$I232/qbo+$L232)+F232*hQs*SIN(2*PI()*$I232/qbo+$L232)+F232*hCs*SIN(2*PI()*$I232/cw)+F232*hCc*COS(2*PI()*$I232/cw) +mix*F232*(hQc*COS(2*PI()*$I232/qbo+$L232)+hQs*SIN(2*PI()*$I232/qbo+$L232))*(hCs*SIN(2*PI()*$I232/cw)+hCc*COS(2*PI()*$I232/cw))</f>
        <v>-0.2925097546789619</v>
      </c>
      <c r="K232">
        <f>fQc*COS(2*PI()*$I232/qbo+$L232)+fQs*SIN(2*PI()*$I232/qbo+$L232)+fCs*SIN(2*PI()*$I232/cw)+fCc*COS(2*PI()*$I232/cw)</f>
        <v>2.8450428965917829</v>
      </c>
      <c r="L232">
        <f>+QMA*COS(2*PI()*$I232/QM+QMP)</f>
        <v>-0.14756991055043545</v>
      </c>
      <c r="P232">
        <f t="shared" si="19"/>
        <v>0</v>
      </c>
    </row>
    <row r="233" spans="1:16" x14ac:dyDescent="0.25">
      <c r="A233" s="1"/>
      <c r="B233" t="s">
        <v>246</v>
      </c>
      <c r="C233" t="s">
        <v>24</v>
      </c>
      <c r="D233" s="3">
        <v>9.2916666666666661</v>
      </c>
      <c r="E233" s="5">
        <f t="shared" si="15"/>
        <v>1872</v>
      </c>
      <c r="F233">
        <v>-0.93688000000000005</v>
      </c>
      <c r="G233">
        <f t="shared" si="16"/>
        <v>-0.18365999999999993</v>
      </c>
      <c r="H233">
        <f t="shared" si="17"/>
        <v>-0.18365999999999993</v>
      </c>
      <c r="I233" s="5">
        <f t="shared" si="18"/>
        <v>1872</v>
      </c>
      <c r="J233">
        <f>+H233+CF*F233*(1+($I233-1850)*slope/1000)+F233*hQc*COS(2*PI()*$I233/qbo+$L233)+F233*hQs*SIN(2*PI()*$I233/qbo+$L233)+F233*hCs*SIN(2*PI()*$I233/cw)+F233*hCc*COS(2*PI()*$I233/cw) +mix*F233*(hQc*COS(2*PI()*$I233/qbo+$L233)+hQs*SIN(2*PI()*$I233/qbo+$L233))*(hCs*SIN(2*PI()*$I233/cw)+hCc*COS(2*PI()*$I233/cw))</f>
        <v>4.1950444384603953</v>
      </c>
      <c r="K233">
        <f>fQc*COS(2*PI()*$I233/qbo+$L233)+fQs*SIN(2*PI()*$I233/qbo+$L233)+fCs*SIN(2*PI()*$I233/cw)+fCc*COS(2*PI()*$I233/cw)</f>
        <v>0.30604822163183554</v>
      </c>
      <c r="L233">
        <f>+QMA*COS(2*PI()*$I233/QM+QMP)</f>
        <v>-6.3565307210362992E-2</v>
      </c>
      <c r="P233">
        <f t="shared" si="19"/>
        <v>1</v>
      </c>
    </row>
    <row r="234" spans="1:16" x14ac:dyDescent="0.25">
      <c r="A234" s="1"/>
      <c r="B234" t="s">
        <v>247</v>
      </c>
      <c r="C234" t="s">
        <v>24</v>
      </c>
      <c r="D234" s="3">
        <v>9.3333333333333339</v>
      </c>
      <c r="E234" s="5">
        <f t="shared" si="15"/>
        <v>1873</v>
      </c>
      <c r="F234">
        <v>-0.82884000000000002</v>
      </c>
      <c r="G234">
        <f t="shared" si="16"/>
        <v>0.55813000000000001</v>
      </c>
      <c r="H234">
        <f t="shared" si="17"/>
        <v>0.55813000000000001</v>
      </c>
      <c r="I234" s="5">
        <f t="shared" si="18"/>
        <v>1873</v>
      </c>
      <c r="J234">
        <f>+H234+CF*F234*(1+($I234-1850)*slope/1000)+F234*hQc*COS(2*PI()*$I234/qbo+$L234)+F234*hQs*SIN(2*PI()*$I234/qbo+$L234)+F234*hCs*SIN(2*PI()*$I234/cw)+F234*hCc*COS(2*PI()*$I234/cw) +mix*F234*(hQc*COS(2*PI()*$I234/qbo+$L234)+hQs*SIN(2*PI()*$I234/qbo+$L234))*(hCs*SIN(2*PI()*$I234/cw)+hCc*COS(2*PI()*$I234/cw))</f>
        <v>-5.9699672041233187</v>
      </c>
      <c r="K234">
        <f>fQc*COS(2*PI()*$I234/qbo+$L234)+fQs*SIN(2*PI()*$I234/qbo+$L234)+fCs*SIN(2*PI()*$I234/cw)+fCc*COS(2*PI()*$I234/cw)</f>
        <v>-1.8104264413868916</v>
      </c>
      <c r="L234">
        <f>+QMA*COS(2*PI()*$I234/QM+QMP)</f>
        <v>2.1982446728127689E-2</v>
      </c>
      <c r="P234">
        <f t="shared" si="19"/>
        <v>1</v>
      </c>
    </row>
    <row r="235" spans="1:16" x14ac:dyDescent="0.25">
      <c r="A235" s="1"/>
      <c r="B235" t="s">
        <v>248</v>
      </c>
      <c r="C235" t="s">
        <v>24</v>
      </c>
      <c r="D235" s="3">
        <v>9.375</v>
      </c>
      <c r="E235" s="5">
        <f t="shared" si="15"/>
        <v>1874</v>
      </c>
      <c r="F235">
        <v>-0.16267000000000001</v>
      </c>
      <c r="G235">
        <f t="shared" si="16"/>
        <v>-0.27478000000000002</v>
      </c>
      <c r="H235">
        <f t="shared" si="17"/>
        <v>-0.27478000000000002</v>
      </c>
      <c r="I235" s="5">
        <f t="shared" si="18"/>
        <v>1874</v>
      </c>
      <c r="J235">
        <f>+H235+CF*F235*(1+($I235-1850)*slope/1000)+F235*hQc*COS(2*PI()*$I235/qbo+$L235)+F235*hQs*SIN(2*PI()*$I235/qbo+$L235)+F235*hCs*SIN(2*PI()*$I235/cw)+F235*hCc*COS(2*PI()*$I235/cw) +mix*F235*(hQc*COS(2*PI()*$I235/qbo+$L235)+hQs*SIN(2*PI()*$I235/qbo+$L235))*(hCs*SIN(2*PI()*$I235/cw)+hCc*COS(2*PI()*$I235/cw))</f>
        <v>0.74052107616837892</v>
      </c>
      <c r="K235">
        <f>fQc*COS(2*PI()*$I235/qbo+$L235)+fQs*SIN(2*PI()*$I235/qbo+$L235)+fCs*SIN(2*PI()*$I235/cw)+fCc*COS(2*PI()*$I235/cw)</f>
        <v>-3.9287973384175925</v>
      </c>
      <c r="L235">
        <f>+QMA*COS(2*PI()*$I235/QM+QMP)</f>
        <v>0.10699654123329114</v>
      </c>
      <c r="P235">
        <f t="shared" si="19"/>
        <v>0</v>
      </c>
    </row>
    <row r="236" spans="1:16" x14ac:dyDescent="0.25">
      <c r="A236" s="1"/>
      <c r="B236" t="s">
        <v>249</v>
      </c>
      <c r="C236" t="s">
        <v>24</v>
      </c>
      <c r="D236" s="3">
        <v>9.4166666666666661</v>
      </c>
      <c r="E236" s="5">
        <f t="shared" si="15"/>
        <v>1875</v>
      </c>
      <c r="F236">
        <v>0.22872000000000001</v>
      </c>
      <c r="G236">
        <f t="shared" si="16"/>
        <v>-1.0702400000000001</v>
      </c>
      <c r="H236">
        <f t="shared" si="17"/>
        <v>-1.0702400000000001</v>
      </c>
      <c r="I236" s="5">
        <f t="shared" si="18"/>
        <v>1875</v>
      </c>
      <c r="J236">
        <f>+H236+CF*F236*(1+($I236-1850)*slope/1000)+F236*hQc*COS(2*PI()*$I236/qbo+$L236)+F236*hQs*SIN(2*PI()*$I236/qbo+$L236)+F236*hCs*SIN(2*PI()*$I236/cw)+F236*hCc*COS(2*PI()*$I236/cw) +mix*F236*(hQc*COS(2*PI()*$I236/qbo+$L236)+hQs*SIN(2*PI()*$I236/qbo+$L236))*(hCs*SIN(2*PI()*$I236/cw)+hCc*COS(2*PI()*$I236/cw))</f>
        <v>-0.86495669824428112</v>
      </c>
      <c r="K236">
        <f>fQc*COS(2*PI()*$I236/qbo+$L236)+fQs*SIN(2*PI()*$I236/qbo+$L236)+fCs*SIN(2*PI()*$I236/cw)+fCc*COS(2*PI()*$I236/cw)</f>
        <v>-3.0862448811502179</v>
      </c>
      <c r="L236">
        <f>+QMA*COS(2*PI()*$I236/QM+QMP)</f>
        <v>0.18941312171898433</v>
      </c>
      <c r="P236">
        <f t="shared" si="19"/>
        <v>1</v>
      </c>
    </row>
    <row r="237" spans="1:16" x14ac:dyDescent="0.25">
      <c r="A237" s="1"/>
      <c r="B237" t="s">
        <v>250</v>
      </c>
      <c r="C237" t="s">
        <v>24</v>
      </c>
      <c r="D237" s="3">
        <v>9.4583333333333339</v>
      </c>
      <c r="E237" s="5">
        <f t="shared" si="15"/>
        <v>1876</v>
      </c>
      <c r="F237">
        <v>-0.45012999999999997</v>
      </c>
      <c r="G237">
        <f t="shared" si="16"/>
        <v>2.2897299999999996</v>
      </c>
      <c r="H237">
        <f t="shared" si="17"/>
        <v>2.2897299999999996</v>
      </c>
      <c r="I237" s="5">
        <f t="shared" si="18"/>
        <v>1876</v>
      </c>
      <c r="J237">
        <f>+H237+CF*F237*(1+($I237-1850)*slope/1000)+F237*hQc*COS(2*PI()*$I237/qbo+$L237)+F237*hQs*SIN(2*PI()*$I237/qbo+$L237)+F237*hCs*SIN(2*PI()*$I237/cw)+F237*hCc*COS(2*PI()*$I237/cw) +mix*F237*(hQc*COS(2*PI()*$I237/qbo+$L237)+hQs*SIN(2*PI()*$I237/qbo+$L237))*(hCs*SIN(2*PI()*$I237/cw)+hCc*COS(2*PI()*$I237/cw))</f>
        <v>1.3637151409431709</v>
      </c>
      <c r="K237">
        <f>fQc*COS(2*PI()*$I237/qbo+$L237)+fQs*SIN(2*PI()*$I237/qbo+$L237)+fCs*SIN(2*PI()*$I237/cw)+fCc*COS(2*PI()*$I237/cw)</f>
        <v>-1.853871519324338</v>
      </c>
      <c r="L237">
        <f>+QMA*COS(2*PI()*$I237/QM+QMP)</f>
        <v>0.26723139245116168</v>
      </c>
      <c r="P237">
        <f t="shared" si="19"/>
        <v>0</v>
      </c>
    </row>
    <row r="238" spans="1:16" x14ac:dyDescent="0.25">
      <c r="A238" s="1"/>
      <c r="B238" t="s">
        <v>251</v>
      </c>
      <c r="C238" t="s">
        <v>24</v>
      </c>
      <c r="D238" s="3">
        <v>9.5</v>
      </c>
      <c r="E238" s="5">
        <f t="shared" si="15"/>
        <v>1877</v>
      </c>
      <c r="F238">
        <v>1.1607499999999999</v>
      </c>
      <c r="G238">
        <f t="shared" si="16"/>
        <v>-1.5945399999999998</v>
      </c>
      <c r="H238">
        <f t="shared" si="17"/>
        <v>-1.5945399999999998</v>
      </c>
      <c r="I238" s="5">
        <f t="shared" si="18"/>
        <v>1877</v>
      </c>
      <c r="J238">
        <f>+H238+CF*F238*(1+($I238-1850)*slope/1000)+F238*hQc*COS(2*PI()*$I238/qbo+$L238)+F238*hQs*SIN(2*PI()*$I238/qbo+$L238)+F238*hCs*SIN(2*PI()*$I238/cw)+F238*hCc*COS(2*PI()*$I238/cw) +mix*F238*(hQc*COS(2*PI()*$I238/qbo+$L238)+hQs*SIN(2*PI()*$I238/qbo+$L238))*(hCs*SIN(2*PI()*$I238/cw)+hCc*COS(2*PI()*$I238/cw))</f>
        <v>-1.46930931293261</v>
      </c>
      <c r="K238">
        <f>fQc*COS(2*PI()*$I238/qbo+$L238)+fQs*SIN(2*PI()*$I238/qbo+$L238)+fCs*SIN(2*PI()*$I238/cw)+fCc*COS(2*PI()*$I238/cw)</f>
        <v>1.2584951349525499</v>
      </c>
      <c r="L238">
        <f>+QMA*COS(2*PI()*$I238/QM+QMP)</f>
        <v>0.3385621890992358</v>
      </c>
      <c r="P238">
        <f t="shared" si="19"/>
        <v>0</v>
      </c>
    </row>
    <row r="239" spans="1:16" x14ac:dyDescent="0.25">
      <c r="A239" s="1"/>
      <c r="B239" t="s">
        <v>252</v>
      </c>
      <c r="C239" t="s">
        <v>24</v>
      </c>
      <c r="D239" s="3">
        <v>9.5416666666666661</v>
      </c>
      <c r="E239" s="5">
        <f t="shared" si="15"/>
        <v>1878</v>
      </c>
      <c r="F239">
        <v>1.17709</v>
      </c>
      <c r="G239">
        <f t="shared" si="16"/>
        <v>-2.12297</v>
      </c>
      <c r="H239">
        <f t="shared" si="17"/>
        <v>-2.12297</v>
      </c>
      <c r="I239" s="5">
        <f t="shared" si="18"/>
        <v>1878</v>
      </c>
      <c r="J239">
        <f>+H239+CF*F239*(1+($I239-1850)*slope/1000)+F239*hQc*COS(2*PI()*$I239/qbo+$L239)+F239*hQs*SIN(2*PI()*$I239/qbo+$L239)+F239*hCs*SIN(2*PI()*$I239/cw)+F239*hCc*COS(2*PI()*$I239/cw) +mix*F239*(hQc*COS(2*PI()*$I239/qbo+$L239)+hQs*SIN(2*PI()*$I239/qbo+$L239))*(hCs*SIN(2*PI()*$I239/cw)+hCc*COS(2*PI()*$I239/cw))</f>
        <v>-3.8379755134514522</v>
      </c>
      <c r="K239">
        <f>fQc*COS(2*PI()*$I239/qbo+$L239)+fQs*SIN(2*PI()*$I239/qbo+$L239)+fCs*SIN(2*PI()*$I239/cw)+fCc*COS(2*PI()*$I239/cw)</f>
        <v>3.0415108881043671</v>
      </c>
      <c r="L239">
        <f>+QMA*COS(2*PI()*$I239/QM+QMP)</f>
        <v>0.40167384125420996</v>
      </c>
      <c r="P239">
        <f t="shared" si="19"/>
        <v>0</v>
      </c>
    </row>
    <row r="240" spans="1:16" x14ac:dyDescent="0.25">
      <c r="A240" s="1"/>
      <c r="B240" t="s">
        <v>253</v>
      </c>
      <c r="C240" t="s">
        <v>24</v>
      </c>
      <c r="D240" s="3">
        <v>9.5833333333333339</v>
      </c>
      <c r="E240" s="5">
        <f t="shared" si="15"/>
        <v>1879</v>
      </c>
      <c r="F240">
        <v>-0.92954000000000003</v>
      </c>
      <c r="G240">
        <f t="shared" si="16"/>
        <v>1.21221</v>
      </c>
      <c r="H240">
        <f t="shared" si="17"/>
        <v>1.21221</v>
      </c>
      <c r="I240" s="5">
        <f t="shared" si="18"/>
        <v>1879</v>
      </c>
      <c r="J240">
        <f>+H240+CF*F240*(1+($I240-1850)*slope/1000)+F240*hQc*COS(2*PI()*$I240/qbo+$L240)+F240*hQs*SIN(2*PI()*$I240/qbo+$L240)+F240*hCs*SIN(2*PI()*$I240/cw)+F240*hCc*COS(2*PI()*$I240/cw) +mix*F240*(hQc*COS(2*PI()*$I240/qbo+$L240)+hQs*SIN(2*PI()*$I240/qbo+$L240))*(hCs*SIN(2*PI()*$I240/cw)+hCc*COS(2*PI()*$I240/cw))</f>
        <v>-2.4642541613611035</v>
      </c>
      <c r="K240">
        <f>fQc*COS(2*PI()*$I240/qbo+$L240)+fQs*SIN(2*PI()*$I240/qbo+$L240)+fCs*SIN(2*PI()*$I240/cw)+fCc*COS(2*PI()*$I240/cw)</f>
        <v>3.6990987559185462</v>
      </c>
      <c r="L240">
        <f>+QMA*COS(2*PI()*$I240/QM+QMP)</f>
        <v>0.45503421152754098</v>
      </c>
      <c r="P240">
        <f t="shared" si="19"/>
        <v>0</v>
      </c>
    </row>
    <row r="241" spans="1:16" x14ac:dyDescent="0.25">
      <c r="A241" s="1"/>
      <c r="B241" t="s">
        <v>254</v>
      </c>
      <c r="C241" t="s">
        <v>24</v>
      </c>
      <c r="D241" s="3">
        <v>9.625</v>
      </c>
      <c r="E241" s="5">
        <f t="shared" si="15"/>
        <v>1880</v>
      </c>
      <c r="F241">
        <v>-1.82396</v>
      </c>
      <c r="G241">
        <f t="shared" si="16"/>
        <v>3.1040900000000002</v>
      </c>
      <c r="H241">
        <f t="shared" si="17"/>
        <v>3.1040900000000002</v>
      </c>
      <c r="I241" s="5">
        <f t="shared" si="18"/>
        <v>1880</v>
      </c>
      <c r="J241">
        <f>+H241+CF*F241*(1+($I241-1850)*slope/1000)+F241*hQc*COS(2*PI()*$I241/qbo+$L241)+F241*hQs*SIN(2*PI()*$I241/qbo+$L241)+F241*hCs*SIN(2*PI()*$I241/cw)+F241*hCc*COS(2*PI()*$I241/cw) +mix*F241*(hQc*COS(2*PI()*$I241/qbo+$L241)+hQs*SIN(2*PI()*$I241/qbo+$L241))*(hCs*SIN(2*PI()*$I241/cw)+hCc*COS(2*PI()*$I241/cw))</f>
        <v>0.74862277995266968</v>
      </c>
      <c r="K241">
        <f>fQc*COS(2*PI()*$I241/qbo+$L241)+fQs*SIN(2*PI()*$I241/qbo+$L241)+fCs*SIN(2*PI()*$I241/cw)+fCc*COS(2*PI()*$I241/cw)</f>
        <v>2.6639166574097897</v>
      </c>
      <c r="L241">
        <f>+QMA*COS(2*PI()*$I241/QM+QMP)</f>
        <v>0.49734789066329405</v>
      </c>
      <c r="P241">
        <f t="shared" si="19"/>
        <v>1</v>
      </c>
    </row>
    <row r="242" spans="1:16" x14ac:dyDescent="0.25">
      <c r="A242" s="1"/>
      <c r="B242" t="s">
        <v>255</v>
      </c>
      <c r="C242" t="s">
        <v>24</v>
      </c>
      <c r="D242" s="3">
        <v>9.6666666666666661</v>
      </c>
      <c r="E242" s="5">
        <f t="shared" si="15"/>
        <v>1881</v>
      </c>
      <c r="F242">
        <v>0.38571</v>
      </c>
      <c r="G242">
        <f t="shared" si="16"/>
        <v>-2.3247300000000002</v>
      </c>
      <c r="H242">
        <f t="shared" si="17"/>
        <v>-2.3247300000000002</v>
      </c>
      <c r="I242" s="5">
        <f t="shared" si="18"/>
        <v>1881</v>
      </c>
      <c r="J242">
        <f>+H242+CF*F242*(1+($I242-1850)*slope/1000)+F242*hQc*COS(2*PI()*$I242/qbo+$L242)+F242*hQs*SIN(2*PI()*$I242/qbo+$L242)+F242*hCs*SIN(2*PI()*$I242/cw)+F242*hCc*COS(2*PI()*$I242/cw) +mix*F242*(hQc*COS(2*PI()*$I242/qbo+$L242)+hQs*SIN(2*PI()*$I242/qbo+$L242))*(hCs*SIN(2*PI()*$I242/cw)+hCc*COS(2*PI()*$I242/cw))</f>
        <v>-4.0914810053465569</v>
      </c>
      <c r="K242">
        <f>fQc*COS(2*PI()*$I242/qbo+$L242)+fQs*SIN(2*PI()*$I242/qbo+$L242)+fCs*SIN(2*PI()*$I242/cw)+fCc*COS(2*PI()*$I242/cw)</f>
        <v>-0.18498574329394701</v>
      </c>
      <c r="L242">
        <f>+QMA*COS(2*PI()*$I242/QM+QMP)</f>
        <v>0.52758764569199934</v>
      </c>
      <c r="P242">
        <f t="shared" si="19"/>
        <v>1</v>
      </c>
    </row>
    <row r="243" spans="1:16" x14ac:dyDescent="0.25">
      <c r="A243" s="1"/>
      <c r="B243" t="s">
        <v>256</v>
      </c>
      <c r="C243" t="s">
        <v>24</v>
      </c>
      <c r="D243" s="3">
        <v>9.7083333333333339</v>
      </c>
      <c r="E243" s="5">
        <f t="shared" si="15"/>
        <v>1882</v>
      </c>
      <c r="F243">
        <v>0.27065</v>
      </c>
      <c r="G243">
        <f t="shared" si="16"/>
        <v>-0.93714000000000008</v>
      </c>
      <c r="H243">
        <f t="shared" si="17"/>
        <v>-0.93714000000000008</v>
      </c>
      <c r="I243" s="5">
        <f t="shared" si="18"/>
        <v>1882</v>
      </c>
      <c r="J243">
        <f>+H243+CF*F243*(1+($I243-1850)*slope/1000)+F243*hQc*COS(2*PI()*$I243/qbo+$L243)+F243*hQs*SIN(2*PI()*$I243/qbo+$L243)+F243*hCs*SIN(2*PI()*$I243/cw)+F243*hCc*COS(2*PI()*$I243/cw) +mix*F243*(hQc*COS(2*PI()*$I243/qbo+$L243)+hQs*SIN(2*PI()*$I243/qbo+$L243))*(hCs*SIN(2*PI()*$I243/cw)+hCc*COS(2*PI()*$I243/cw))</f>
        <v>0.11672797649560329</v>
      </c>
      <c r="K243">
        <f>fQc*COS(2*PI()*$I243/qbo+$L243)+fQs*SIN(2*PI()*$I243/qbo+$L243)+fCs*SIN(2*PI()*$I243/cw)+fCc*COS(2*PI()*$I243/cw)</f>
        <v>-2.0701647545316906</v>
      </c>
      <c r="L243">
        <f>+QMA*COS(2*PI()*$I243/QM+QMP)</f>
        <v>0.54501935767178822</v>
      </c>
      <c r="P243">
        <f t="shared" si="19"/>
        <v>0</v>
      </c>
    </row>
    <row r="244" spans="1:16" x14ac:dyDescent="0.25">
      <c r="A244" s="1"/>
      <c r="B244" t="s">
        <v>257</v>
      </c>
      <c r="C244" t="s">
        <v>24</v>
      </c>
      <c r="D244" s="3">
        <v>9.75</v>
      </c>
      <c r="E244" s="5">
        <f t="shared" si="15"/>
        <v>1883</v>
      </c>
      <c r="F244">
        <v>-0.78154999999999997</v>
      </c>
      <c r="G244">
        <f t="shared" si="16"/>
        <v>2.1461699999999997</v>
      </c>
      <c r="H244">
        <f t="shared" si="17"/>
        <v>2.1461699999999997</v>
      </c>
      <c r="I244" s="5">
        <f t="shared" si="18"/>
        <v>1883</v>
      </c>
      <c r="J244">
        <f>+H244+CF*F244*(1+($I244-1850)*slope/1000)+F244*hQc*COS(2*PI()*$I244/qbo+$L244)+F244*hQs*SIN(2*PI()*$I244/qbo+$L244)+F244*hCs*SIN(2*PI()*$I244/cw)+F244*hCc*COS(2*PI()*$I244/cw) +mix*F244*(hQc*COS(2*PI()*$I244/qbo+$L244)+hQs*SIN(2*PI()*$I244/qbo+$L244))*(hCs*SIN(2*PI()*$I244/cw)+hCc*COS(2*PI()*$I244/cw))</f>
        <v>1.9914658389287681</v>
      </c>
      <c r="K244">
        <f>fQc*COS(2*PI()*$I244/qbo+$L244)+fQs*SIN(2*PI()*$I244/qbo+$L244)+fCs*SIN(2*PI()*$I244/cw)+fCc*COS(2*PI()*$I244/cw)</f>
        <v>-4.0208668441561599</v>
      </c>
      <c r="L244">
        <f>+QMA*COS(2*PI()*$I244/QM+QMP)</f>
        <v>0.54921984361255616</v>
      </c>
      <c r="P244">
        <f t="shared" si="19"/>
        <v>0</v>
      </c>
    </row>
    <row r="245" spans="1:16" x14ac:dyDescent="0.25">
      <c r="A245" s="1"/>
      <c r="B245" t="s">
        <v>258</v>
      </c>
      <c r="C245" t="s">
        <v>24</v>
      </c>
      <c r="D245" s="3">
        <v>9.7916666666666661</v>
      </c>
      <c r="E245" s="5">
        <f t="shared" si="15"/>
        <v>1884</v>
      </c>
      <c r="F245">
        <v>0.31241999999999998</v>
      </c>
      <c r="G245">
        <f t="shared" si="16"/>
        <v>0.26290000000000013</v>
      </c>
      <c r="H245">
        <f t="shared" si="17"/>
        <v>0.26290000000000013</v>
      </c>
      <c r="I245" s="5">
        <f t="shared" si="18"/>
        <v>1884</v>
      </c>
      <c r="J245">
        <f>+H245+CF*F245*(1+($I245-1850)*slope/1000)+F245*hQc*COS(2*PI()*$I245/qbo+$L245)+F245*hQs*SIN(2*PI()*$I245/qbo+$L245)+F245*hCs*SIN(2*PI()*$I245/cw)+F245*hCc*COS(2*PI()*$I245/cw) +mix*F245*(hQc*COS(2*PI()*$I245/qbo+$L245)+hQs*SIN(2*PI()*$I245/qbo+$L245))*(hCs*SIN(2*PI()*$I245/cw)+hCc*COS(2*PI()*$I245/cw))</f>
        <v>-1.5769160764135806</v>
      </c>
      <c r="K245">
        <f>fQc*COS(2*PI()*$I245/qbo+$L245)+fQs*SIN(2*PI()*$I245/qbo+$L245)+fCs*SIN(2*PI()*$I245/cw)+fCc*COS(2*PI()*$I245/cw)</f>
        <v>-2.9787244839777323</v>
      </c>
      <c r="L245">
        <f>+QMA*COS(2*PI()*$I245/QM+QMP)</f>
        <v>0.54008712992716934</v>
      </c>
      <c r="P245">
        <f t="shared" si="19"/>
        <v>1</v>
      </c>
    </row>
    <row r="246" spans="1:16" x14ac:dyDescent="0.25">
      <c r="A246" s="1"/>
      <c r="B246" t="s">
        <v>259</v>
      </c>
      <c r="C246" t="s">
        <v>24</v>
      </c>
      <c r="D246" s="3">
        <v>9.8333333333333339</v>
      </c>
      <c r="E246" s="5">
        <f t="shared" si="15"/>
        <v>1885</v>
      </c>
      <c r="F246">
        <v>1.6692899999999999</v>
      </c>
      <c r="G246">
        <f t="shared" si="16"/>
        <v>-3.0097399999999999</v>
      </c>
      <c r="H246">
        <f t="shared" si="17"/>
        <v>-3.0097399999999999</v>
      </c>
      <c r="I246" s="5">
        <f t="shared" si="18"/>
        <v>1885</v>
      </c>
      <c r="J246">
        <f>+H246+CF*F246*(1+($I246-1850)*slope/1000)+F246*hQc*COS(2*PI()*$I246/qbo+$L246)+F246*hQs*SIN(2*PI()*$I246/qbo+$L246)+F246*hCs*SIN(2*PI()*$I246/cw)+F246*hCc*COS(2*PI()*$I246/cw) +mix*F246*(hQc*COS(2*PI()*$I246/qbo+$L246)+hQs*SIN(2*PI()*$I246/qbo+$L246))*(hCs*SIN(2*PI()*$I246/cw)+hCc*COS(2*PI()*$I246/cw))</f>
        <v>5.1695382427980432</v>
      </c>
      <c r="K246">
        <f>fQc*COS(2*PI()*$I246/qbo+$L246)+fQs*SIN(2*PI()*$I246/qbo+$L246)+fCs*SIN(2*PI()*$I246/cw)+fCc*COS(2*PI()*$I246/cw)</f>
        <v>-1.3107816470073499</v>
      </c>
      <c r="L246">
        <f>+QMA*COS(2*PI()*$I246/QM+QMP)</f>
        <v>0.51784292800518428</v>
      </c>
      <c r="P246">
        <f t="shared" si="19"/>
        <v>0</v>
      </c>
    </row>
    <row r="247" spans="1:16" x14ac:dyDescent="0.25">
      <c r="A247" s="1"/>
      <c r="B247" t="s">
        <v>260</v>
      </c>
      <c r="C247" t="s">
        <v>24</v>
      </c>
      <c r="D247" s="3">
        <v>9.875</v>
      </c>
      <c r="E247" s="5">
        <f t="shared" si="15"/>
        <v>1886</v>
      </c>
      <c r="F247">
        <v>1.6420000000000001E-2</v>
      </c>
      <c r="G247">
        <f t="shared" si="16"/>
        <v>-0.11202000000000023</v>
      </c>
      <c r="H247">
        <f t="shared" si="17"/>
        <v>-0.11202000000000023</v>
      </c>
      <c r="I247" s="5">
        <f t="shared" si="18"/>
        <v>1886</v>
      </c>
      <c r="J247">
        <f>+H247+CF*F247*(1+($I247-1850)*slope/1000)+F247*hQc*COS(2*PI()*$I247/qbo+$L247)+F247*hQs*SIN(2*PI()*$I247/qbo+$L247)+F247*hCs*SIN(2*PI()*$I247/cw)+F247*hCc*COS(2*PI()*$I247/cw) +mix*F247*(hQc*COS(2*PI()*$I247/qbo+$L247)+hQs*SIN(2*PI()*$I247/qbo+$L247))*(hCs*SIN(2*PI()*$I247/cw)+hCc*COS(2*PI()*$I247/cw))</f>
        <v>-0.10716825372369682</v>
      </c>
      <c r="K247">
        <f>fQc*COS(2*PI()*$I247/qbo+$L247)+fQs*SIN(2*PI()*$I247/qbo+$L247)+fCs*SIN(2*PI()*$I247/cw)+fCc*COS(2*PI()*$I247/cw)</f>
        <v>1.3830702436337279</v>
      </c>
      <c r="L247">
        <f>+QMA*COS(2*PI()*$I247/QM+QMP)</f>
        <v>0.4830272518103913</v>
      </c>
      <c r="P247">
        <f t="shared" si="19"/>
        <v>0</v>
      </c>
    </row>
    <row r="248" spans="1:16" x14ac:dyDescent="0.25">
      <c r="A248" s="1"/>
      <c r="B248" t="s">
        <v>261</v>
      </c>
      <c r="C248" t="s">
        <v>24</v>
      </c>
      <c r="D248" s="3">
        <v>9.9166666666666661</v>
      </c>
      <c r="E248" s="5">
        <f t="shared" si="15"/>
        <v>1887</v>
      </c>
      <c r="F248">
        <v>-1.74847</v>
      </c>
      <c r="G248">
        <f t="shared" si="16"/>
        <v>4.7467000000000006</v>
      </c>
      <c r="H248">
        <f t="shared" si="17"/>
        <v>4.7467000000000006</v>
      </c>
      <c r="I248" s="5">
        <f t="shared" si="18"/>
        <v>1887</v>
      </c>
      <c r="J248">
        <f>+H248+CF*F248*(1+($I248-1850)*slope/1000)+F248*hQc*COS(2*PI()*$I248/qbo+$L248)+F248*hQs*SIN(2*PI()*$I248/qbo+$L248)+F248*hCs*SIN(2*PI()*$I248/cw)+F248*hCc*COS(2*PI()*$I248/cw) +mix*F248*(hQc*COS(2*PI()*$I248/qbo+$L248)+hQs*SIN(2*PI()*$I248/qbo+$L248))*(hCs*SIN(2*PI()*$I248/cw)+hCc*COS(2*PI()*$I248/cw))</f>
        <v>8.3228292860523396</v>
      </c>
      <c r="K248">
        <f>fQc*COS(2*PI()*$I248/qbo+$L248)+fQs*SIN(2*PI()*$I248/qbo+$L248)+fCs*SIN(2*PI()*$I248/cw)+fCc*COS(2*PI()*$I248/cw)</f>
        <v>3.5355864657568805</v>
      </c>
      <c r="L248">
        <f>+QMA*COS(2*PI()*$I248/QM+QMP)</f>
        <v>0.43648530816886771</v>
      </c>
      <c r="P248">
        <f t="shared" si="19"/>
        <v>1</v>
      </c>
    </row>
    <row r="249" spans="1:16" x14ac:dyDescent="0.25">
      <c r="A249" s="1"/>
      <c r="B249" t="s">
        <v>262</v>
      </c>
      <c r="C249" t="s">
        <v>24</v>
      </c>
      <c r="D249" s="3">
        <v>9.9583333333333339</v>
      </c>
      <c r="E249" s="5">
        <f t="shared" si="15"/>
        <v>1888</v>
      </c>
      <c r="F249">
        <v>1.2333400000000001</v>
      </c>
      <c r="G249">
        <f t="shared" si="16"/>
        <v>-2.8604800000000004</v>
      </c>
      <c r="H249">
        <f t="shared" si="17"/>
        <v>-2.8604800000000004</v>
      </c>
      <c r="I249" s="5">
        <f t="shared" si="18"/>
        <v>1888</v>
      </c>
      <c r="J249">
        <f>+H249+CF*F249*(1+($I249-1850)*slope/1000)+F249*hQc*COS(2*PI()*$I249/qbo+$L249)+F249*hQs*SIN(2*PI()*$I249/qbo+$L249)+F249*hCs*SIN(2*PI()*$I249/cw)+F249*hCc*COS(2*PI()*$I249/cw) +mix*F249*(hQc*COS(2*PI()*$I249/qbo+$L249)+hQs*SIN(2*PI()*$I249/qbo+$L249))*(hCs*SIN(2*PI()*$I249/cw)+hCc*COS(2*PI()*$I249/cw))</f>
        <v>-8.5122746726814746E-2</v>
      </c>
      <c r="K249">
        <f>fQc*COS(2*PI()*$I249/qbo+$L249)+fQs*SIN(2*PI()*$I249/qbo+$L249)+fCs*SIN(2*PI()*$I249/cw)+fCc*COS(2*PI()*$I249/cw)</f>
        <v>3.3565883974359472</v>
      </c>
      <c r="L249">
        <f>+QMA*COS(2*PI()*$I249/QM+QMP)</f>
        <v>0.37934697800673145</v>
      </c>
      <c r="P249">
        <f t="shared" si="19"/>
        <v>0</v>
      </c>
    </row>
    <row r="250" spans="1:16" x14ac:dyDescent="0.25">
      <c r="A250" s="1"/>
      <c r="B250" t="s">
        <v>263</v>
      </c>
      <c r="C250" t="s">
        <v>24</v>
      </c>
      <c r="D250" s="3">
        <v>10</v>
      </c>
      <c r="E250" s="5">
        <f t="shared" si="15"/>
        <v>1889</v>
      </c>
      <c r="F250">
        <v>1.35467</v>
      </c>
      <c r="G250">
        <f t="shared" si="16"/>
        <v>-2.9236499999999999</v>
      </c>
      <c r="H250">
        <f t="shared" si="17"/>
        <v>-2.9236499999999999</v>
      </c>
      <c r="I250" s="5">
        <f t="shared" si="18"/>
        <v>1889</v>
      </c>
      <c r="J250">
        <f>+H250+CF*F250*(1+($I250-1850)*slope/1000)+F250*hQc*COS(2*PI()*$I250/qbo+$L250)+F250*hQs*SIN(2*PI()*$I250/qbo+$L250)+F250*hCs*SIN(2*PI()*$I250/cw)+F250*hCc*COS(2*PI()*$I250/cw) +mix*F250*(hQc*COS(2*PI()*$I250/qbo+$L250)+hQs*SIN(2*PI()*$I250/qbo+$L250))*(hCs*SIN(2*PI()*$I250/cw)+hCc*COS(2*PI()*$I250/cw))</f>
        <v>-2.3131661487873454</v>
      </c>
      <c r="K250">
        <f>fQc*COS(2*PI()*$I250/qbo+$L250)+fQs*SIN(2*PI()*$I250/qbo+$L250)+fCs*SIN(2*PI()*$I250/cw)+fCc*COS(2*PI()*$I250/cw)</f>
        <v>2.5225370860681311</v>
      </c>
      <c r="L250">
        <f>+QMA*COS(2*PI()*$I250/QM+QMP)</f>
        <v>0.31299938666409077</v>
      </c>
      <c r="P250">
        <f t="shared" si="19"/>
        <v>0</v>
      </c>
    </row>
    <row r="251" spans="1:16" x14ac:dyDescent="0.25">
      <c r="A251" s="1"/>
      <c r="B251" t="s">
        <v>264</v>
      </c>
      <c r="C251" t="s">
        <v>24</v>
      </c>
      <c r="D251" s="3">
        <v>10.041666666666666</v>
      </c>
      <c r="E251" s="5">
        <f t="shared" si="15"/>
        <v>1890</v>
      </c>
      <c r="F251">
        <v>-1.4476500000000001</v>
      </c>
      <c r="G251">
        <f t="shared" si="16"/>
        <v>4.2313499999999999</v>
      </c>
      <c r="H251">
        <f t="shared" si="17"/>
        <v>4.2313499999999999</v>
      </c>
      <c r="I251" s="5">
        <f t="shared" si="18"/>
        <v>1890</v>
      </c>
      <c r="J251">
        <f>+H251+CF*F251*(1+($I251-1850)*slope/1000)+F251*hQc*COS(2*PI()*$I251/qbo+$L251)+F251*hQs*SIN(2*PI()*$I251/qbo+$L251)+F251*hCs*SIN(2*PI()*$I251/cw)+F251*hCc*COS(2*PI()*$I251/cw) +mix*F251*(hQc*COS(2*PI()*$I251/qbo+$L251)+hQs*SIN(2*PI()*$I251/qbo+$L251))*(hCs*SIN(2*PI()*$I251/cw)+hCc*COS(2*PI()*$I251/cw))</f>
        <v>0.26614931681605292</v>
      </c>
      <c r="K251">
        <f>fQc*COS(2*PI()*$I251/qbo+$L251)+fQs*SIN(2*PI()*$I251/qbo+$L251)+fCs*SIN(2*PI()*$I251/cw)+fCc*COS(2*PI()*$I251/cw)</f>
        <v>-0.58926238520740726</v>
      </c>
      <c r="L251">
        <f>+QMA*COS(2*PI()*$I251/QM+QMP)</f>
        <v>0.23905322918481547</v>
      </c>
      <c r="P251">
        <f t="shared" si="19"/>
        <v>0</v>
      </c>
    </row>
    <row r="252" spans="1:16" x14ac:dyDescent="0.25">
      <c r="A252" s="1"/>
      <c r="B252" t="s">
        <v>265</v>
      </c>
      <c r="C252" t="s">
        <v>24</v>
      </c>
      <c r="D252" s="3">
        <v>10.083333333333334</v>
      </c>
      <c r="E252" s="5">
        <f t="shared" si="15"/>
        <v>1891</v>
      </c>
      <c r="F252">
        <v>-1.8620000000000001E-2</v>
      </c>
      <c r="G252">
        <f t="shared" si="16"/>
        <v>-1.7558</v>
      </c>
      <c r="H252">
        <f t="shared" si="17"/>
        <v>-1.7558</v>
      </c>
      <c r="I252" s="5">
        <f t="shared" si="18"/>
        <v>1891</v>
      </c>
      <c r="J252">
        <f>+H252+CF*F252*(1+($I252-1850)*slope/1000)+F252*hQc*COS(2*PI()*$I252/qbo+$L252)+F252*hQs*SIN(2*PI()*$I252/qbo+$L252)+F252*hCs*SIN(2*PI()*$I252/cw)+F252*hCc*COS(2*PI()*$I252/cw) +mix*F252*(hQc*COS(2*PI()*$I252/qbo+$L252)+hQs*SIN(2*PI()*$I252/qbo+$L252))*(hCs*SIN(2*PI()*$I252/cw)+hCc*COS(2*PI()*$I252/cw))</f>
        <v>-1.5625998862664436</v>
      </c>
      <c r="K252">
        <f>fQc*COS(2*PI()*$I252/qbo+$L252)+fQs*SIN(2*PI()*$I252/qbo+$L252)+fCs*SIN(2*PI()*$I252/cw)+fCc*COS(2*PI()*$I252/cw)</f>
        <v>-2.5528361484104094</v>
      </c>
      <c r="L252">
        <f>+QMA*COS(2*PI()*$I252/QM+QMP)</f>
        <v>0.15930366809024474</v>
      </c>
      <c r="P252">
        <f t="shared" si="19"/>
        <v>1</v>
      </c>
    </row>
    <row r="253" spans="1:16" x14ac:dyDescent="0.25">
      <c r="A253" s="1"/>
      <c r="B253" t="s">
        <v>266</v>
      </c>
      <c r="C253" t="s">
        <v>24</v>
      </c>
      <c r="D253" s="3">
        <v>10.125</v>
      </c>
      <c r="E253" s="5">
        <f t="shared" si="15"/>
        <v>1892</v>
      </c>
      <c r="F253">
        <v>-0.34538999999999997</v>
      </c>
      <c r="G253">
        <f t="shared" si="16"/>
        <v>-1.5630200000000001</v>
      </c>
      <c r="H253">
        <f t="shared" si="17"/>
        <v>-1.5630200000000001</v>
      </c>
      <c r="I253" s="5">
        <f t="shared" si="18"/>
        <v>1892</v>
      </c>
      <c r="J253">
        <f>+H253+CF*F253*(1+($I253-1850)*slope/1000)+F253*hQc*COS(2*PI()*$I253/qbo+$L253)+F253*hQs*SIN(2*PI()*$I253/qbo+$L253)+F253*hCs*SIN(2*PI()*$I253/cw)+F253*hCc*COS(2*PI()*$I253/cw) +mix*F253*(hQc*COS(2*PI()*$I253/qbo+$L253)+hQs*SIN(2*PI()*$I253/qbo+$L253))*(hCs*SIN(2*PI()*$I253/cw)+hCc*COS(2*PI()*$I253/cw))</f>
        <v>-5.7333119736836231</v>
      </c>
      <c r="K253">
        <f>fQc*COS(2*PI()*$I253/qbo+$L253)+fQs*SIN(2*PI()*$I253/qbo+$L253)+fCs*SIN(2*PI()*$I253/cw)+fCc*COS(2*PI()*$I253/cw)</f>
        <v>-3.7092878111809751</v>
      </c>
      <c r="L253">
        <f>+QMA*COS(2*PI()*$I253/QM+QMP)</f>
        <v>7.5686752906907739E-2</v>
      </c>
      <c r="P253">
        <f t="shared" si="19"/>
        <v>1</v>
      </c>
    </row>
    <row r="254" spans="1:16" x14ac:dyDescent="0.25">
      <c r="A254" s="1"/>
      <c r="B254" t="s">
        <v>267</v>
      </c>
      <c r="C254" t="s">
        <v>24</v>
      </c>
      <c r="D254" s="3">
        <v>10.166666666666666</v>
      </c>
      <c r="E254" s="5">
        <f t="shared" si="15"/>
        <v>1893</v>
      </c>
      <c r="F254">
        <v>-2.2351800000000002</v>
      </c>
      <c r="G254">
        <f t="shared" si="16"/>
        <v>2.3824900000000002</v>
      </c>
      <c r="H254">
        <f t="shared" si="17"/>
        <v>2.3824900000000002</v>
      </c>
      <c r="I254" s="5">
        <f t="shared" si="18"/>
        <v>1893</v>
      </c>
      <c r="J254">
        <f>+H254+CF*F254*(1+($I254-1850)*slope/1000)+F254*hQc*COS(2*PI()*$I254/qbo+$L254)+F254*hQs*SIN(2*PI()*$I254/qbo+$L254)+F254*hCs*SIN(2*PI()*$I254/cw)+F254*hCc*COS(2*PI()*$I254/cw) +mix*F254*(hQc*COS(2*PI()*$I254/qbo+$L254)+hQs*SIN(2*PI()*$I254/qbo+$L254))*(hCs*SIN(2*PI()*$I254/cw)+hCc*COS(2*PI()*$I254/cw))</f>
        <v>24.07216793546926</v>
      </c>
      <c r="K254">
        <f>fQc*COS(2*PI()*$I254/qbo+$L254)+fQs*SIN(2*PI()*$I254/qbo+$L254)+fCs*SIN(2*PI()*$I254/cw)+fCc*COS(2*PI()*$I254/cw)</f>
        <v>-3.206569346156706</v>
      </c>
      <c r="L254">
        <f>+QMA*COS(2*PI()*$I254/QM+QMP)</f>
        <v>-9.7675805658133837E-3</v>
      </c>
      <c r="P254">
        <f t="shared" si="19"/>
        <v>0</v>
      </c>
    </row>
    <row r="255" spans="1:16" x14ac:dyDescent="0.25">
      <c r="A255" s="1"/>
      <c r="B255" t="s">
        <v>268</v>
      </c>
      <c r="C255" t="s">
        <v>24</v>
      </c>
      <c r="D255" s="3">
        <v>10.208333333333334</v>
      </c>
      <c r="E255" s="5">
        <f t="shared" si="15"/>
        <v>1894</v>
      </c>
      <c r="F255">
        <v>-1.74248</v>
      </c>
      <c r="G255">
        <f t="shared" si="16"/>
        <v>0.96674999999999978</v>
      </c>
      <c r="H255">
        <f t="shared" si="17"/>
        <v>0.96674999999999978</v>
      </c>
      <c r="I255" s="5">
        <f t="shared" si="18"/>
        <v>1894</v>
      </c>
      <c r="J255">
        <f>+H255+CF*F255*(1+($I255-1850)*slope/1000)+F255*hQc*COS(2*PI()*$I255/qbo+$L255)+F255*hQs*SIN(2*PI()*$I255/qbo+$L255)+F255*hCs*SIN(2*PI()*$I255/cw)+F255*hCc*COS(2*PI()*$I255/cw) +mix*F255*(hQc*COS(2*PI()*$I255/qbo+$L255)+hQs*SIN(2*PI()*$I255/qbo+$L255))*(hCs*SIN(2*PI()*$I255/cw)+hCc*COS(2*PI()*$I255/cw))</f>
        <v>-3.1870868188629076</v>
      </c>
      <c r="K255">
        <f>fQc*COS(2*PI()*$I255/qbo+$L255)+fQs*SIN(2*PI()*$I255/qbo+$L255)+fCs*SIN(2*PI()*$I255/cw)+fCc*COS(2*PI()*$I255/cw)</f>
        <v>-0.49871124736761874</v>
      </c>
      <c r="L255">
        <f>+QMA*COS(2*PI()*$I255/QM+QMP)</f>
        <v>-9.4984790229105179E-2</v>
      </c>
      <c r="P255">
        <f t="shared" si="19"/>
        <v>1</v>
      </c>
    </row>
    <row r="256" spans="1:16" x14ac:dyDescent="0.25">
      <c r="A256" s="1"/>
      <c r="B256" t="s">
        <v>269</v>
      </c>
      <c r="C256" t="s">
        <v>24</v>
      </c>
      <c r="D256" s="3">
        <v>10.25</v>
      </c>
      <c r="E256" s="5">
        <f t="shared" si="15"/>
        <v>1895</v>
      </c>
      <c r="F256">
        <v>-0.28303</v>
      </c>
      <c r="G256">
        <f t="shared" si="16"/>
        <v>-1.5630499999999998</v>
      </c>
      <c r="H256">
        <f t="shared" si="17"/>
        <v>-1.5630499999999998</v>
      </c>
      <c r="I256" s="5">
        <f t="shared" si="18"/>
        <v>1895</v>
      </c>
      <c r="J256">
        <f>+H256+CF*F256*(1+($I256-1850)*slope/1000)+F256*hQc*COS(2*PI()*$I256/qbo+$L256)+F256*hQs*SIN(2*PI()*$I256/qbo+$L256)+F256*hCs*SIN(2*PI()*$I256/cw)+F256*hCc*COS(2*PI()*$I256/cw) +mix*F256*(hQc*COS(2*PI()*$I256/qbo+$L256)+hQs*SIN(2*PI()*$I256/qbo+$L256))*(hCs*SIN(2*PI()*$I256/cw)+hCc*COS(2*PI()*$I256/cw))</f>
        <v>-1.651161894016574</v>
      </c>
      <c r="K256">
        <f>fQc*COS(2*PI()*$I256/qbo+$L256)+fQs*SIN(2*PI()*$I256/qbo+$L256)+fCs*SIN(2*PI()*$I256/cw)+fCc*COS(2*PI()*$I256/cw)</f>
        <v>1.4596482531140273</v>
      </c>
      <c r="L256">
        <f>+QMA*COS(2*PI()*$I256/QM+QMP)</f>
        <v>-0.17789609054786296</v>
      </c>
      <c r="P256">
        <f t="shared" si="19"/>
        <v>0</v>
      </c>
    </row>
    <row r="257" spans="1:16" x14ac:dyDescent="0.25">
      <c r="A257" s="1"/>
      <c r="B257" t="s">
        <v>270</v>
      </c>
      <c r="C257" t="s">
        <v>24</v>
      </c>
      <c r="D257" s="3">
        <v>10.291666666666666</v>
      </c>
      <c r="E257" s="5">
        <f t="shared" si="15"/>
        <v>1896</v>
      </c>
      <c r="F257">
        <v>-0.38662999999999997</v>
      </c>
      <c r="G257">
        <f t="shared" si="16"/>
        <v>1.8875199999999999</v>
      </c>
      <c r="H257">
        <f t="shared" si="17"/>
        <v>1.8875199999999999</v>
      </c>
      <c r="I257" s="5">
        <f t="shared" si="18"/>
        <v>1896</v>
      </c>
      <c r="J257">
        <f>+H257+CF*F257*(1+($I257-1850)*slope/1000)+F257*hQc*COS(2*PI()*$I257/qbo+$L257)+F257*hQs*SIN(2*PI()*$I257/qbo+$L257)+F257*hCs*SIN(2*PI()*$I257/cw)+F257*hCc*COS(2*PI()*$I257/cw) +mix*F257*(hQc*COS(2*PI()*$I257/qbo+$L257)+hQs*SIN(2*PI()*$I257/qbo+$L257))*(hCs*SIN(2*PI()*$I257/cw)+hCc*COS(2*PI()*$I257/cw))</f>
        <v>1.0316530517345397</v>
      </c>
      <c r="K257">
        <f>fQc*COS(2*PI()*$I257/qbo+$L257)+fQs*SIN(2*PI()*$I257/qbo+$L257)+fCs*SIN(2*PI()*$I257/cw)+fCc*COS(2*PI()*$I257/cw)</f>
        <v>3.7552131455928714</v>
      </c>
      <c r="L257">
        <f>+QMA*COS(2*PI()*$I257/QM+QMP)</f>
        <v>-0.25648867566437217</v>
      </c>
      <c r="P257">
        <f t="shared" si="19"/>
        <v>1</v>
      </c>
    </row>
    <row r="258" spans="1:16" x14ac:dyDescent="0.25">
      <c r="A258" s="1"/>
      <c r="B258" t="s">
        <v>271</v>
      </c>
      <c r="C258" t="s">
        <v>24</v>
      </c>
      <c r="D258" s="3">
        <v>10.333333333333334</v>
      </c>
      <c r="E258" s="5">
        <f t="shared" si="15"/>
        <v>1897</v>
      </c>
      <c r="F258">
        <v>1.3972899999999999</v>
      </c>
      <c r="G258">
        <f t="shared" si="16"/>
        <v>-3.03003</v>
      </c>
      <c r="H258">
        <f t="shared" si="17"/>
        <v>-3.03003</v>
      </c>
      <c r="I258" s="5">
        <f t="shared" si="18"/>
        <v>1897</v>
      </c>
      <c r="J258">
        <f>+H258+CF*F258*(1+($I258-1850)*slope/1000)+F258*hQc*COS(2*PI()*$I258/qbo+$L258)+F258*hQs*SIN(2*PI()*$I258/qbo+$L258)+F258*hCs*SIN(2*PI()*$I258/cw)+F258*hCc*COS(2*PI()*$I258/cw) +mix*F258*(hQc*COS(2*PI()*$I258/qbo+$L258)+hQs*SIN(2*PI()*$I258/qbo+$L258))*(hCs*SIN(2*PI()*$I258/cw)+hCc*COS(2*PI()*$I258/cw))</f>
        <v>-5.1544208901290443</v>
      </c>
      <c r="K258">
        <f>fQc*COS(2*PI()*$I258/qbo+$L258)+fQs*SIN(2*PI()*$I258/qbo+$L258)+fCs*SIN(2*PI()*$I258/cw)+fCc*COS(2*PI()*$I258/cw)</f>
        <v>3.4348870606426782</v>
      </c>
      <c r="L258">
        <f>+QMA*COS(2*PI()*$I258/QM+QMP)</f>
        <v>-0.32885458351450342</v>
      </c>
      <c r="P258">
        <f t="shared" si="19"/>
        <v>0</v>
      </c>
    </row>
    <row r="259" spans="1:16" x14ac:dyDescent="0.25">
      <c r="A259" s="1"/>
      <c r="B259" t="s">
        <v>272</v>
      </c>
      <c r="C259" t="s">
        <v>24</v>
      </c>
      <c r="D259" s="3">
        <v>10.375</v>
      </c>
      <c r="E259" s="5">
        <f t="shared" si="15"/>
        <v>1898</v>
      </c>
      <c r="F259">
        <v>0.15118000000000001</v>
      </c>
      <c r="G259">
        <f t="shared" si="16"/>
        <v>-0.33862000000000037</v>
      </c>
      <c r="H259">
        <f t="shared" si="17"/>
        <v>-0.33862000000000037</v>
      </c>
      <c r="I259" s="5">
        <f t="shared" si="18"/>
        <v>1898</v>
      </c>
      <c r="J259">
        <f>+H259+CF*F259*(1+($I259-1850)*slope/1000)+F259*hQc*COS(2*PI()*$I259/qbo+$L259)+F259*hQs*SIN(2*PI()*$I259/qbo+$L259)+F259*hCs*SIN(2*PI()*$I259/cw)+F259*hCc*COS(2*PI()*$I259/cw) +mix*F259*(hQc*COS(2*PI()*$I259/qbo+$L259)+hQs*SIN(2*PI()*$I259/qbo+$L259))*(hCs*SIN(2*PI()*$I259/cw)+hCc*COS(2*PI()*$I259/cw))</f>
        <v>-0.68810990071603717</v>
      </c>
      <c r="K259">
        <f>fQc*COS(2*PI()*$I259/qbo+$L259)+fQs*SIN(2*PI()*$I259/qbo+$L259)+fCs*SIN(2*PI()*$I259/cw)+fCc*COS(2*PI()*$I259/cw)</f>
        <v>1.7959578397042371</v>
      </c>
      <c r="L259">
        <f>+QMA*COS(2*PI()*$I259/QM+QMP)</f>
        <v>-0.39323701469134592</v>
      </c>
      <c r="P259">
        <f t="shared" si="19"/>
        <v>0</v>
      </c>
    </row>
    <row r="260" spans="1:16" x14ac:dyDescent="0.25">
      <c r="A260" s="1"/>
      <c r="B260" t="s">
        <v>273</v>
      </c>
      <c r="C260" t="s">
        <v>24</v>
      </c>
      <c r="D260" s="3">
        <v>10.416666666666666</v>
      </c>
      <c r="E260" s="5">
        <f t="shared" si="15"/>
        <v>1899</v>
      </c>
      <c r="F260">
        <v>-1.4335500000000001</v>
      </c>
      <c r="G260">
        <f t="shared" si="16"/>
        <v>3.4573100000000005</v>
      </c>
      <c r="H260">
        <f t="shared" si="17"/>
        <v>3.4573100000000005</v>
      </c>
      <c r="I260" s="5">
        <f t="shared" si="18"/>
        <v>1899</v>
      </c>
      <c r="J260">
        <f>+H260+CF*F260*(1+($I260-1850)*slope/1000)+F260*hQc*COS(2*PI()*$I260/qbo+$L260)+F260*hQs*SIN(2*PI()*$I260/qbo+$L260)+F260*hCs*SIN(2*PI()*$I260/cw)+F260*hCc*COS(2*PI()*$I260/cw) +mix*F260*(hQc*COS(2*PI()*$I260/qbo+$L260)+hQs*SIN(2*PI()*$I260/qbo+$L260))*(hCs*SIN(2*PI()*$I260/cw)+hCc*COS(2*PI()*$I260/cw))</f>
        <v>-5.6065550709277563</v>
      </c>
      <c r="K260">
        <f>fQc*COS(2*PI()*$I260/qbo+$L260)+fQs*SIN(2*PI()*$I260/qbo+$L260)+fCs*SIN(2*PI()*$I260/cw)+fCc*COS(2*PI()*$I260/cw)</f>
        <v>-0.50425821420098915</v>
      </c>
      <c r="L260">
        <f>+QMA*COS(2*PI()*$I260/QM+QMP)</f>
        <v>-0.44807298159119957</v>
      </c>
      <c r="P260">
        <f t="shared" si="19"/>
        <v>1</v>
      </c>
    </row>
    <row r="261" spans="1:16" x14ac:dyDescent="0.25">
      <c r="A261" s="1"/>
      <c r="B261" s="4">
        <v>1</v>
      </c>
      <c r="C261" t="s">
        <v>24</v>
      </c>
      <c r="D261" s="3">
        <v>10.458333333333334</v>
      </c>
      <c r="E261" s="5">
        <f t="shared" si="15"/>
        <v>1900</v>
      </c>
      <c r="F261">
        <v>0.43902999999999998</v>
      </c>
      <c r="G261">
        <f t="shared" si="16"/>
        <v>-1.2742800000000001</v>
      </c>
      <c r="H261">
        <f t="shared" si="17"/>
        <v>-1.2742800000000001</v>
      </c>
      <c r="I261" s="5">
        <f t="shared" si="18"/>
        <v>1900</v>
      </c>
      <c r="J261">
        <f>+H261+CF*F261*(1+($I261-1850)*slope/1000)+F261*hQc*COS(2*PI()*$I261/qbo+$L261)+F261*hQs*SIN(2*PI()*$I261/qbo+$L261)+F261*hCs*SIN(2*PI()*$I261/cw)+F261*hCc*COS(2*PI()*$I261/cw) +mix*F261*(hQc*COS(2*PI()*$I261/qbo+$L261)+hQs*SIN(2*PI()*$I261/qbo+$L261))*(hCs*SIN(2*PI()*$I261/cw)+hCc*COS(2*PI()*$I261/cw))</f>
        <v>-4.4970718184652769</v>
      </c>
      <c r="K261">
        <f>fQc*COS(2*PI()*$I261/qbo+$L261)+fQs*SIN(2*PI()*$I261/qbo+$L261)+fCs*SIN(2*PI()*$I261/cw)+fCc*COS(2*PI()*$I261/cw)</f>
        <v>-3.2554956408601199</v>
      </c>
      <c r="L261">
        <f>+QMA*COS(2*PI()*$I261/QM+QMP)</f>
        <v>-0.49203125246436313</v>
      </c>
      <c r="P261">
        <f t="shared" si="19"/>
        <v>1</v>
      </c>
    </row>
    <row r="262" spans="1:16" x14ac:dyDescent="0.25">
      <c r="A262" s="1"/>
      <c r="B262" s="4">
        <v>367</v>
      </c>
      <c r="C262" t="s">
        <v>24</v>
      </c>
      <c r="D262" s="3">
        <v>10.5</v>
      </c>
      <c r="E262" s="5">
        <f t="shared" si="15"/>
        <v>1901</v>
      </c>
      <c r="F262">
        <v>1.0373300000000001</v>
      </c>
      <c r="G262">
        <f t="shared" si="16"/>
        <v>-2.6122100000000001</v>
      </c>
      <c r="H262">
        <f t="shared" si="17"/>
        <v>-2.6122100000000001</v>
      </c>
      <c r="I262" s="5">
        <f t="shared" si="18"/>
        <v>1901</v>
      </c>
      <c r="J262">
        <f>+H262+CF*F262*(1+($I262-1850)*slope/1000)+F262*hQc*COS(2*PI()*$I262/qbo+$L262)+F262*hQs*SIN(2*PI()*$I262/qbo+$L262)+F262*hCs*SIN(2*PI()*$I262/cw)+F262*hCc*COS(2*PI()*$I262/cw) +mix*F262*(hQc*COS(2*PI()*$I262/qbo+$L262)+hQs*SIN(2*PI()*$I262/qbo+$L262))*(hCs*SIN(2*PI()*$I262/cw)+hCc*COS(2*PI()*$I262/cw))</f>
        <v>-2.9961140264380131</v>
      </c>
      <c r="K262">
        <f>fQc*COS(2*PI()*$I262/qbo+$L262)+fQs*SIN(2*PI()*$I262/qbo+$L262)+fCs*SIN(2*PI()*$I262/cw)+fCc*COS(2*PI()*$I262/cw)</f>
        <v>-3.4302425047782594</v>
      </c>
      <c r="L262">
        <f>+QMA*COS(2*PI()*$I262/QM+QMP)</f>
        <v>-0.5240446692181453</v>
      </c>
      <c r="P262">
        <f t="shared" si="19"/>
        <v>1</v>
      </c>
    </row>
    <row r="263" spans="1:16" x14ac:dyDescent="0.25">
      <c r="A263" s="1"/>
      <c r="B263" s="4">
        <v>732</v>
      </c>
      <c r="C263" t="s">
        <v>24</v>
      </c>
      <c r="D263" s="3">
        <v>10.541666666666666</v>
      </c>
      <c r="E263" s="5">
        <f t="shared" si="15"/>
        <v>1902</v>
      </c>
      <c r="F263">
        <v>-0.97658</v>
      </c>
      <c r="G263">
        <f t="shared" si="16"/>
        <v>4.6636100000000003</v>
      </c>
      <c r="H263">
        <f t="shared" si="17"/>
        <v>4.6636100000000003</v>
      </c>
      <c r="I263" s="5">
        <f t="shared" si="18"/>
        <v>1902</v>
      </c>
      <c r="J263">
        <f>+H263+CF*F263*(1+($I263-1850)*slope/1000)+F263*hQc*COS(2*PI()*$I263/qbo+$L263)+F263*hQs*SIN(2*PI()*$I263/qbo+$L263)+F263*hCs*SIN(2*PI()*$I263/cw)+F263*hCc*COS(2*PI()*$I263/cw) +mix*F263*(hQc*COS(2*PI()*$I263/qbo+$L263)+hQs*SIN(2*PI()*$I263/qbo+$L263))*(hCs*SIN(2*PI()*$I263/cw)+hCc*COS(2*PI()*$I263/cw))</f>
        <v>1.6792339206884317</v>
      </c>
      <c r="K263">
        <f>fQc*COS(2*PI()*$I263/qbo+$L263)+fQs*SIN(2*PI()*$I263/qbo+$L263)+fCs*SIN(2*PI()*$I263/cw)+fCc*COS(2*PI()*$I263/cw)</f>
        <v>-3.0160995947620202</v>
      </c>
      <c r="L263">
        <f>+QMA*COS(2*PI()*$I263/QM+QMP)</f>
        <v>-0.54333605440485389</v>
      </c>
      <c r="P263">
        <f t="shared" si="19"/>
        <v>0</v>
      </c>
    </row>
    <row r="264" spans="1:16" x14ac:dyDescent="0.25">
      <c r="A264" s="1"/>
      <c r="B264" s="4">
        <v>1097</v>
      </c>
      <c r="C264" t="s">
        <v>24</v>
      </c>
      <c r="D264" s="3">
        <v>10.583333333333334</v>
      </c>
      <c r="E264" s="5">
        <f t="shared" si="15"/>
        <v>1903</v>
      </c>
      <c r="F264">
        <v>1.6731199999999999</v>
      </c>
      <c r="G264">
        <f t="shared" si="16"/>
        <v>-6.1806000000000001</v>
      </c>
      <c r="H264">
        <f t="shared" si="17"/>
        <v>-6.1806000000000001</v>
      </c>
      <c r="I264" s="5">
        <f t="shared" si="18"/>
        <v>1903</v>
      </c>
      <c r="J264">
        <f>+H264+CF*F264*(1+($I264-1850)*slope/1000)+F264*hQc*COS(2*PI()*$I264/qbo+$L264)+F264*hQs*SIN(2*PI()*$I264/qbo+$L264)+F264*hCs*SIN(2*PI()*$I264/cw)+F264*hCc*COS(2*PI()*$I264/cw) +mix*F264*(hQc*COS(2*PI()*$I264/qbo+$L264)+hQs*SIN(2*PI()*$I264/qbo+$L264))*(hCs*SIN(2*PI()*$I264/cw)+hCc*COS(2*PI()*$I264/cw))</f>
        <v>-11.966425402290012</v>
      </c>
      <c r="K264">
        <f>fQc*COS(2*PI()*$I264/qbo+$L264)+fQs*SIN(2*PI()*$I264/qbo+$L264)+fCs*SIN(2*PI()*$I264/cw)+fCc*COS(2*PI()*$I264/cw)</f>
        <v>-0.25403153153377211</v>
      </c>
      <c r="L264">
        <f>+QMA*COS(2*PI()*$I264/QM+QMP)</f>
        <v>-0.54943707846072909</v>
      </c>
      <c r="P264">
        <f t="shared" si="19"/>
        <v>1</v>
      </c>
    </row>
    <row r="265" spans="1:16" x14ac:dyDescent="0.25">
      <c r="A265" s="1"/>
      <c r="B265" s="4">
        <v>1462</v>
      </c>
      <c r="C265" t="s">
        <v>24</v>
      </c>
      <c r="D265" s="3">
        <v>10.625</v>
      </c>
      <c r="E265" s="5">
        <f t="shared" si="15"/>
        <v>1904</v>
      </c>
      <c r="F265">
        <v>-1.85778</v>
      </c>
      <c r="G265">
        <f t="shared" si="16"/>
        <v>7.8058199999999998</v>
      </c>
      <c r="H265">
        <f t="shared" si="17"/>
        <v>7.8058199999999998</v>
      </c>
      <c r="I265" s="5">
        <f t="shared" si="18"/>
        <v>1904</v>
      </c>
      <c r="J265">
        <f>+H265+CF*F265*(1+($I265-1850)*slope/1000)+F265*hQc*COS(2*PI()*$I265/qbo+$L265)+F265*hQs*SIN(2*PI()*$I265/qbo+$L265)+F265*hCs*SIN(2*PI()*$I265/cw)+F265*hCc*COS(2*PI()*$I265/cw) +mix*F265*(hQc*COS(2*PI()*$I265/qbo+$L265)+hQs*SIN(2*PI()*$I265/qbo+$L265))*(hCs*SIN(2*PI()*$I265/cw)+hCc*COS(2*PI()*$I265/cw))</f>
        <v>9.642314735165872</v>
      </c>
      <c r="K265">
        <f>fQc*COS(2*PI()*$I265/qbo+$L265)+fQs*SIN(2*PI()*$I265/qbo+$L265)+fCs*SIN(2*PI()*$I265/cw)+fCc*COS(2*PI()*$I265/cw)</f>
        <v>2.1062842454156883</v>
      </c>
      <c r="L265">
        <f>+QMA*COS(2*PI()*$I265/QM+QMP)</f>
        <v>-0.54219962916330822</v>
      </c>
      <c r="P265">
        <f t="shared" si="19"/>
        <v>1</v>
      </c>
    </row>
    <row r="266" spans="1:16" x14ac:dyDescent="0.25">
      <c r="A266" s="1"/>
      <c r="B266" s="4">
        <v>1828</v>
      </c>
      <c r="C266" t="s">
        <v>24</v>
      </c>
      <c r="D266" s="3">
        <v>10.666666666666666</v>
      </c>
      <c r="E266" s="5">
        <f t="shared" si="15"/>
        <v>1905</v>
      </c>
      <c r="F266">
        <v>2.4171399999999998</v>
      </c>
      <c r="G266">
        <f t="shared" si="16"/>
        <v>-4.6000300000000003</v>
      </c>
      <c r="H266">
        <f t="shared" si="17"/>
        <v>-4.6000300000000003</v>
      </c>
      <c r="I266" s="5">
        <f t="shared" si="18"/>
        <v>1905</v>
      </c>
      <c r="J266">
        <f>+H266+CF*F266*(1+($I266-1850)*slope/1000)+F266*hQc*COS(2*PI()*$I266/qbo+$L266)+F266*hQs*SIN(2*PI()*$I266/qbo+$L266)+F266*hCs*SIN(2*PI()*$I266/cw)+F266*hCc*COS(2*PI()*$I266/cw) +mix*F266*(hQc*COS(2*PI()*$I266/qbo+$L266)+hQs*SIN(2*PI()*$I266/qbo+$L266))*(hCs*SIN(2*PI()*$I266/cw)+hCc*COS(2*PI()*$I266/cw))</f>
        <v>4.1543702904627828</v>
      </c>
      <c r="K266">
        <f>fQc*COS(2*PI()*$I266/qbo+$L266)+fQs*SIN(2*PI()*$I266/qbo+$L266)+fCs*SIN(2*PI()*$I266/cw)+fCc*COS(2*PI()*$I266/cw)</f>
        <v>3.5080077749794643</v>
      </c>
      <c r="L266">
        <f>+QMA*COS(2*PI()*$I266/QM+QMP)</f>
        <v>-0.52179940729504848</v>
      </c>
      <c r="P266">
        <f t="shared" si="19"/>
        <v>1</v>
      </c>
    </row>
    <row r="267" spans="1:16" x14ac:dyDescent="0.25">
      <c r="A267" s="1"/>
      <c r="B267" s="4">
        <v>2193</v>
      </c>
      <c r="C267" t="s">
        <v>24</v>
      </c>
      <c r="D267" s="3">
        <v>10.708333333333334</v>
      </c>
      <c r="E267" s="5">
        <f t="shared" si="15"/>
        <v>1906</v>
      </c>
      <c r="F267">
        <v>2.0920299999999998</v>
      </c>
      <c r="G267">
        <f t="shared" si="16"/>
        <v>-1.3063799999999999</v>
      </c>
      <c r="H267">
        <f t="shared" si="17"/>
        <v>-1.3063799999999999</v>
      </c>
      <c r="I267" s="5">
        <f t="shared" si="18"/>
        <v>1906</v>
      </c>
      <c r="J267">
        <f>+H267+CF*F267*(1+($I267-1850)*slope/1000)+F267*hQc*COS(2*PI()*$I267/qbo+$L267)+F267*hQs*SIN(2*PI()*$I267/qbo+$L267)+F267*hCs*SIN(2*PI()*$I267/cw)+F267*hCc*COS(2*PI()*$I267/cw) +mix*F267*(hQc*COS(2*PI()*$I267/qbo+$L267)+hQs*SIN(2*PI()*$I267/qbo+$L267))*(hCs*SIN(2*PI()*$I267/cw)+hCc*COS(2*PI()*$I267/cw))</f>
        <v>-4.0217997464747244</v>
      </c>
      <c r="K267">
        <f>fQc*COS(2*PI()*$I267/qbo+$L267)+fQs*SIN(2*PI()*$I267/qbo+$L267)+fCs*SIN(2*PI()*$I267/cw)+fCc*COS(2*PI()*$I267/cw)</f>
        <v>3.6226198533874685</v>
      </c>
      <c r="L267">
        <f>+QMA*COS(2*PI()*$I267/QM+QMP)</f>
        <v>-0.4887316612227941</v>
      </c>
      <c r="P267">
        <f t="shared" si="19"/>
        <v>0</v>
      </c>
    </row>
    <row r="268" spans="1:16" x14ac:dyDescent="0.25">
      <c r="A268" s="1"/>
      <c r="B268" s="4">
        <v>2558</v>
      </c>
      <c r="C268" t="s">
        <v>24</v>
      </c>
      <c r="D268" s="3">
        <v>10.75</v>
      </c>
      <c r="E268" s="5">
        <f t="shared" si="15"/>
        <v>1907</v>
      </c>
      <c r="F268">
        <v>0.46054</v>
      </c>
      <c r="G268">
        <f t="shared" si="16"/>
        <v>1.47526</v>
      </c>
      <c r="H268">
        <f t="shared" si="17"/>
        <v>1.47526</v>
      </c>
      <c r="I268" s="5">
        <f t="shared" si="18"/>
        <v>1907</v>
      </c>
      <c r="J268">
        <f>+H268+CF*F268*(1+($I268-1850)*slope/1000)+F268*hQc*COS(2*PI()*$I268/qbo+$L268)+F268*hQs*SIN(2*PI()*$I268/qbo+$L268)+F268*hCs*SIN(2*PI()*$I268/cw)+F268*hCc*COS(2*PI()*$I268/cw) +mix*F268*(hQc*COS(2*PI()*$I268/qbo+$L268)+hQs*SIN(2*PI()*$I268/qbo+$L268))*(hCs*SIN(2*PI()*$I268/cw)+hCc*COS(2*PI()*$I268/cw))</f>
        <v>0.5672668376075749</v>
      </c>
      <c r="K268">
        <f>fQc*COS(2*PI()*$I268/qbo+$L268)+fQs*SIN(2*PI()*$I268/qbo+$L268)+fCs*SIN(2*PI()*$I268/cw)+fCc*COS(2*PI()*$I268/cw)</f>
        <v>1.1952764074921236</v>
      </c>
      <c r="L268">
        <f>+QMA*COS(2*PI()*$I268/QM+QMP)</f>
        <v>-0.44379916394301694</v>
      </c>
      <c r="P268">
        <f t="shared" si="19"/>
        <v>1</v>
      </c>
    </row>
    <row r="269" spans="1:16" x14ac:dyDescent="0.25">
      <c r="A269" s="1"/>
      <c r="B269" s="4">
        <v>2923</v>
      </c>
      <c r="C269" t="s">
        <v>24</v>
      </c>
      <c r="D269" s="3">
        <v>10.791666666666666</v>
      </c>
      <c r="E269" s="5">
        <f t="shared" ref="E269:E332" si="20">+E268+1</f>
        <v>1908</v>
      </c>
      <c r="F269">
        <v>0.30431000000000002</v>
      </c>
      <c r="G269">
        <f t="shared" ref="G269:G332" si="21">+(F270-F269)-(F269-F268)</f>
        <v>-1.2863600000000002</v>
      </c>
      <c r="H269">
        <f t="shared" ref="H269:H332" si="22">+G269</f>
        <v>-1.2863600000000002</v>
      </c>
      <c r="I269" s="5">
        <f t="shared" si="18"/>
        <v>1908</v>
      </c>
      <c r="J269">
        <f>+H269+CF*F269*(1+($I269-1850)*slope/1000)+F269*hQc*COS(2*PI()*$I269/qbo+$L269)+F269*hQs*SIN(2*PI()*$I269/qbo+$L269)+F269*hCs*SIN(2*PI()*$I269/cw)+F269*hCc*COS(2*PI()*$I269/cw) +mix*F269*(hQc*COS(2*PI()*$I269/qbo+$L269)+hQs*SIN(2*PI()*$I269/qbo+$L269))*(hCs*SIN(2*PI()*$I269/cw)+hCc*COS(2*PI()*$I269/cw))</f>
        <v>-1.2172059378104085</v>
      </c>
      <c r="K269">
        <f>fQc*COS(2*PI()*$I269/qbo+$L269)+fQs*SIN(2*PI()*$I269/qbo+$L269)+fCs*SIN(2*PI()*$I269/cw)+fCc*COS(2*PI()*$I269/cw)</f>
        <v>-0.77790647614152142</v>
      </c>
      <c r="L269">
        <f>+QMA*COS(2*PI()*$I269/QM+QMP)</f>
        <v>-0.38809272446943832</v>
      </c>
      <c r="P269">
        <f t="shared" si="19"/>
        <v>1</v>
      </c>
    </row>
    <row r="270" spans="1:16" x14ac:dyDescent="0.25">
      <c r="A270" s="1"/>
      <c r="B270" s="4">
        <v>3289</v>
      </c>
      <c r="C270" t="s">
        <v>24</v>
      </c>
      <c r="D270" s="3">
        <v>10.833333333333334</v>
      </c>
      <c r="E270" s="5">
        <f t="shared" si="20"/>
        <v>1909</v>
      </c>
      <c r="F270">
        <v>-1.13828</v>
      </c>
      <c r="G270">
        <f t="shared" si="21"/>
        <v>0.48252000000000006</v>
      </c>
      <c r="H270">
        <f t="shared" si="22"/>
        <v>0.48252000000000006</v>
      </c>
      <c r="I270" s="5">
        <f t="shared" ref="I270:I333" si="23">+E270</f>
        <v>1909</v>
      </c>
      <c r="J270">
        <f>+H270+CF*F270*(1+($I270-1850)*slope/1000)+F270*hQc*COS(2*PI()*$I270/qbo+$L270)+F270*hQs*SIN(2*PI()*$I270/qbo+$L270)+F270*hCs*SIN(2*PI()*$I270/cw)+F270*hCc*COS(2*PI()*$I270/cw) +mix*F270*(hQc*COS(2*PI()*$I270/qbo+$L270)+hQs*SIN(2*PI()*$I270/qbo+$L270))*(hCs*SIN(2*PI()*$I270/cw)+hCc*COS(2*PI()*$I270/cw))</f>
        <v>-1.6701994361846066</v>
      </c>
      <c r="K270">
        <f>fQc*COS(2*PI()*$I270/qbo+$L270)+fQs*SIN(2*PI()*$I270/qbo+$L270)+fCs*SIN(2*PI()*$I270/cw)+fCc*COS(2*PI()*$I270/cw)</f>
        <v>-3.4749428028795024</v>
      </c>
      <c r="L270">
        <f>+QMA*COS(2*PI()*$I270/QM+QMP)</f>
        <v>-0.32296470668072652</v>
      </c>
      <c r="P270">
        <f t="shared" ref="P270:P333" si="24">+IF(J270*K270&gt;0,1, 0)</f>
        <v>1</v>
      </c>
    </row>
    <row r="271" spans="1:16" x14ac:dyDescent="0.25">
      <c r="A271" s="1"/>
      <c r="B271" s="4">
        <v>3654</v>
      </c>
      <c r="C271" t="s">
        <v>24</v>
      </c>
      <c r="D271" s="3">
        <v>10.875</v>
      </c>
      <c r="E271" s="5">
        <f t="shared" si="20"/>
        <v>1910</v>
      </c>
      <c r="F271">
        <v>-2.0983499999999999</v>
      </c>
      <c r="G271">
        <f t="shared" si="21"/>
        <v>2.6539299999999999</v>
      </c>
      <c r="H271">
        <f t="shared" si="22"/>
        <v>2.6539299999999999</v>
      </c>
      <c r="I271" s="5">
        <f t="shared" si="23"/>
        <v>1910</v>
      </c>
      <c r="J271">
        <f>+H271+CF*F271*(1+($I271-1850)*slope/1000)+F271*hQc*COS(2*PI()*$I271/qbo+$L271)+F271*hQs*SIN(2*PI()*$I271/qbo+$L271)+F271*hCs*SIN(2*PI()*$I271/cw)+F271*hCc*COS(2*PI()*$I271/cw) +mix*F271*(hQc*COS(2*PI()*$I271/qbo+$L271)+hQs*SIN(2*PI()*$I271/qbo+$L271))*(hCs*SIN(2*PI()*$I271/cw)+hCc*COS(2*PI()*$I271/cw))</f>
        <v>21.250609836255187</v>
      </c>
      <c r="K271">
        <f>fQc*COS(2*PI()*$I271/qbo+$L271)+fQs*SIN(2*PI()*$I271/qbo+$L271)+fCs*SIN(2*PI()*$I271/cw)+fCc*COS(2*PI()*$I271/cw)</f>
        <v>-3.4965317627409593</v>
      </c>
      <c r="L271">
        <f>+QMA*COS(2*PI()*$I271/QM+QMP)</f>
        <v>-0.2499961985010658</v>
      </c>
      <c r="P271">
        <f t="shared" si="24"/>
        <v>0</v>
      </c>
    </row>
    <row r="272" spans="1:16" x14ac:dyDescent="0.25">
      <c r="A272" s="1"/>
      <c r="B272" s="4">
        <v>4019</v>
      </c>
      <c r="C272" t="s">
        <v>24</v>
      </c>
      <c r="D272" s="3">
        <v>10.916666666666666</v>
      </c>
      <c r="E272" s="5">
        <f t="shared" si="20"/>
        <v>1911</v>
      </c>
      <c r="F272">
        <v>-0.40449000000000002</v>
      </c>
      <c r="G272">
        <f t="shared" si="21"/>
        <v>0.65920000000000023</v>
      </c>
      <c r="H272">
        <f t="shared" si="22"/>
        <v>0.65920000000000023</v>
      </c>
      <c r="I272" s="5">
        <f t="shared" si="23"/>
        <v>1911</v>
      </c>
      <c r="J272">
        <f>+H272+CF*F272*(1+($I272-1850)*slope/1000)+F272*hQc*COS(2*PI()*$I272/qbo+$L272)+F272*hQs*SIN(2*PI()*$I272/qbo+$L272)+F272*hCs*SIN(2*PI()*$I272/cw)+F272*hCc*COS(2*PI()*$I272/cw) +mix*F272*(hQc*COS(2*PI()*$I272/qbo+$L272)+hQs*SIN(2*PI()*$I272/qbo+$L272))*(hCs*SIN(2*PI()*$I272/cw)+hCc*COS(2*PI()*$I272/cw))</f>
        <v>-1.9650928969314938</v>
      </c>
      <c r="K272">
        <f>fQc*COS(2*PI()*$I272/qbo+$L272)+fQs*SIN(2*PI()*$I272/qbo+$L272)+fCs*SIN(2*PI()*$I272/cw)+fCc*COS(2*PI()*$I272/cw)</f>
        <v>-2.5752298378977314</v>
      </c>
      <c r="L272">
        <f>+QMA*COS(2*PI()*$I272/QM+QMP)</f>
        <v>-0.17095862843448462</v>
      </c>
      <c r="P272">
        <f t="shared" si="24"/>
        <v>1</v>
      </c>
    </row>
    <row r="273" spans="1:16" x14ac:dyDescent="0.25">
      <c r="A273" s="1"/>
      <c r="B273" s="4">
        <v>4384</v>
      </c>
      <c r="C273" t="s">
        <v>24</v>
      </c>
      <c r="D273" s="3">
        <v>10.958333333333334</v>
      </c>
      <c r="E273" s="5">
        <f t="shared" si="20"/>
        <v>1912</v>
      </c>
      <c r="F273">
        <v>1.9485699999999999</v>
      </c>
      <c r="G273">
        <f t="shared" si="21"/>
        <v>-3.4008099999999999</v>
      </c>
      <c r="H273">
        <f t="shared" si="22"/>
        <v>-3.4008099999999999</v>
      </c>
      <c r="I273" s="5">
        <f t="shared" si="23"/>
        <v>1912</v>
      </c>
      <c r="J273">
        <f>+H273+CF*F273*(1+($I273-1850)*slope/1000)+F273*hQc*COS(2*PI()*$I273/qbo+$L273)+F273*hQs*SIN(2*PI()*$I273/qbo+$L273)+F273*hCs*SIN(2*PI()*$I273/cw)+F273*hCc*COS(2*PI()*$I273/cw) +mix*F273*(hQc*COS(2*PI()*$I273/qbo+$L273)+hQs*SIN(2*PI()*$I273/qbo+$L273))*(hCs*SIN(2*PI()*$I273/cw)+hCc*COS(2*PI()*$I273/cw))</f>
        <v>-10.507945322881731</v>
      </c>
      <c r="K273">
        <f>fQc*COS(2*PI()*$I273/qbo+$L273)+fQs*SIN(2*PI()*$I273/qbo+$L273)+fCs*SIN(2*PI()*$I273/cw)+fCc*COS(2*PI()*$I273/cw)</f>
        <v>-1.6803595195760468E-2</v>
      </c>
      <c r="L273">
        <f>+QMA*COS(2*PI()*$I273/QM+QMP)</f>
        <v>-8.777076127426392E-2</v>
      </c>
      <c r="P273">
        <f t="shared" si="24"/>
        <v>1</v>
      </c>
    </row>
    <row r="274" spans="1:16" x14ac:dyDescent="0.25">
      <c r="A274" s="1"/>
      <c r="B274" s="4">
        <v>4750</v>
      </c>
      <c r="C274" t="s">
        <v>24</v>
      </c>
      <c r="D274" s="3">
        <v>11</v>
      </c>
      <c r="E274" s="5">
        <f t="shared" si="20"/>
        <v>1913</v>
      </c>
      <c r="F274">
        <v>0.90081999999999995</v>
      </c>
      <c r="G274">
        <f t="shared" si="21"/>
        <v>1.9676</v>
      </c>
      <c r="H274">
        <f t="shared" si="22"/>
        <v>1.9676</v>
      </c>
      <c r="I274" s="5">
        <f t="shared" si="23"/>
        <v>1913</v>
      </c>
      <c r="J274">
        <f>+H274+CF*F274*(1+($I274-1850)*slope/1000)+F274*hQc*COS(2*PI()*$I274/qbo+$L274)+F274*hQs*SIN(2*PI()*$I274/qbo+$L274)+F274*hCs*SIN(2*PI()*$I274/cw)+F274*hCc*COS(2*PI()*$I274/cw) +mix*F274*(hQc*COS(2*PI()*$I274/qbo+$L274)+hQs*SIN(2*PI()*$I274/qbo+$L274))*(hCs*SIN(2*PI()*$I274/cw)+hCc*COS(2*PI()*$I274/cw))</f>
        <v>0.37189803863465354</v>
      </c>
      <c r="K274">
        <f>fQc*COS(2*PI()*$I274/qbo+$L274)+fQs*SIN(2*PI()*$I274/qbo+$L274)+fCs*SIN(2*PI()*$I274/cw)+fCc*COS(2*PI()*$I274/cw)</f>
        <v>2.5628296743561436</v>
      </c>
      <c r="L274">
        <f>+QMA*COS(2*PI()*$I274/QM+QMP)</f>
        <v>-2.4521169852919304E-3</v>
      </c>
      <c r="P274">
        <f t="shared" si="24"/>
        <v>1</v>
      </c>
    </row>
    <row r="275" spans="1:16" x14ac:dyDescent="0.25">
      <c r="A275" s="1"/>
      <c r="B275" s="4">
        <v>5115</v>
      </c>
      <c r="C275" t="s">
        <v>24</v>
      </c>
      <c r="D275" s="3">
        <v>11.041666666666666</v>
      </c>
      <c r="E275" s="5">
        <f t="shared" si="20"/>
        <v>1914</v>
      </c>
      <c r="F275">
        <v>1.82067</v>
      </c>
      <c r="G275">
        <f t="shared" si="21"/>
        <v>-0.67032000000000025</v>
      </c>
      <c r="H275">
        <f t="shared" si="22"/>
        <v>-0.67032000000000025</v>
      </c>
      <c r="I275" s="5">
        <f t="shared" si="23"/>
        <v>1914</v>
      </c>
      <c r="J275">
        <f>+H275+CF*F275*(1+($I275-1850)*slope/1000)+F275*hQc*COS(2*PI()*$I275/qbo+$L275)+F275*hQs*SIN(2*PI()*$I275/qbo+$L275)+F275*hCs*SIN(2*PI()*$I275/cw)+F275*hCc*COS(2*PI()*$I275/cw) +mix*F275*(hQc*COS(2*PI()*$I275/qbo+$L275)+hQs*SIN(2*PI()*$I275/qbo+$L275))*(hCs*SIN(2*PI()*$I275/cw)+hCc*COS(2*PI()*$I275/cw))</f>
        <v>4.5876684519344515</v>
      </c>
      <c r="K275">
        <f>fQc*COS(2*PI()*$I275/qbo+$L275)+fQs*SIN(2*PI()*$I275/qbo+$L275)+fCs*SIN(2*PI()*$I275/cw)+fCc*COS(2*PI()*$I275/cw)</f>
        <v>3.4887769759500697</v>
      </c>
      <c r="L275">
        <f>+QMA*COS(2*PI()*$I275/QM+QMP)</f>
        <v>8.2926056407829934E-2</v>
      </c>
      <c r="P275">
        <f t="shared" si="24"/>
        <v>1</v>
      </c>
    </row>
    <row r="276" spans="1:16" x14ac:dyDescent="0.25">
      <c r="A276" s="1"/>
      <c r="B276" s="4">
        <v>5480</v>
      </c>
      <c r="C276" t="s">
        <v>24</v>
      </c>
      <c r="D276" s="3">
        <v>11.083333333333334</v>
      </c>
      <c r="E276" s="5">
        <f t="shared" si="20"/>
        <v>1915</v>
      </c>
      <c r="F276">
        <v>2.0701999999999998</v>
      </c>
      <c r="G276">
        <f t="shared" si="21"/>
        <v>-2.86402</v>
      </c>
      <c r="H276">
        <f t="shared" si="22"/>
        <v>-2.86402</v>
      </c>
      <c r="I276" s="5">
        <f t="shared" si="23"/>
        <v>1915</v>
      </c>
      <c r="J276">
        <f>+H276+CF*F276*(1+($I276-1850)*slope/1000)+F276*hQc*COS(2*PI()*$I276/qbo+$L276)+F276*hQs*SIN(2*PI()*$I276/qbo+$L276)+F276*hCs*SIN(2*PI()*$I276/cw)+F276*hCc*COS(2*PI()*$I276/cw) +mix*F276*(hQc*COS(2*PI()*$I276/qbo+$L276)+hQs*SIN(2*PI()*$I276/qbo+$L276))*(hCs*SIN(2*PI()*$I276/cw)+hCc*COS(2*PI()*$I276/cw))</f>
        <v>-4.7207489162663654</v>
      </c>
      <c r="K276">
        <f>fQc*COS(2*PI()*$I276/qbo+$L276)+fQs*SIN(2*PI()*$I276/qbo+$L276)+fCs*SIN(2*PI()*$I276/cw)+fCc*COS(2*PI()*$I276/cw)</f>
        <v>3.4892906319759582</v>
      </c>
      <c r="L276">
        <f>+QMA*COS(2*PI()*$I276/QM+QMP)</f>
        <v>0.1662910657152564</v>
      </c>
      <c r="P276">
        <f t="shared" si="24"/>
        <v>0</v>
      </c>
    </row>
    <row r="277" spans="1:16" x14ac:dyDescent="0.25">
      <c r="A277" s="1"/>
      <c r="B277" s="4">
        <v>5845</v>
      </c>
      <c r="C277" t="s">
        <v>24</v>
      </c>
      <c r="D277" s="3">
        <v>11.125</v>
      </c>
      <c r="E277" s="5">
        <f t="shared" si="20"/>
        <v>1916</v>
      </c>
      <c r="F277">
        <v>-0.54429000000000005</v>
      </c>
      <c r="G277">
        <f t="shared" si="21"/>
        <v>1.9921000000000002</v>
      </c>
      <c r="H277">
        <f t="shared" si="22"/>
        <v>1.9921000000000002</v>
      </c>
      <c r="I277" s="5">
        <f t="shared" si="23"/>
        <v>1916</v>
      </c>
      <c r="J277">
        <f>+H277+CF*F277*(1+($I277-1850)*slope/1000)+F277*hQc*COS(2*PI()*$I277/qbo+$L277)+F277*hQs*SIN(2*PI()*$I277/qbo+$L277)+F277*hCs*SIN(2*PI()*$I277/cw)+F277*hCc*COS(2*PI()*$I277/cw) +mix*F277*(hQc*COS(2*PI()*$I277/qbo+$L277)+hQs*SIN(2*PI()*$I277/qbo+$L277))*(hCs*SIN(2*PI()*$I277/cw)+hCc*COS(2*PI()*$I277/cw))</f>
        <v>2.9230799452712852</v>
      </c>
      <c r="K277">
        <f>fQc*COS(2*PI()*$I277/qbo+$L277)+fQs*SIN(2*PI()*$I277/qbo+$L277)+fCs*SIN(2*PI()*$I277/cw)+fCc*COS(2*PI()*$I277/cw)</f>
        <v>0.8023880608058398</v>
      </c>
      <c r="L277">
        <f>+QMA*COS(2*PI()*$I277/QM+QMP)</f>
        <v>0.24561909056009057</v>
      </c>
      <c r="P277">
        <f t="shared" si="24"/>
        <v>1</v>
      </c>
    </row>
    <row r="278" spans="1:16" x14ac:dyDescent="0.25">
      <c r="A278" s="1"/>
      <c r="B278" s="4">
        <v>6211</v>
      </c>
      <c r="C278" t="s">
        <v>24</v>
      </c>
      <c r="D278" s="3">
        <v>11.166666666666666</v>
      </c>
      <c r="E278" s="5">
        <f t="shared" si="20"/>
        <v>1917</v>
      </c>
      <c r="F278">
        <v>-1.1666799999999999</v>
      </c>
      <c r="G278">
        <f t="shared" si="21"/>
        <v>9.9349999999999716E-2</v>
      </c>
      <c r="H278">
        <f t="shared" si="22"/>
        <v>9.9349999999999716E-2</v>
      </c>
      <c r="I278" s="5">
        <f t="shared" si="23"/>
        <v>1917</v>
      </c>
      <c r="J278">
        <f>+H278+CF*F278*(1+($I278-1850)*slope/1000)+F278*hQc*COS(2*PI()*$I278/qbo+$L278)+F278*hQs*SIN(2*PI()*$I278/qbo+$L278)+F278*hCs*SIN(2*PI()*$I278/cw)+F278*hCc*COS(2*PI()*$I278/cw) +mix*F278*(hQc*COS(2*PI()*$I278/qbo+$L278)+hQs*SIN(2*PI()*$I278/qbo+$L278))*(hCs*SIN(2*PI()*$I278/cw)+hCc*COS(2*PI()*$I278/cw))</f>
        <v>3.0761263170930913</v>
      </c>
      <c r="K278">
        <f>fQc*COS(2*PI()*$I278/qbo+$L278)+fQs*SIN(2*PI()*$I278/qbo+$L278)+fCs*SIN(2*PI()*$I278/cw)+fCc*COS(2*PI()*$I278/cw)</f>
        <v>-1.1691032450176186</v>
      </c>
      <c r="L278">
        <f>+QMA*COS(2*PI()*$I278/QM+QMP)</f>
        <v>0.31898431488975709</v>
      </c>
      <c r="P278">
        <f t="shared" si="24"/>
        <v>0</v>
      </c>
    </row>
    <row r="279" spans="1:16" x14ac:dyDescent="0.25">
      <c r="A279" s="1"/>
      <c r="B279" s="4">
        <v>6576</v>
      </c>
      <c r="C279" t="s">
        <v>24</v>
      </c>
      <c r="D279" s="3">
        <v>11.208333333333334</v>
      </c>
      <c r="E279" s="5">
        <f t="shared" si="20"/>
        <v>1918</v>
      </c>
      <c r="F279">
        <v>-1.6897200000000001</v>
      </c>
      <c r="G279">
        <f t="shared" si="21"/>
        <v>4.5624900000000004</v>
      </c>
      <c r="H279">
        <f t="shared" si="22"/>
        <v>4.5624900000000004</v>
      </c>
      <c r="I279" s="5">
        <f t="shared" si="23"/>
        <v>1918</v>
      </c>
      <c r="J279">
        <f>+H279+CF*F279*(1+($I279-1850)*slope/1000)+F279*hQc*COS(2*PI()*$I279/qbo+$L279)+F279*hQs*SIN(2*PI()*$I279/qbo+$L279)+F279*hCs*SIN(2*PI()*$I279/cw)+F279*hCc*COS(2*PI()*$I279/cw) +mix*F279*(hQc*COS(2*PI()*$I279/qbo+$L279)+hQs*SIN(2*PI()*$I279/qbo+$L279))*(hCs*SIN(2*PI()*$I279/cw)+hCc*COS(2*PI()*$I279/cw))</f>
        <v>-3.572968695340045</v>
      </c>
      <c r="K279">
        <f>fQc*COS(2*PI()*$I279/qbo+$L279)+fQs*SIN(2*PI()*$I279/qbo+$L279)+fCs*SIN(2*PI()*$I279/cw)+fCc*COS(2*PI()*$I279/cw)</f>
        <v>-3.6217337775735277</v>
      </c>
      <c r="L279">
        <f>+QMA*COS(2*PI()*$I279/QM+QMP)</f>
        <v>0.38460567927424077</v>
      </c>
      <c r="P279">
        <f t="shared" si="24"/>
        <v>1</v>
      </c>
    </row>
    <row r="280" spans="1:16" x14ac:dyDescent="0.25">
      <c r="A280" s="1"/>
      <c r="B280" s="4">
        <v>6941</v>
      </c>
      <c r="C280" t="s">
        <v>24</v>
      </c>
      <c r="D280" s="3">
        <v>11.25</v>
      </c>
      <c r="E280" s="5">
        <f t="shared" si="20"/>
        <v>1919</v>
      </c>
      <c r="F280">
        <v>2.3497300000000001</v>
      </c>
      <c r="G280">
        <f t="shared" si="21"/>
        <v>-4.90611</v>
      </c>
      <c r="H280">
        <f t="shared" si="22"/>
        <v>-4.90611</v>
      </c>
      <c r="I280" s="5">
        <f t="shared" si="23"/>
        <v>1919</v>
      </c>
      <c r="J280">
        <f>+H280+CF*F280*(1+($I280-1850)*slope/1000)+F280*hQc*COS(2*PI()*$I280/qbo+$L280)+F280*hQs*SIN(2*PI()*$I280/qbo+$L280)+F280*hCs*SIN(2*PI()*$I280/cw)+F280*hCc*COS(2*PI()*$I280/cw) +mix*F280*(hQc*COS(2*PI()*$I280/qbo+$L280)+hQs*SIN(2*PI()*$I280/qbo+$L280))*(hCs*SIN(2*PI()*$I280/cw)+hCc*COS(2*PI()*$I280/cw))</f>
        <v>-31.525077270931494</v>
      </c>
      <c r="K280">
        <f>fQc*COS(2*PI()*$I280/qbo+$L280)+fQs*SIN(2*PI()*$I280/qbo+$L280)+fCs*SIN(2*PI()*$I280/cw)+fCc*COS(2*PI()*$I280/cw)</f>
        <v>-3.493619047115514</v>
      </c>
      <c r="L280">
        <f>+QMA*COS(2*PI()*$I280/QM+QMP)</f>
        <v>0.44089011900324643</v>
      </c>
      <c r="P280">
        <f t="shared" si="24"/>
        <v>1</v>
      </c>
    </row>
    <row r="281" spans="1:16" x14ac:dyDescent="0.25">
      <c r="A281" s="1"/>
      <c r="B281" s="4">
        <v>7306</v>
      </c>
      <c r="C281" t="s">
        <v>24</v>
      </c>
      <c r="D281" s="3">
        <v>11.291666666666666</v>
      </c>
      <c r="E281" s="5">
        <f t="shared" si="20"/>
        <v>1920</v>
      </c>
      <c r="F281">
        <v>1.4830700000000001</v>
      </c>
      <c r="G281">
        <f t="shared" si="21"/>
        <v>-1.3225099999999999</v>
      </c>
      <c r="H281">
        <f t="shared" si="22"/>
        <v>-1.3225099999999999</v>
      </c>
      <c r="I281" s="5">
        <f t="shared" si="23"/>
        <v>1920</v>
      </c>
      <c r="J281">
        <f>+H281+CF*F281*(1+($I281-1850)*slope/1000)+F281*hQc*COS(2*PI()*$I281/qbo+$L281)+F281*hQs*SIN(2*PI()*$I281/qbo+$L281)+F281*hCs*SIN(2*PI()*$I281/cw)+F281*hCc*COS(2*PI()*$I281/cw) +mix*F281*(hQc*COS(2*PI()*$I281/qbo+$L281)+hQs*SIN(2*PI()*$I281/qbo+$L281))*(hCs*SIN(2*PI()*$I281/cw)+hCc*COS(2*PI()*$I281/cw))</f>
        <v>8.4520587924463335</v>
      </c>
      <c r="K281">
        <f>fQc*COS(2*PI()*$I281/qbo+$L281)+fQs*SIN(2*PI()*$I281/qbo+$L281)+fCs*SIN(2*PI()*$I281/cw)+fCc*COS(2*PI()*$I281/cw)</f>
        <v>-2.1583676781661896</v>
      </c>
      <c r="L281">
        <f>+QMA*COS(2*PI()*$I281/QM+QMP)</f>
        <v>0.48647123830738759</v>
      </c>
      <c r="P281">
        <f t="shared" si="24"/>
        <v>0</v>
      </c>
    </row>
    <row r="282" spans="1:16" x14ac:dyDescent="0.25">
      <c r="A282" s="1"/>
      <c r="B282" s="4">
        <v>7672</v>
      </c>
      <c r="C282" t="s">
        <v>24</v>
      </c>
      <c r="D282" s="3">
        <v>11.333333333333334</v>
      </c>
      <c r="E282" s="5">
        <f t="shared" si="20"/>
        <v>1921</v>
      </c>
      <c r="F282">
        <v>-0.70609999999999995</v>
      </c>
      <c r="G282">
        <f t="shared" si="21"/>
        <v>1.6403299999999998</v>
      </c>
      <c r="H282">
        <f t="shared" si="22"/>
        <v>1.6403299999999998</v>
      </c>
      <c r="I282" s="5">
        <f t="shared" si="23"/>
        <v>1921</v>
      </c>
      <c r="J282">
        <f>+H282+CF*F282*(1+($I282-1850)*slope/1000)+F282*hQc*COS(2*PI()*$I282/qbo+$L282)+F282*hQs*SIN(2*PI()*$I282/qbo+$L282)+F282*hCs*SIN(2*PI()*$I282/cw)+F282*hCc*COS(2*PI()*$I282/cw) +mix*F282*(hQc*COS(2*PI()*$I282/qbo+$L282)+hQs*SIN(2*PI()*$I282/qbo+$L282))*(hCs*SIN(2*PI()*$I282/cw)+hCc*COS(2*PI()*$I282/cw))</f>
        <v>3.7547259448121633</v>
      </c>
      <c r="K282">
        <f>fQc*COS(2*PI()*$I282/qbo+$L282)+fQs*SIN(2*PI()*$I282/qbo+$L282)+fCs*SIN(2*PI()*$I282/cw)+fCc*COS(2*PI()*$I282/cw)</f>
        <v>0.2646953164001995</v>
      </c>
      <c r="L282">
        <f>+QMA*COS(2*PI()*$I282/QM+QMP)</f>
        <v>0.52024248182468813</v>
      </c>
      <c r="P282">
        <f t="shared" si="24"/>
        <v>1</v>
      </c>
    </row>
    <row r="283" spans="1:16" x14ac:dyDescent="0.25">
      <c r="A283" s="1"/>
      <c r="B283" s="4">
        <v>8037</v>
      </c>
      <c r="C283" t="s">
        <v>24</v>
      </c>
      <c r="D283" s="3">
        <v>11.375</v>
      </c>
      <c r="E283" s="5">
        <f t="shared" si="20"/>
        <v>1922</v>
      </c>
      <c r="F283">
        <v>-1.2549399999999999</v>
      </c>
      <c r="G283">
        <f t="shared" si="21"/>
        <v>1.2729200000000001</v>
      </c>
      <c r="H283">
        <f t="shared" si="22"/>
        <v>1.2729200000000001</v>
      </c>
      <c r="I283" s="5">
        <f t="shared" si="23"/>
        <v>1922</v>
      </c>
      <c r="J283">
        <f>+H283+CF*F283*(1+($I283-1850)*slope/1000)+F283*hQc*COS(2*PI()*$I283/qbo+$L283)+F283*hQs*SIN(2*PI()*$I283/qbo+$L283)+F283*hCs*SIN(2*PI()*$I283/cw)+F283*hCc*COS(2*PI()*$I283/cw) +mix*F283*(hQc*COS(2*PI()*$I283/qbo+$L283)+hQs*SIN(2*PI()*$I283/qbo+$L283))*(hCs*SIN(2*PI()*$I283/cw)+hCc*COS(2*PI()*$I283/cw))</f>
        <v>3.9121502368881007</v>
      </c>
      <c r="K283">
        <f>fQc*COS(2*PI()*$I283/qbo+$L283)+fQs*SIN(2*PI()*$I283/qbo+$L283)+fCs*SIN(2*PI()*$I283/cw)+fCc*COS(2*PI()*$I283/cw)</f>
        <v>2.9680030013736527</v>
      </c>
      <c r="L283">
        <f>+QMA*COS(2*PI()*$I283/QM+QMP)</f>
        <v>0.54138399802087933</v>
      </c>
      <c r="P283">
        <f t="shared" si="24"/>
        <v>1</v>
      </c>
    </row>
    <row r="284" spans="1:16" x14ac:dyDescent="0.25">
      <c r="A284" s="1"/>
      <c r="B284" s="4">
        <v>8402</v>
      </c>
      <c r="C284" t="s">
        <v>24</v>
      </c>
      <c r="D284" s="3">
        <v>11.416666666666666</v>
      </c>
      <c r="E284" s="5">
        <f t="shared" si="20"/>
        <v>1923</v>
      </c>
      <c r="F284">
        <v>-0.53086</v>
      </c>
      <c r="G284">
        <f t="shared" si="21"/>
        <v>0.36950000000000005</v>
      </c>
      <c r="H284">
        <f t="shared" si="22"/>
        <v>0.36950000000000005</v>
      </c>
      <c r="I284" s="5">
        <f t="shared" si="23"/>
        <v>1923</v>
      </c>
      <c r="J284">
        <f>+H284+CF*F284*(1+($I284-1850)*slope/1000)+F284*hQc*COS(2*PI()*$I284/qbo+$L284)+F284*hQs*SIN(2*PI()*$I284/qbo+$L284)+F284*hCs*SIN(2*PI()*$I284/cw)+F284*hCc*COS(2*PI()*$I284/cw) +mix*F284*(hQc*COS(2*PI()*$I284/qbo+$L284)+hQs*SIN(2*PI()*$I284/qbo+$L284))*(hCs*SIN(2*PI()*$I284/cw)+hCc*COS(2*PI()*$I284/cw))</f>
        <v>-0.32757367995043429</v>
      </c>
      <c r="K284">
        <f>fQc*COS(2*PI()*$I284/qbo+$L284)+fQs*SIN(2*PI()*$I284/qbo+$L284)+fCs*SIN(2*PI()*$I284/cw)+fCc*COS(2*PI()*$I284/cw)</f>
        <v>3.4415462055177661</v>
      </c>
      <c r="L284">
        <f>+QMA*COS(2*PI()*$I284/QM+QMP)</f>
        <v>0.54938254241084294</v>
      </c>
      <c r="P284">
        <f t="shared" si="24"/>
        <v>0</v>
      </c>
    </row>
    <row r="285" spans="1:16" x14ac:dyDescent="0.25">
      <c r="A285" s="1"/>
      <c r="B285" s="4">
        <v>8767</v>
      </c>
      <c r="C285" t="s">
        <v>24</v>
      </c>
      <c r="D285" s="3">
        <v>11.458333333333334</v>
      </c>
      <c r="E285" s="5">
        <f t="shared" si="20"/>
        <v>1924</v>
      </c>
      <c r="F285">
        <v>0.56272</v>
      </c>
      <c r="G285">
        <f t="shared" si="21"/>
        <v>-3.4095500000000003</v>
      </c>
      <c r="H285">
        <f t="shared" si="22"/>
        <v>-3.4095500000000003</v>
      </c>
      <c r="I285" s="5">
        <f t="shared" si="23"/>
        <v>1924</v>
      </c>
      <c r="J285">
        <f>+H285+CF*F285*(1+($I285-1850)*slope/1000)+F285*hQc*COS(2*PI()*$I285/qbo+$L285)+F285*hQs*SIN(2*PI()*$I285/qbo+$L285)+F285*hCs*SIN(2*PI()*$I285/cw)+F285*hCc*COS(2*PI()*$I285/cw) +mix*F285*(hQc*COS(2*PI()*$I285/qbo+$L285)+hQs*SIN(2*PI()*$I285/qbo+$L285))*(hCs*SIN(2*PI()*$I285/cw)+hCc*COS(2*PI()*$I285/cw))</f>
        <v>-3.7254752305238426</v>
      </c>
      <c r="K285">
        <f>fQc*COS(2*PI()*$I285/qbo+$L285)+fQs*SIN(2*PI()*$I285/qbo+$L285)+fCs*SIN(2*PI()*$I285/cw)+fCc*COS(2*PI()*$I285/cw)</f>
        <v>3.2881660930332406</v>
      </c>
      <c r="L285">
        <f>+QMA*COS(2*PI()*$I285/QM+QMP)</f>
        <v>0.54404393739828993</v>
      </c>
      <c r="P285">
        <f t="shared" si="24"/>
        <v>0</v>
      </c>
    </row>
    <row r="286" spans="1:16" x14ac:dyDescent="0.25">
      <c r="A286" s="1"/>
      <c r="B286" s="4">
        <v>9133</v>
      </c>
      <c r="C286" t="s">
        <v>24</v>
      </c>
      <c r="D286" s="3">
        <v>11.5</v>
      </c>
      <c r="E286" s="5">
        <f t="shared" si="20"/>
        <v>1925</v>
      </c>
      <c r="F286">
        <v>-1.75325</v>
      </c>
      <c r="G286">
        <f t="shared" si="21"/>
        <v>5.95662</v>
      </c>
      <c r="H286">
        <f t="shared" si="22"/>
        <v>5.95662</v>
      </c>
      <c r="I286" s="5">
        <f t="shared" si="23"/>
        <v>1925</v>
      </c>
      <c r="J286">
        <f>+H286+CF*F286*(1+($I286-1850)*slope/1000)+F286*hQc*COS(2*PI()*$I286/qbo+$L286)+F286*hQs*SIN(2*PI()*$I286/qbo+$L286)+F286*hCs*SIN(2*PI()*$I286/cw)+F286*hCc*COS(2*PI()*$I286/cw) +mix*F286*(hQc*COS(2*PI()*$I286/qbo+$L286)+hQs*SIN(2*PI()*$I286/qbo+$L286))*(hCs*SIN(2*PI()*$I286/cw)+hCc*COS(2*PI()*$I286/cw))</f>
        <v>4.17042817292982</v>
      </c>
      <c r="K286">
        <f>fQc*COS(2*PI()*$I286/qbo+$L286)+fQs*SIN(2*PI()*$I286/qbo+$L286)+fCs*SIN(2*PI()*$I286/cw)+fCc*COS(2*PI()*$I286/cw)</f>
        <v>0.4785717407008816</v>
      </c>
      <c r="L286">
        <f>+QMA*COS(2*PI()*$I286/QM+QMP)</f>
        <v>0.52549778625080512</v>
      </c>
      <c r="P286">
        <f t="shared" si="24"/>
        <v>1</v>
      </c>
    </row>
    <row r="287" spans="1:16" x14ac:dyDescent="0.25">
      <c r="A287" s="1"/>
      <c r="B287" s="4">
        <v>9498</v>
      </c>
      <c r="C287" t="s">
        <v>24</v>
      </c>
      <c r="D287" s="3">
        <v>11.541666666666666</v>
      </c>
      <c r="E287" s="5">
        <f t="shared" si="20"/>
        <v>1926</v>
      </c>
      <c r="F287">
        <v>1.8874</v>
      </c>
      <c r="G287">
        <f t="shared" si="21"/>
        <v>-5.6693199999999999</v>
      </c>
      <c r="H287">
        <f t="shared" si="22"/>
        <v>-5.6693199999999999</v>
      </c>
      <c r="I287" s="5">
        <f t="shared" si="23"/>
        <v>1926</v>
      </c>
      <c r="J287">
        <f>+H287+CF*F287*(1+($I287-1850)*slope/1000)+F287*hQc*COS(2*PI()*$I287/qbo+$L287)+F287*hQs*SIN(2*PI()*$I287/qbo+$L287)+F287*hCs*SIN(2*PI()*$I287/cw)+F287*hCc*COS(2*PI()*$I287/cw) +mix*F287*(hQc*COS(2*PI()*$I287/qbo+$L287)+hQs*SIN(2*PI()*$I287/qbo+$L287))*(hCs*SIN(2*PI()*$I287/cw)+hCc*COS(2*PI()*$I287/cw))</f>
        <v>-24.186620013787973</v>
      </c>
      <c r="K287">
        <f>fQc*COS(2*PI()*$I287/qbo+$L287)+fQs*SIN(2*PI()*$I287/qbo+$L287)+fCs*SIN(2*PI()*$I287/cw)+fCc*COS(2*PI()*$I287/cw)</f>
        <v>-1.695801708505388</v>
      </c>
      <c r="L287">
        <f>+QMA*COS(2*PI()*$I287/QM+QMP)</f>
        <v>0.4941943267710277</v>
      </c>
      <c r="P287">
        <f t="shared" si="24"/>
        <v>1</v>
      </c>
    </row>
    <row r="288" spans="1:16" x14ac:dyDescent="0.25">
      <c r="A288" s="1"/>
      <c r="B288" s="4">
        <v>9863</v>
      </c>
      <c r="C288" t="s">
        <v>24</v>
      </c>
      <c r="D288" s="3">
        <v>11.583333333333334</v>
      </c>
      <c r="E288" s="5">
        <f t="shared" si="20"/>
        <v>1927</v>
      </c>
      <c r="F288">
        <v>-0.14127000000000001</v>
      </c>
      <c r="G288">
        <f t="shared" si="21"/>
        <v>2.4368499999999997</v>
      </c>
      <c r="H288">
        <f t="shared" si="22"/>
        <v>2.4368499999999997</v>
      </c>
      <c r="I288" s="5">
        <f t="shared" si="23"/>
        <v>1927</v>
      </c>
      <c r="J288">
        <f>+H288+CF*F288*(1+($I288-1850)*slope/1000)+F288*hQc*COS(2*PI()*$I288/qbo+$L288)+F288*hQs*SIN(2*PI()*$I288/qbo+$L288)+F288*hCs*SIN(2*PI()*$I288/cw)+F288*hCc*COS(2*PI()*$I288/cw) +mix*F288*(hQc*COS(2*PI()*$I288/qbo+$L288)+hQs*SIN(2*PI()*$I288/qbo+$L288))*(hCs*SIN(2*PI()*$I288/cw)+hCc*COS(2*PI()*$I288/cw))</f>
        <v>0.891392950500979</v>
      </c>
      <c r="K288">
        <f>fQc*COS(2*PI()*$I288/qbo+$L288)+fQs*SIN(2*PI()*$I288/qbo+$L288)+fCs*SIN(2*PI()*$I288/cw)+fCc*COS(2*PI()*$I288/cw)</f>
        <v>-3.5137501997043428</v>
      </c>
      <c r="L288">
        <f>+QMA*COS(2*PI()*$I288/QM+QMP)</f>
        <v>0.45089350104603754</v>
      </c>
      <c r="P288">
        <f t="shared" si="24"/>
        <v>0</v>
      </c>
    </row>
    <row r="289" spans="1:16" x14ac:dyDescent="0.25">
      <c r="A289" s="1"/>
      <c r="B289" s="4">
        <v>10228</v>
      </c>
      <c r="C289" t="s">
        <v>24</v>
      </c>
      <c r="D289" s="3">
        <v>11.625</v>
      </c>
      <c r="E289" s="5">
        <f t="shared" si="20"/>
        <v>1928</v>
      </c>
      <c r="F289">
        <v>0.26690999999999998</v>
      </c>
      <c r="G289">
        <f t="shared" si="21"/>
        <v>-1.9864899999999999</v>
      </c>
      <c r="H289">
        <f t="shared" si="22"/>
        <v>-1.9864899999999999</v>
      </c>
      <c r="I289" s="5">
        <f t="shared" si="23"/>
        <v>1928</v>
      </c>
      <c r="J289">
        <f>+H289+CF*F289*(1+($I289-1850)*slope/1000)+F289*hQc*COS(2*PI()*$I289/qbo+$L289)+F289*hQs*SIN(2*PI()*$I289/qbo+$L289)+F289*hCs*SIN(2*PI()*$I289/cw)+F289*hCc*COS(2*PI()*$I289/cw) +mix*F289*(hQc*COS(2*PI()*$I289/qbo+$L289)+hQs*SIN(2*PI()*$I289/qbo+$L289))*(hCs*SIN(2*PI()*$I289/cw)+hCc*COS(2*PI()*$I289/cw))</f>
        <v>-5.3864537893221032</v>
      </c>
      <c r="K289">
        <f>fQc*COS(2*PI()*$I289/qbo+$L289)+fQs*SIN(2*PI()*$I289/qbo+$L289)+fCs*SIN(2*PI()*$I289/cw)+fCc*COS(2*PI()*$I289/cw)</f>
        <v>-3.6921756331638598</v>
      </c>
      <c r="L289">
        <f>+QMA*COS(2*PI()*$I289/QM+QMP)</f>
        <v>0.39664650662466389</v>
      </c>
      <c r="P289">
        <f t="shared" si="24"/>
        <v>1</v>
      </c>
    </row>
    <row r="290" spans="1:16" x14ac:dyDescent="0.25">
      <c r="A290" s="1"/>
      <c r="B290" s="4">
        <v>10594</v>
      </c>
      <c r="C290" t="s">
        <v>24</v>
      </c>
      <c r="D290" s="3">
        <v>11.666666666666666</v>
      </c>
      <c r="E290" s="5">
        <f t="shared" si="20"/>
        <v>1929</v>
      </c>
      <c r="F290">
        <v>-1.3113999999999999</v>
      </c>
      <c r="G290">
        <f t="shared" si="21"/>
        <v>3.6171199999999999</v>
      </c>
      <c r="H290">
        <f t="shared" si="22"/>
        <v>3.6171199999999999</v>
      </c>
      <c r="I290" s="5">
        <f t="shared" si="23"/>
        <v>1929</v>
      </c>
      <c r="J290">
        <f>+H290+CF*F290*(1+($I290-1850)*slope/1000)+F290*hQc*COS(2*PI()*$I290/qbo+$L290)+F290*hQs*SIN(2*PI()*$I290/qbo+$L290)+F290*hCs*SIN(2*PI()*$I290/cw)+F290*hCc*COS(2*PI()*$I290/cw) +mix*F290*(hQc*COS(2*PI()*$I290/qbo+$L290)+hQs*SIN(2*PI()*$I290/qbo+$L290))*(hCs*SIN(2*PI()*$I290/cw)+hCc*COS(2*PI()*$I290/cw))</f>
        <v>-0.42368389638542925</v>
      </c>
      <c r="K290">
        <f>fQc*COS(2*PI()*$I290/qbo+$L290)+fQs*SIN(2*PI()*$I290/qbo+$L290)+fCs*SIN(2*PI()*$I290/cw)+fCc*COS(2*PI()*$I290/cw)</f>
        <v>-1.5146812176283713</v>
      </c>
      <c r="L290">
        <f>+QMA*COS(2*PI()*$I290/QM+QMP)</f>
        <v>0.332770276997502</v>
      </c>
      <c r="P290">
        <f t="shared" si="24"/>
        <v>1</v>
      </c>
    </row>
    <row r="291" spans="1:16" x14ac:dyDescent="0.25">
      <c r="A291" s="1"/>
      <c r="B291" s="4">
        <v>10959</v>
      </c>
      <c r="C291" t="s">
        <v>24</v>
      </c>
      <c r="D291" s="3">
        <v>11.708333333333334</v>
      </c>
      <c r="E291" s="5">
        <f t="shared" si="20"/>
        <v>1930</v>
      </c>
      <c r="F291">
        <v>0.72741</v>
      </c>
      <c r="G291">
        <f t="shared" si="21"/>
        <v>-0.54781999999999975</v>
      </c>
      <c r="H291">
        <f t="shared" si="22"/>
        <v>-0.54781999999999975</v>
      </c>
      <c r="I291" s="5">
        <f t="shared" si="23"/>
        <v>1930</v>
      </c>
      <c r="J291">
        <f>+H291+CF*F291*(1+($I291-1850)*slope/1000)+F291*hQc*COS(2*PI()*$I291/qbo+$L291)+F291*hQs*SIN(2*PI()*$I291/qbo+$L291)+F291*hCs*SIN(2*PI()*$I291/cw)+F291*hCc*COS(2*PI()*$I291/cw) +mix*F291*(hQc*COS(2*PI()*$I291/qbo+$L291)+hQs*SIN(2*PI()*$I291/qbo+$L291))*(hCs*SIN(2*PI()*$I291/cw)+hCc*COS(2*PI()*$I291/cw))</f>
        <v>-1.3667887823326001</v>
      </c>
      <c r="K291">
        <f>fQc*COS(2*PI()*$I291/qbo+$L291)+fQs*SIN(2*PI()*$I291/qbo+$L291)+fCs*SIN(2*PI()*$I291/cw)+fCc*COS(2*PI()*$I291/cw)</f>
        <v>0.45315223495244716</v>
      </c>
      <c r="L291">
        <f>+QMA*COS(2*PI()*$I291/QM+QMP)</f>
        <v>0.26081551090725907</v>
      </c>
      <c r="P291">
        <f t="shared" si="24"/>
        <v>0</v>
      </c>
    </row>
    <row r="292" spans="1:16" x14ac:dyDescent="0.25">
      <c r="A292" s="1"/>
      <c r="B292" s="4">
        <v>11324</v>
      </c>
      <c r="C292" t="s">
        <v>24</v>
      </c>
      <c r="D292" s="3">
        <v>11.75</v>
      </c>
      <c r="E292" s="5">
        <f t="shared" si="20"/>
        <v>1931</v>
      </c>
      <c r="F292">
        <v>2.2183999999999999</v>
      </c>
      <c r="G292">
        <f t="shared" si="21"/>
        <v>-3.2621199999999999</v>
      </c>
      <c r="H292">
        <f t="shared" si="22"/>
        <v>-3.2621199999999999</v>
      </c>
      <c r="I292" s="5">
        <f t="shared" si="23"/>
        <v>1931</v>
      </c>
      <c r="J292">
        <f>+H292+CF*F292*(1+($I292-1850)*slope/1000)+F292*hQc*COS(2*PI()*$I292/qbo+$L292)+F292*hQs*SIN(2*PI()*$I292/qbo+$L292)+F292*hCs*SIN(2*PI()*$I292/cw)+F292*hCc*COS(2*PI()*$I292/cw) +mix*F292*(hQc*COS(2*PI()*$I292/qbo+$L292)+hQs*SIN(2*PI()*$I292/qbo+$L292))*(hCs*SIN(2*PI()*$I292/cw)+hCc*COS(2*PI()*$I292/cw))</f>
        <v>-2.2898179175109217</v>
      </c>
      <c r="K292">
        <f>fQc*COS(2*PI()*$I292/qbo+$L292)+fQs*SIN(2*PI()*$I292/qbo+$L292)+fCs*SIN(2*PI()*$I292/cw)+fCc*COS(2*PI()*$I292/cw)</f>
        <v>3.2623751806257673</v>
      </c>
      <c r="L292">
        <f>+QMA*COS(2*PI()*$I292/QM+QMP)</f>
        <v>0.182529026629903</v>
      </c>
      <c r="P292">
        <f t="shared" si="24"/>
        <v>0</v>
      </c>
    </row>
    <row r="293" spans="1:16" x14ac:dyDescent="0.25">
      <c r="A293" s="1"/>
      <c r="B293" s="4">
        <v>11689</v>
      </c>
      <c r="C293" t="s">
        <v>24</v>
      </c>
      <c r="D293" s="3">
        <v>11.791666666666666</v>
      </c>
      <c r="E293" s="5">
        <f t="shared" si="20"/>
        <v>1932</v>
      </c>
      <c r="F293">
        <v>0.44727</v>
      </c>
      <c r="G293">
        <f t="shared" si="21"/>
        <v>1.1273599999999999</v>
      </c>
      <c r="H293">
        <f t="shared" si="22"/>
        <v>1.1273599999999999</v>
      </c>
      <c r="I293" s="5">
        <f t="shared" si="23"/>
        <v>1932</v>
      </c>
      <c r="J293">
        <f>+H293+CF*F293*(1+($I293-1850)*slope/1000)+F293*hQc*COS(2*PI()*$I293/qbo+$L293)+F293*hQs*SIN(2*PI()*$I293/qbo+$L293)+F293*hCs*SIN(2*PI()*$I293/cw)+F293*hCc*COS(2*PI()*$I293/cw) +mix*F293*(hQc*COS(2*PI()*$I293/qbo+$L293)+hQs*SIN(2*PI()*$I293/qbo+$L293))*(hCs*SIN(2*PI()*$I293/cw)+hCc*COS(2*PI()*$I293/cw))</f>
        <v>-0.23903034821786884</v>
      </c>
      <c r="K293">
        <f>fQc*COS(2*PI()*$I293/qbo+$L293)+fQs*SIN(2*PI()*$I293/qbo+$L293)+fCs*SIN(2*PI()*$I293/cw)+fCc*COS(2*PI()*$I293/cw)</f>
        <v>3.6088629143027298</v>
      </c>
      <c r="L293">
        <f>+QMA*COS(2*PI()*$I293/QM+QMP)</f>
        <v>9.9811355136877208E-2</v>
      </c>
      <c r="P293">
        <f t="shared" si="24"/>
        <v>0</v>
      </c>
    </row>
    <row r="294" spans="1:16" x14ac:dyDescent="0.25">
      <c r="A294" s="1"/>
      <c r="B294" s="4">
        <v>12055</v>
      </c>
      <c r="C294" t="s">
        <v>24</v>
      </c>
      <c r="D294" s="3">
        <v>11.833333333333334</v>
      </c>
      <c r="E294" s="5">
        <f t="shared" si="20"/>
        <v>1933</v>
      </c>
      <c r="F294">
        <v>-0.19650000000000001</v>
      </c>
      <c r="G294">
        <f t="shared" si="21"/>
        <v>-0.84888999999999992</v>
      </c>
      <c r="H294">
        <f t="shared" si="22"/>
        <v>-0.84888999999999992</v>
      </c>
      <c r="I294" s="5">
        <f t="shared" si="23"/>
        <v>1933</v>
      </c>
      <c r="J294">
        <f>+H294+CF*F294*(1+($I294-1850)*slope/1000)+F294*hQc*COS(2*PI()*$I294/qbo+$L294)+F294*hQs*SIN(2*PI()*$I294/qbo+$L294)+F294*hCs*SIN(2*PI()*$I294/cw)+F294*hCc*COS(2*PI()*$I294/cw) +mix*F294*(hQc*COS(2*PI()*$I294/qbo+$L294)+hQs*SIN(2*PI()*$I294/qbo+$L294))*(hCs*SIN(2*PI()*$I294/cw)+hCc*COS(2*PI()*$I294/cw))</f>
        <v>-0.6417695415042437</v>
      </c>
      <c r="K294">
        <f>fQc*COS(2*PI()*$I294/qbo+$L294)+fQs*SIN(2*PI()*$I294/qbo+$L294)+fCs*SIN(2*PI()*$I294/cw)+fCc*COS(2*PI()*$I294/cw)</f>
        <v>2.6731372295525597</v>
      </c>
      <c r="L294">
        <f>+QMA*COS(2*PI()*$I294/QM+QMP)</f>
        <v>1.4670601633116115E-2</v>
      </c>
      <c r="P294">
        <f t="shared" si="24"/>
        <v>0</v>
      </c>
    </row>
    <row r="295" spans="1:16" x14ac:dyDescent="0.25">
      <c r="A295" s="1"/>
      <c r="B295" s="4">
        <v>12420</v>
      </c>
      <c r="C295" t="s">
        <v>24</v>
      </c>
      <c r="D295" s="3">
        <v>11.875</v>
      </c>
      <c r="E295" s="5">
        <f t="shared" si="20"/>
        <v>1934</v>
      </c>
      <c r="F295">
        <v>-1.68916</v>
      </c>
      <c r="G295">
        <f t="shared" si="21"/>
        <v>2.8805499999999999</v>
      </c>
      <c r="H295">
        <f t="shared" si="22"/>
        <v>2.8805499999999999</v>
      </c>
      <c r="I295" s="5">
        <f t="shared" si="23"/>
        <v>1934</v>
      </c>
      <c r="J295">
        <f>+H295+CF*F295*(1+($I295-1850)*slope/1000)+F295*hQc*COS(2*PI()*$I295/qbo+$L295)+F295*hQs*SIN(2*PI()*$I295/qbo+$L295)+F295*hCs*SIN(2*PI()*$I295/cw)+F295*hCc*COS(2*PI()*$I295/cw) +mix*F295*(hQc*COS(2*PI()*$I295/qbo+$L295)+hQs*SIN(2*PI()*$I295/qbo+$L295))*(hCs*SIN(2*PI()*$I295/cw)+hCc*COS(2*PI()*$I295/cw))</f>
        <v>-3.4430800371088748</v>
      </c>
      <c r="K295">
        <f>fQc*COS(2*PI()*$I295/qbo+$L295)+fQs*SIN(2*PI()*$I295/qbo+$L295)+fCs*SIN(2*PI()*$I295/cw)+fCc*COS(2*PI()*$I295/cw)</f>
        <v>0.54162647351320059</v>
      </c>
      <c r="L295">
        <f>+QMA*COS(2*PI()*$I295/QM+QMP)</f>
        <v>-7.0826304443247654E-2</v>
      </c>
      <c r="P295">
        <f t="shared" si="24"/>
        <v>0</v>
      </c>
    </row>
    <row r="296" spans="1:16" x14ac:dyDescent="0.25">
      <c r="A296" s="1"/>
      <c r="B296" s="4">
        <v>12785</v>
      </c>
      <c r="C296" t="s">
        <v>24</v>
      </c>
      <c r="D296" s="3">
        <v>11.916666666666666</v>
      </c>
      <c r="E296" s="5">
        <f t="shared" si="20"/>
        <v>1935</v>
      </c>
      <c r="F296">
        <v>-0.30126999999999998</v>
      </c>
      <c r="G296">
        <f t="shared" si="21"/>
        <v>-1.0414099999999999</v>
      </c>
      <c r="H296">
        <f t="shared" si="22"/>
        <v>-1.0414099999999999</v>
      </c>
      <c r="I296" s="5">
        <f t="shared" si="23"/>
        <v>1935</v>
      </c>
      <c r="J296">
        <f>+H296+CF*F296*(1+($I296-1850)*slope/1000)+F296*hQc*COS(2*PI()*$I296/qbo+$L296)+F296*hQs*SIN(2*PI()*$I296/qbo+$L296)+F296*hCs*SIN(2*PI()*$I296/cw)+F296*hCc*COS(2*PI()*$I296/cw) +mix*F296*(hQc*COS(2*PI()*$I296/qbo+$L296)+hQs*SIN(2*PI()*$I296/qbo+$L296))*(hCs*SIN(2*PI()*$I296/cw)+hCc*COS(2*PI()*$I296/cw))</f>
        <v>1.3361690199188696</v>
      </c>
      <c r="K296">
        <f>fQc*COS(2*PI()*$I296/qbo+$L296)+fQs*SIN(2*PI()*$I296/qbo+$L296)+fCs*SIN(2*PI()*$I296/cw)+fCc*COS(2*PI()*$I296/cw)</f>
        <v>-2.4776881357875018</v>
      </c>
      <c r="L296">
        <f>+QMA*COS(2*PI()*$I296/QM+QMP)</f>
        <v>-0.15460378747449738</v>
      </c>
      <c r="P296">
        <f t="shared" si="24"/>
        <v>0</v>
      </c>
    </row>
    <row r="297" spans="1:16" x14ac:dyDescent="0.25">
      <c r="A297" s="1"/>
      <c r="B297" s="4">
        <v>13150</v>
      </c>
      <c r="C297" t="s">
        <v>24</v>
      </c>
      <c r="D297" s="3">
        <v>11.958333333333334</v>
      </c>
      <c r="E297" s="5">
        <f t="shared" si="20"/>
        <v>1936</v>
      </c>
      <c r="F297">
        <v>4.521E-2</v>
      </c>
      <c r="G297">
        <f t="shared" si="21"/>
        <v>4.8209999999999975E-2</v>
      </c>
      <c r="H297">
        <f t="shared" si="22"/>
        <v>4.8209999999999975E-2</v>
      </c>
      <c r="I297" s="5">
        <f t="shared" si="23"/>
        <v>1936</v>
      </c>
      <c r="J297">
        <f>+H297+CF*F297*(1+($I297-1850)*slope/1000)+F297*hQc*COS(2*PI()*$I297/qbo+$L297)+F297*hQs*SIN(2*PI()*$I297/qbo+$L297)+F297*hCs*SIN(2*PI()*$I297/cw)+F297*hCc*COS(2*PI()*$I297/cw) +mix*F297*(hQc*COS(2*PI()*$I297/qbo+$L297)+hQs*SIN(2*PI()*$I297/qbo+$L297))*(hCs*SIN(2*PI()*$I297/cw)+hCc*COS(2*PI()*$I297/cw))</f>
        <v>-2.2577283686285084E-2</v>
      </c>
      <c r="K297">
        <f>fQc*COS(2*PI()*$I297/qbo+$L297)+fQs*SIN(2*PI()*$I297/qbo+$L297)+fCs*SIN(2*PI()*$I297/cw)+fCc*COS(2*PI()*$I297/cw)</f>
        <v>-3.323036559834402</v>
      </c>
      <c r="L297">
        <f>+QMA*COS(2*PI()*$I297/QM+QMP)</f>
        <v>-0.23462801361724531</v>
      </c>
      <c r="P297">
        <f t="shared" si="24"/>
        <v>1</v>
      </c>
    </row>
    <row r="298" spans="1:16" x14ac:dyDescent="0.25">
      <c r="A298" s="1"/>
      <c r="B298" s="4">
        <v>13516</v>
      </c>
      <c r="C298" t="s">
        <v>24</v>
      </c>
      <c r="D298" s="3">
        <v>12</v>
      </c>
      <c r="E298" s="5">
        <f t="shared" si="20"/>
        <v>1937</v>
      </c>
      <c r="F298">
        <v>0.43990000000000001</v>
      </c>
      <c r="G298">
        <f t="shared" si="21"/>
        <v>-0.63463999999999998</v>
      </c>
      <c r="H298">
        <f t="shared" si="22"/>
        <v>-0.63463999999999998</v>
      </c>
      <c r="I298" s="5">
        <f t="shared" si="23"/>
        <v>1937</v>
      </c>
      <c r="J298">
        <f>+H298+CF*F298*(1+($I298-1850)*slope/1000)+F298*hQc*COS(2*PI()*$I298/qbo+$L298)+F298*hQs*SIN(2*PI()*$I298/qbo+$L298)+F298*hCs*SIN(2*PI()*$I298/cw)+F298*hCc*COS(2*PI()*$I298/cw) +mix*F298*(hQc*COS(2*PI()*$I298/qbo+$L298)+hQs*SIN(2*PI()*$I298/qbo+$L298))*(hCs*SIN(2*PI()*$I298/cw)+hCc*COS(2*PI()*$I298/cw))</f>
        <v>0.7859089550004501</v>
      </c>
      <c r="K298">
        <f>fQc*COS(2*PI()*$I298/qbo+$L298)+fQs*SIN(2*PI()*$I298/qbo+$L298)+fCs*SIN(2*PI()*$I298/cw)+fCc*COS(2*PI()*$I298/cw)</f>
        <v>-3.613070383014354</v>
      </c>
      <c r="L298">
        <f>+QMA*COS(2*PI()*$I298/QM+QMP)</f>
        <v>-0.30895626540683629</v>
      </c>
      <c r="P298">
        <f t="shared" si="24"/>
        <v>0</v>
      </c>
    </row>
    <row r="299" spans="1:16" x14ac:dyDescent="0.25">
      <c r="A299" s="1"/>
      <c r="B299" s="4">
        <v>13881</v>
      </c>
      <c r="C299" t="s">
        <v>24</v>
      </c>
      <c r="D299" s="3">
        <v>12.041666666666666</v>
      </c>
      <c r="E299" s="5">
        <f t="shared" si="20"/>
        <v>1938</v>
      </c>
      <c r="F299">
        <v>0.19994999999999999</v>
      </c>
      <c r="G299">
        <f t="shared" si="21"/>
        <v>-0.62230999999999992</v>
      </c>
      <c r="H299">
        <f t="shared" si="22"/>
        <v>-0.62230999999999992</v>
      </c>
      <c r="I299" s="5">
        <f t="shared" si="23"/>
        <v>1938</v>
      </c>
      <c r="J299">
        <f>+H299+CF*F299*(1+($I299-1850)*slope/1000)+F299*hQc*COS(2*PI()*$I299/qbo+$L299)+F299*hQs*SIN(2*PI()*$I299/qbo+$L299)+F299*hCs*SIN(2*PI()*$I299/cw)+F299*hCc*COS(2*PI()*$I299/cw) +mix*F299*(hQc*COS(2*PI()*$I299/qbo+$L299)+hQs*SIN(2*PI()*$I299/qbo+$L299))*(hCs*SIN(2*PI()*$I299/cw)+hCc*COS(2*PI()*$I299/cw))</f>
        <v>-2.0188549417338741</v>
      </c>
      <c r="K299">
        <f>fQc*COS(2*PI()*$I299/qbo+$L299)+fQs*SIN(2*PI()*$I299/qbo+$L299)+fCs*SIN(2*PI()*$I299/cw)+fCc*COS(2*PI()*$I299/cw)</f>
        <v>-1.3248508866391582</v>
      </c>
      <c r="L299">
        <f>+QMA*COS(2*PI()*$I299/QM+QMP)</f>
        <v>-0.37578410436481752</v>
      </c>
      <c r="P299">
        <f t="shared" si="24"/>
        <v>1</v>
      </c>
    </row>
    <row r="300" spans="1:16" x14ac:dyDescent="0.25">
      <c r="A300" s="1"/>
      <c r="B300" s="4">
        <v>14246</v>
      </c>
      <c r="C300" t="s">
        <v>24</v>
      </c>
      <c r="D300" s="3">
        <v>12.083333333333334</v>
      </c>
      <c r="E300" s="5">
        <f t="shared" si="20"/>
        <v>1939</v>
      </c>
      <c r="F300">
        <v>-0.66230999999999995</v>
      </c>
      <c r="G300">
        <f t="shared" si="21"/>
        <v>2.4085000000000001</v>
      </c>
      <c r="H300">
        <f t="shared" si="22"/>
        <v>2.4085000000000001</v>
      </c>
      <c r="I300" s="5">
        <f t="shared" si="23"/>
        <v>1939</v>
      </c>
      <c r="J300">
        <f>+H300+CF*F300*(1+($I300-1850)*slope/1000)+F300*hQc*COS(2*PI()*$I300/qbo+$L300)+F300*hQs*SIN(2*PI()*$I300/qbo+$L300)+F300*hCs*SIN(2*PI()*$I300/cw)+F300*hCc*COS(2*PI()*$I300/cw) +mix*F300*(hQc*COS(2*PI()*$I300/qbo+$L300)+hQs*SIN(2*PI()*$I300/qbo+$L300))*(hCs*SIN(2*PI()*$I300/cw)+hCc*COS(2*PI()*$I300/cw))</f>
        <v>2.6643850028402576</v>
      </c>
      <c r="K300">
        <f>fQc*COS(2*PI()*$I300/qbo+$L300)+fQs*SIN(2*PI()*$I300/qbo+$L300)+fCs*SIN(2*PI()*$I300/cw)+fCc*COS(2*PI()*$I300/cw)</f>
        <v>1.21231869720352</v>
      </c>
      <c r="L300">
        <f>+QMA*COS(2*PI()*$I300/QM+QMP)</f>
        <v>-0.43348917666004139</v>
      </c>
      <c r="P300">
        <f t="shared" si="24"/>
        <v>1</v>
      </c>
    </row>
    <row r="301" spans="1:16" x14ac:dyDescent="0.25">
      <c r="A301" s="1"/>
      <c r="B301" s="4">
        <v>14611</v>
      </c>
      <c r="C301" t="s">
        <v>24</v>
      </c>
      <c r="D301" s="3">
        <v>12.125</v>
      </c>
      <c r="E301" s="5">
        <f t="shared" si="20"/>
        <v>1940</v>
      </c>
      <c r="F301">
        <v>0.88392999999999999</v>
      </c>
      <c r="G301">
        <f t="shared" si="21"/>
        <v>0.60088000000000008</v>
      </c>
      <c r="H301">
        <f t="shared" si="22"/>
        <v>0.60088000000000008</v>
      </c>
      <c r="I301" s="5">
        <f t="shared" si="23"/>
        <v>1940</v>
      </c>
      <c r="J301">
        <f>+H301+CF*F301*(1+($I301-1850)*slope/1000)+F301*hQc*COS(2*PI()*$I301/qbo+$L301)+F301*hQs*SIN(2*PI()*$I301/qbo+$L301)+F301*hCs*SIN(2*PI()*$I301/cw)+F301*hCc*COS(2*PI()*$I301/cw) +mix*F301*(hQc*COS(2*PI()*$I301/qbo+$L301)+hQs*SIN(2*PI()*$I301/qbo+$L301))*(hCs*SIN(2*PI()*$I301/cw)+hCc*COS(2*PI()*$I301/cw))</f>
        <v>2.2335397712634522</v>
      </c>
      <c r="K301">
        <f>fQc*COS(2*PI()*$I301/qbo+$L301)+fQs*SIN(2*PI()*$I301/qbo+$L301)+fCs*SIN(2*PI()*$I301/cw)+fCc*COS(2*PI()*$I301/cw)</f>
        <v>3.0158022271638352</v>
      </c>
      <c r="L301">
        <f>+QMA*COS(2*PI()*$I301/QM+QMP)</f>
        <v>-0.48067059837086812</v>
      </c>
      <c r="P301">
        <f t="shared" si="24"/>
        <v>1</v>
      </c>
    </row>
    <row r="302" spans="1:16" x14ac:dyDescent="0.25">
      <c r="A302" s="1"/>
      <c r="B302" s="4">
        <v>14977</v>
      </c>
      <c r="C302" t="s">
        <v>24</v>
      </c>
      <c r="D302" s="3">
        <v>12.166666666666666</v>
      </c>
      <c r="E302" s="5">
        <f t="shared" si="20"/>
        <v>1941</v>
      </c>
      <c r="F302">
        <v>3.03105</v>
      </c>
      <c r="G302">
        <f t="shared" si="21"/>
        <v>-2.4285700000000001</v>
      </c>
      <c r="H302">
        <f t="shared" si="22"/>
        <v>-2.4285700000000001</v>
      </c>
      <c r="I302" s="5">
        <f t="shared" si="23"/>
        <v>1941</v>
      </c>
      <c r="J302">
        <f>+H302+CF*F302*(1+($I302-1850)*slope/1000)+F302*hQc*COS(2*PI()*$I302/qbo+$L302)+F302*hQs*SIN(2*PI()*$I302/qbo+$L302)+F302*hCs*SIN(2*PI()*$I302/cw)+F302*hCc*COS(2*PI()*$I302/cw) +mix*F302*(hQc*COS(2*PI()*$I302/qbo+$L302)+hQs*SIN(2*PI()*$I302/qbo+$L302))*(hCs*SIN(2*PI()*$I302/cw)+hCc*COS(2*PI()*$I302/cw))</f>
        <v>-9.9775463970767877</v>
      </c>
      <c r="K302">
        <f>fQc*COS(2*PI()*$I302/qbo+$L302)+fQs*SIN(2*PI()*$I302/qbo+$L302)+fCs*SIN(2*PI()*$I302/cw)+fCc*COS(2*PI()*$I302/cw)</f>
        <v>4.0050893926123692</v>
      </c>
      <c r="L302">
        <f>+QMA*COS(2*PI()*$I302/QM+QMP)</f>
        <v>-0.516182964207205</v>
      </c>
      <c r="P302">
        <f t="shared" si="24"/>
        <v>0</v>
      </c>
    </row>
    <row r="303" spans="1:16" x14ac:dyDescent="0.25">
      <c r="A303" s="1"/>
      <c r="B303" s="4">
        <v>15342</v>
      </c>
      <c r="C303" t="s">
        <v>24</v>
      </c>
      <c r="D303" s="3">
        <v>12.208333333333334</v>
      </c>
      <c r="E303" s="5">
        <f t="shared" si="20"/>
        <v>1942</v>
      </c>
      <c r="F303">
        <v>2.7496</v>
      </c>
      <c r="G303">
        <f t="shared" si="21"/>
        <v>-2.8032699999999999</v>
      </c>
      <c r="H303">
        <f t="shared" si="22"/>
        <v>-2.8032699999999999</v>
      </c>
      <c r="I303" s="5">
        <f t="shared" si="23"/>
        <v>1942</v>
      </c>
      <c r="J303">
        <f>+H303+CF*F303*(1+($I303-1850)*slope/1000)+F303*hQc*COS(2*PI()*$I303/qbo+$L303)+F303*hQs*SIN(2*PI()*$I303/qbo+$L303)+F303*hCs*SIN(2*PI()*$I303/cw)+F303*hCc*COS(2*PI()*$I303/cw) +mix*F303*(hQc*COS(2*PI()*$I303/qbo+$L303)+hQs*SIN(2*PI()*$I303/qbo+$L303))*(hCs*SIN(2*PI()*$I303/cw)+hCc*COS(2*PI()*$I303/cw))</f>
        <v>-6.48732320275563</v>
      </c>
      <c r="K303">
        <f>fQc*COS(2*PI()*$I303/qbo+$L303)+fQs*SIN(2*PI()*$I303/qbo+$L303)+fCs*SIN(2*PI()*$I303/cw)+fCc*COS(2*PI()*$I303/cw)</f>
        <v>2.0832751401315788</v>
      </c>
      <c r="L303">
        <f>+QMA*COS(2*PI()*$I303/QM+QMP)</f>
        <v>-0.53916415407559548</v>
      </c>
      <c r="P303">
        <f t="shared" si="24"/>
        <v>0</v>
      </c>
    </row>
    <row r="304" spans="1:16" x14ac:dyDescent="0.25">
      <c r="A304" s="1"/>
      <c r="B304" s="4">
        <v>15707</v>
      </c>
      <c r="C304" t="s">
        <v>24</v>
      </c>
      <c r="D304" s="3">
        <v>12.25</v>
      </c>
      <c r="E304" s="5">
        <f t="shared" si="20"/>
        <v>1943</v>
      </c>
      <c r="F304">
        <v>-0.33511999999999997</v>
      </c>
      <c r="G304">
        <f t="shared" si="21"/>
        <v>4.7054</v>
      </c>
      <c r="H304">
        <f t="shared" si="22"/>
        <v>4.7054</v>
      </c>
      <c r="I304" s="5">
        <f t="shared" si="23"/>
        <v>1943</v>
      </c>
      <c r="J304">
        <f>+H304+CF*F304*(1+($I304-1850)*slope/1000)+F304*hQc*COS(2*PI()*$I304/qbo+$L304)+F304*hQs*SIN(2*PI()*$I304/qbo+$L304)+F304*hCs*SIN(2*PI()*$I304/cw)+F304*hCc*COS(2*PI()*$I304/cw) +mix*F304*(hQc*COS(2*PI()*$I304/qbo+$L304)+hQs*SIN(2*PI()*$I304/qbo+$L304))*(hCs*SIN(2*PI()*$I304/cw)+hCc*COS(2*PI()*$I304/cw))</f>
        <v>6.0115727462319644</v>
      </c>
      <c r="K304">
        <f>fQc*COS(2*PI()*$I304/qbo+$L304)+fQs*SIN(2*PI()*$I304/qbo+$L304)+fCs*SIN(2*PI()*$I304/cw)+fCc*COS(2*PI()*$I304/cw)</f>
        <v>0.23367133029457143</v>
      </c>
      <c r="L304">
        <f>+QMA*COS(2*PI()*$I304/QM+QMP)</f>
        <v>-0.54905626243834593</v>
      </c>
      <c r="P304">
        <f t="shared" si="24"/>
        <v>1</v>
      </c>
    </row>
    <row r="305" spans="1:16" x14ac:dyDescent="0.25">
      <c r="A305" s="1"/>
      <c r="B305" s="4">
        <v>16072</v>
      </c>
      <c r="C305" t="s">
        <v>24</v>
      </c>
      <c r="D305" s="3">
        <v>12.291666666666666</v>
      </c>
      <c r="E305" s="5">
        <f t="shared" si="20"/>
        <v>1944</v>
      </c>
      <c r="F305">
        <v>1.28556</v>
      </c>
      <c r="G305">
        <f t="shared" si="21"/>
        <v>-2.65632</v>
      </c>
      <c r="H305">
        <f t="shared" si="22"/>
        <v>-2.65632</v>
      </c>
      <c r="I305" s="5">
        <f t="shared" si="23"/>
        <v>1944</v>
      </c>
      <c r="J305">
        <f>+H305+CF*F305*(1+($I305-1850)*slope/1000)+F305*hQc*COS(2*PI()*$I305/qbo+$L305)+F305*hQs*SIN(2*PI()*$I305/qbo+$L305)+F305*hCs*SIN(2*PI()*$I305/cw)+F305*hCc*COS(2*PI()*$I305/cw) +mix*F305*(hQc*COS(2*PI()*$I305/qbo+$L305)+hQs*SIN(2*PI()*$I305/qbo+$L305))*(hCs*SIN(2*PI()*$I305/cw)+hCc*COS(2*PI()*$I305/cw))</f>
        <v>4.7875771336521726</v>
      </c>
      <c r="K305">
        <f>fQc*COS(2*PI()*$I305/qbo+$L305)+fQs*SIN(2*PI()*$I305/qbo+$L305)+fCs*SIN(2*PI()*$I305/cw)+fCc*COS(2*PI()*$I305/cw)</f>
        <v>-2.6734901174206023</v>
      </c>
      <c r="L305">
        <f>+QMA*COS(2*PI()*$I305/QM+QMP)</f>
        <v>-0.54561914237240894</v>
      </c>
      <c r="P305">
        <f t="shared" si="24"/>
        <v>0</v>
      </c>
    </row>
    <row r="306" spans="1:16" x14ac:dyDescent="0.25">
      <c r="A306" s="1"/>
      <c r="B306" s="4">
        <v>16438</v>
      </c>
      <c r="C306" t="s">
        <v>24</v>
      </c>
      <c r="D306" s="3">
        <v>12.333333333333334</v>
      </c>
      <c r="E306" s="5">
        <f t="shared" si="20"/>
        <v>1945</v>
      </c>
      <c r="F306">
        <v>0.24992</v>
      </c>
      <c r="G306">
        <f t="shared" si="21"/>
        <v>-0.86904999999999988</v>
      </c>
      <c r="H306">
        <f t="shared" si="22"/>
        <v>-0.86904999999999988</v>
      </c>
      <c r="I306" s="5">
        <f t="shared" si="23"/>
        <v>1945</v>
      </c>
      <c r="J306">
        <f>+H306+CF*F306*(1+($I306-1850)*slope/1000)+F306*hQc*COS(2*PI()*$I306/qbo+$L306)+F306*hQs*SIN(2*PI()*$I306/qbo+$L306)+F306*hCs*SIN(2*PI()*$I306/cw)+F306*hCc*COS(2*PI()*$I306/cw) +mix*F306*(hQc*COS(2*PI()*$I306/qbo+$L306)+hQs*SIN(2*PI()*$I306/qbo+$L306))*(hCs*SIN(2*PI()*$I306/cw)+hCc*COS(2*PI()*$I306/cw))</f>
        <v>-4.5335224678025421</v>
      </c>
      <c r="K306">
        <f>fQc*COS(2*PI()*$I306/qbo+$L306)+fQs*SIN(2*PI()*$I306/qbo+$L306)+fCs*SIN(2*PI()*$I306/cw)+fCc*COS(2*PI()*$I306/cw)</f>
        <v>-3.6707229812123252</v>
      </c>
      <c r="L306">
        <f>+QMA*COS(2*PI()*$I306/QM+QMP)</f>
        <v>-0.52893623552417168</v>
      </c>
      <c r="P306">
        <f t="shared" si="24"/>
        <v>1</v>
      </c>
    </row>
    <row r="307" spans="1:16" x14ac:dyDescent="0.25">
      <c r="A307" s="1"/>
      <c r="B307" s="4">
        <v>16803</v>
      </c>
      <c r="C307" t="s">
        <v>24</v>
      </c>
      <c r="D307" s="3">
        <v>12.375</v>
      </c>
      <c r="E307" s="5">
        <f t="shared" si="20"/>
        <v>1946</v>
      </c>
      <c r="F307">
        <v>-1.6547700000000001</v>
      </c>
      <c r="G307">
        <f t="shared" si="21"/>
        <v>4.01302</v>
      </c>
      <c r="H307">
        <f t="shared" si="22"/>
        <v>4.01302</v>
      </c>
      <c r="I307" s="5">
        <f t="shared" si="23"/>
        <v>1946</v>
      </c>
      <c r="J307">
        <f>+H307+CF*F307*(1+($I307-1850)*slope/1000)+F307*hQc*COS(2*PI()*$I307/qbo+$L307)+F307*hQs*SIN(2*PI()*$I307/qbo+$L307)+F307*hCs*SIN(2*PI()*$I307/cw)+F307*hCc*COS(2*PI()*$I307/cw) +mix*F307*(hQc*COS(2*PI()*$I307/qbo+$L307)+hQs*SIN(2*PI()*$I307/qbo+$L307))*(hCs*SIN(2*PI()*$I307/cw)+hCc*COS(2*PI()*$I307/cw))</f>
        <v>-9.8823058306257607</v>
      </c>
      <c r="K307">
        <f>fQc*COS(2*PI()*$I307/qbo+$L307)+fQs*SIN(2*PI()*$I307/qbo+$L307)+fCs*SIN(2*PI()*$I307/cw)+fCc*COS(2*PI()*$I307/cw)</f>
        <v>-3.071998730556365</v>
      </c>
      <c r="L307">
        <f>+QMA*COS(2*PI()*$I307/QM+QMP)</f>
        <v>-0.49941254642859328</v>
      </c>
      <c r="P307">
        <f t="shared" si="24"/>
        <v>1</v>
      </c>
    </row>
    <row r="308" spans="1:16" x14ac:dyDescent="0.25">
      <c r="A308" s="1"/>
      <c r="B308" s="4">
        <v>17168</v>
      </c>
      <c r="C308" t="s">
        <v>24</v>
      </c>
      <c r="D308" s="3">
        <v>12.416666666666666</v>
      </c>
      <c r="E308" s="5">
        <f t="shared" si="20"/>
        <v>1947</v>
      </c>
      <c r="F308">
        <v>0.45356000000000002</v>
      </c>
      <c r="G308">
        <f t="shared" si="21"/>
        <v>-2.3007200000000001</v>
      </c>
      <c r="H308">
        <f t="shared" si="22"/>
        <v>-2.3007200000000001</v>
      </c>
      <c r="I308" s="5">
        <f t="shared" si="23"/>
        <v>1947</v>
      </c>
      <c r="J308">
        <f>+H308+CF*F308*(1+($I308-1850)*slope/1000)+F308*hQc*COS(2*PI()*$I308/qbo+$L308)+F308*hQs*SIN(2*PI()*$I308/qbo+$L308)+F308*hCs*SIN(2*PI()*$I308/cw)+F308*hCc*COS(2*PI()*$I308/cw) +mix*F308*(hQc*COS(2*PI()*$I308/qbo+$L308)+hQs*SIN(2*PI()*$I308/qbo+$L308))*(hCs*SIN(2*PI()*$I308/cw)+hCc*COS(2*PI()*$I308/cw))</f>
        <v>-5.3006324136172012</v>
      </c>
      <c r="K308">
        <f>fQc*COS(2*PI()*$I308/qbo+$L308)+fQs*SIN(2*PI()*$I308/qbo+$L308)+fCs*SIN(2*PI()*$I308/cw)+fCc*COS(2*PI()*$I308/cw)</f>
        <v>-1.2750430164459567</v>
      </c>
      <c r="L308">
        <f>+QMA*COS(2*PI()*$I308/QM+QMP)</f>
        <v>-0.45776481036933175</v>
      </c>
      <c r="P308">
        <f t="shared" si="24"/>
        <v>1</v>
      </c>
    </row>
    <row r="309" spans="1:16" x14ac:dyDescent="0.25">
      <c r="A309" s="1"/>
      <c r="B309" s="4">
        <v>17533</v>
      </c>
      <c r="C309" t="s">
        <v>24</v>
      </c>
      <c r="D309" s="3">
        <v>12.458333333333334</v>
      </c>
      <c r="E309" s="5">
        <f t="shared" si="20"/>
        <v>1948</v>
      </c>
      <c r="F309">
        <v>0.26117000000000001</v>
      </c>
      <c r="G309">
        <f t="shared" si="21"/>
        <v>0.22387999999999997</v>
      </c>
      <c r="H309">
        <f t="shared" si="22"/>
        <v>0.22387999999999997</v>
      </c>
      <c r="I309" s="5">
        <f t="shared" si="23"/>
        <v>1948</v>
      </c>
      <c r="J309">
        <f>+H309+CF*F309*(1+($I309-1850)*slope/1000)+F309*hQc*COS(2*PI()*$I309/qbo+$L309)+F309*hQs*SIN(2*PI()*$I309/qbo+$L309)+F309*hCs*SIN(2*PI()*$I309/cw)+F309*hCc*COS(2*PI()*$I309/cw) +mix*F309*(hQc*COS(2*PI()*$I309/qbo+$L309)+hQs*SIN(2*PI()*$I309/qbo+$L309))*(hCs*SIN(2*PI()*$I309/cw)+hCc*COS(2*PI()*$I309/cw))</f>
        <v>-0.11865714690708307</v>
      </c>
      <c r="K309">
        <f>fQc*COS(2*PI()*$I309/qbo+$L309)+fQs*SIN(2*PI()*$I309/qbo+$L309)+fCs*SIN(2*PI()*$I309/cw)+fCc*COS(2*PI()*$I309/cw)</f>
        <v>1.8287184290382661</v>
      </c>
      <c r="L309">
        <f>+QMA*COS(2*PI()*$I309/QM+QMP)</f>
        <v>-0.4050040934710547</v>
      </c>
      <c r="P309">
        <f t="shared" si="24"/>
        <v>0</v>
      </c>
    </row>
    <row r="310" spans="1:16" x14ac:dyDescent="0.25">
      <c r="A310" s="1"/>
      <c r="B310" s="4">
        <v>17899</v>
      </c>
      <c r="C310" t="s">
        <v>24</v>
      </c>
      <c r="D310" s="3">
        <v>12.5</v>
      </c>
      <c r="E310" s="5">
        <f t="shared" si="20"/>
        <v>1949</v>
      </c>
      <c r="F310">
        <v>0.29265999999999998</v>
      </c>
      <c r="G310">
        <f t="shared" si="21"/>
        <v>-1.9669099999999999</v>
      </c>
      <c r="H310">
        <f t="shared" si="22"/>
        <v>-1.9669099999999999</v>
      </c>
      <c r="I310" s="5">
        <f t="shared" si="23"/>
        <v>1949</v>
      </c>
      <c r="J310">
        <f>+H310+CF*F310*(1+($I310-1850)*slope/1000)+F310*hQc*COS(2*PI()*$I310/qbo+$L310)+F310*hQs*SIN(2*PI()*$I310/qbo+$L310)+F310*hCs*SIN(2*PI()*$I310/cw)+F310*hCc*COS(2*PI()*$I310/cw) +mix*F310*(hQc*COS(2*PI()*$I310/qbo+$L310)+hQs*SIN(2*PI()*$I310/qbo+$L310))*(hCs*SIN(2*PI()*$I310/cw)+hCc*COS(2*PI()*$I310/cw))</f>
        <v>-2.0164780423258839</v>
      </c>
      <c r="K310">
        <f>fQc*COS(2*PI()*$I310/qbo+$L310)+fQs*SIN(2*PI()*$I310/qbo+$L310)+fCs*SIN(2*PI()*$I310/cw)+fCc*COS(2*PI()*$I310/cw)</f>
        <v>3.0754263215031399</v>
      </c>
      <c r="L310">
        <f>+QMA*COS(2*PI()*$I310/QM+QMP)</f>
        <v>-0.3424112474345597</v>
      </c>
      <c r="P310">
        <f t="shared" si="24"/>
        <v>0</v>
      </c>
    </row>
    <row r="311" spans="1:16" x14ac:dyDescent="0.25">
      <c r="A311" s="1"/>
      <c r="B311" s="4">
        <v>18264</v>
      </c>
      <c r="C311" t="s">
        <v>24</v>
      </c>
      <c r="D311" s="3">
        <v>12.541666666666666</v>
      </c>
      <c r="E311" s="5">
        <f t="shared" si="20"/>
        <v>1950</v>
      </c>
      <c r="F311">
        <v>-1.64276</v>
      </c>
      <c r="G311">
        <f t="shared" si="21"/>
        <v>1.5607</v>
      </c>
      <c r="H311">
        <f t="shared" si="22"/>
        <v>1.5607</v>
      </c>
      <c r="I311" s="5">
        <f t="shared" si="23"/>
        <v>1950</v>
      </c>
      <c r="J311">
        <f>+H311+CF*F311*(1+($I311-1850)*slope/1000)+F311*hQc*COS(2*PI()*$I311/qbo+$L311)+F311*hQs*SIN(2*PI()*$I311/qbo+$L311)+F311*hCs*SIN(2*PI()*$I311/cw)+F311*hCc*COS(2*PI()*$I311/cw) +mix*F311*(hQc*COS(2*PI()*$I311/qbo+$L311)+hQs*SIN(2*PI()*$I311/qbo+$L311))*(hCs*SIN(2*PI()*$I311/cw)+hCc*COS(2*PI()*$I311/cw))</f>
        <v>2.9578910133088283</v>
      </c>
      <c r="K311">
        <f>fQc*COS(2*PI()*$I311/qbo+$L311)+fQs*SIN(2*PI()*$I311/qbo+$L311)+fCs*SIN(2*PI()*$I311/cw)+fCc*COS(2*PI()*$I311/cw)</f>
        <v>3.9343973588446239</v>
      </c>
      <c r="L311">
        <f>+QMA*COS(2*PI()*$I311/QM+QMP)</f>
        <v>-0.27150581479111086</v>
      </c>
      <c r="P311">
        <f t="shared" si="24"/>
        <v>1</v>
      </c>
    </row>
    <row r="312" spans="1:16" x14ac:dyDescent="0.25">
      <c r="A312" s="1"/>
      <c r="B312" s="4">
        <v>18629</v>
      </c>
      <c r="C312" t="s">
        <v>24</v>
      </c>
      <c r="D312" s="3">
        <v>12.583333333333334</v>
      </c>
      <c r="E312" s="5">
        <f t="shared" si="20"/>
        <v>1951</v>
      </c>
      <c r="F312">
        <v>-2.0174799999999999</v>
      </c>
      <c r="G312">
        <f t="shared" si="21"/>
        <v>3.1111800000000001</v>
      </c>
      <c r="H312">
        <f t="shared" si="22"/>
        <v>3.1111800000000001</v>
      </c>
      <c r="I312" s="5">
        <f t="shared" si="23"/>
        <v>1951</v>
      </c>
      <c r="J312">
        <f>+H312+CF*F312*(1+($I312-1850)*slope/1000)+F312*hQc*COS(2*PI()*$I312/qbo+$L312)+F312*hQs*SIN(2*PI()*$I312/qbo+$L312)+F312*hCs*SIN(2*PI()*$I312/cw)+F312*hCc*COS(2*PI()*$I312/cw) +mix*F312*(hQc*COS(2*PI()*$I312/qbo+$L312)+hQs*SIN(2*PI()*$I312/qbo+$L312))*(hCs*SIN(2*PI()*$I312/cw)+hCc*COS(2*PI()*$I312/cw))</f>
        <v>4.6073368806824071</v>
      </c>
      <c r="K312">
        <f>fQc*COS(2*PI()*$I312/qbo+$L312)+fQs*SIN(2*PI()*$I312/qbo+$L312)+fCs*SIN(2*PI()*$I312/cw)+fCc*COS(2*PI()*$I312/cw)</f>
        <v>1.8359664802966622</v>
      </c>
      <c r="L312">
        <f>+QMA*COS(2*PI()*$I312/QM+QMP)</f>
        <v>-0.19400913955080776</v>
      </c>
      <c r="P312">
        <f t="shared" si="24"/>
        <v>1</v>
      </c>
    </row>
    <row r="313" spans="1:16" x14ac:dyDescent="0.25">
      <c r="A313" s="1"/>
      <c r="B313" s="4">
        <v>18994</v>
      </c>
      <c r="C313" t="s">
        <v>24</v>
      </c>
      <c r="D313" s="3">
        <v>12.625</v>
      </c>
      <c r="E313" s="5">
        <f t="shared" si="20"/>
        <v>1952</v>
      </c>
      <c r="F313">
        <v>0.71897999999999995</v>
      </c>
      <c r="G313">
        <f t="shared" si="21"/>
        <v>-4.4628800000000002</v>
      </c>
      <c r="H313">
        <f t="shared" si="22"/>
        <v>-4.4628800000000002</v>
      </c>
      <c r="I313" s="5">
        <f t="shared" si="23"/>
        <v>1952</v>
      </c>
      <c r="J313">
        <f>+H313+CF*F313*(1+($I313-1850)*slope/1000)+F313*hQc*COS(2*PI()*$I313/qbo+$L313)+F313*hQs*SIN(2*PI()*$I313/qbo+$L313)+F313*hCs*SIN(2*PI()*$I313/cw)+F313*hCc*COS(2*PI()*$I313/cw) +mix*F313*(hQc*COS(2*PI()*$I313/qbo+$L313)+hQs*SIN(2*PI()*$I313/qbo+$L313))*(hCs*SIN(2*PI()*$I313/cw)+hCc*COS(2*PI()*$I313/cw))</f>
        <v>-10.054747399253039</v>
      </c>
      <c r="K313">
        <f>fQc*COS(2*PI()*$I313/qbo+$L313)+fQs*SIN(2*PI()*$I313/qbo+$L313)+fCs*SIN(2*PI()*$I313/cw)+fCc*COS(2*PI()*$I313/cw)</f>
        <v>-0.28773413552715188</v>
      </c>
      <c r="L313">
        <f>+QMA*COS(2*PI()*$I313/QM+QMP)</f>
        <v>-0.11180257879374984</v>
      </c>
      <c r="P313">
        <f t="shared" si="24"/>
        <v>1</v>
      </c>
    </row>
    <row r="314" spans="1:16" x14ac:dyDescent="0.25">
      <c r="A314" s="1"/>
      <c r="B314" s="4">
        <v>19360</v>
      </c>
      <c r="C314" t="s">
        <v>24</v>
      </c>
      <c r="D314" s="3">
        <v>12.666666666666666</v>
      </c>
      <c r="E314" s="5">
        <f t="shared" si="20"/>
        <v>1953</v>
      </c>
      <c r="F314">
        <v>-1.0074399999999999</v>
      </c>
      <c r="G314">
        <f t="shared" si="21"/>
        <v>1.6179499999999998</v>
      </c>
      <c r="H314">
        <f t="shared" si="22"/>
        <v>1.6179499999999998</v>
      </c>
      <c r="I314" s="5">
        <f t="shared" si="23"/>
        <v>1953</v>
      </c>
      <c r="J314">
        <f>+H314+CF*F314*(1+($I314-1850)*slope/1000)+F314*hQc*COS(2*PI()*$I314/qbo+$L314)+F314*hQs*SIN(2*PI()*$I314/qbo+$L314)+F314*hCs*SIN(2*PI()*$I314/cw)+F314*hCc*COS(2*PI()*$I314/cw) +mix*F314*(hQc*COS(2*PI()*$I314/qbo+$L314)+hQs*SIN(2*PI()*$I314/qbo+$L314))*(hCs*SIN(2*PI()*$I314/cw)+hCc*COS(2*PI()*$I314/cw))</f>
        <v>-7.1210744586701216</v>
      </c>
      <c r="K314">
        <f>fQc*COS(2*PI()*$I314/qbo+$L314)+fQs*SIN(2*PI()*$I314/qbo+$L314)+fCs*SIN(2*PI()*$I314/cw)+fCc*COS(2*PI()*$I314/cw)</f>
        <v>-2.820232045924691</v>
      </c>
      <c r="L314">
        <f>+QMA*COS(2*PI()*$I314/QM+QMP)</f>
        <v>-2.6881829685500441E-2</v>
      </c>
      <c r="P314">
        <f t="shared" si="24"/>
        <v>1</v>
      </c>
    </row>
    <row r="315" spans="1:16" x14ac:dyDescent="0.25">
      <c r="A315" s="1"/>
      <c r="B315" s="4">
        <v>19725</v>
      </c>
      <c r="C315" t="s">
        <v>24</v>
      </c>
      <c r="D315" s="3">
        <v>12.708333333333334</v>
      </c>
      <c r="E315" s="5">
        <f t="shared" si="20"/>
        <v>1954</v>
      </c>
      <c r="F315">
        <v>-1.11591</v>
      </c>
      <c r="G315">
        <f t="shared" si="21"/>
        <v>-2.1549999999999958E-2</v>
      </c>
      <c r="H315">
        <f t="shared" si="22"/>
        <v>-2.1549999999999958E-2</v>
      </c>
      <c r="I315" s="5">
        <f t="shared" si="23"/>
        <v>1954</v>
      </c>
      <c r="J315">
        <f>+H315+CF*F315*(1+($I315-1850)*slope/1000)+F315*hQc*COS(2*PI()*$I315/qbo+$L315)+F315*hQs*SIN(2*PI()*$I315/qbo+$L315)+F315*hCs*SIN(2*PI()*$I315/cw)+F315*hCc*COS(2*PI()*$I315/cw) +mix*F315*(hQc*COS(2*PI()*$I315/qbo+$L315)+hQs*SIN(2*PI()*$I315/qbo+$L315))*(hCs*SIN(2*PI()*$I315/cw)+hCc*COS(2*PI()*$I315/cw))</f>
        <v>17.363772107256231</v>
      </c>
      <c r="K315">
        <f>fQc*COS(2*PI()*$I315/qbo+$L315)+fQs*SIN(2*PI()*$I315/qbo+$L315)+fCs*SIN(2*PI()*$I315/cw)+fCc*COS(2*PI()*$I315/cw)</f>
        <v>-3.8303269947181562</v>
      </c>
      <c r="L315">
        <f>+QMA*COS(2*PI()*$I315/QM+QMP)</f>
        <v>5.8691519298125952E-2</v>
      </c>
      <c r="P315">
        <f t="shared" si="24"/>
        <v>0</v>
      </c>
    </row>
    <row r="316" spans="1:16" x14ac:dyDescent="0.25">
      <c r="A316" s="1"/>
      <c r="B316" s="4">
        <v>20090</v>
      </c>
      <c r="C316" t="s">
        <v>24</v>
      </c>
      <c r="D316" s="3">
        <v>12.75</v>
      </c>
      <c r="E316" s="5">
        <f t="shared" si="20"/>
        <v>1955</v>
      </c>
      <c r="F316">
        <v>-1.24593</v>
      </c>
      <c r="G316">
        <f t="shared" si="21"/>
        <v>-0.64243000000000006</v>
      </c>
      <c r="H316">
        <f t="shared" si="22"/>
        <v>-0.64243000000000006</v>
      </c>
      <c r="I316" s="5">
        <f t="shared" si="23"/>
        <v>1955</v>
      </c>
      <c r="J316">
        <f>+H316+CF*F316*(1+($I316-1850)*slope/1000)+F316*hQc*COS(2*PI()*$I316/qbo+$L316)+F316*hQs*SIN(2*PI()*$I316/qbo+$L316)+F316*hCs*SIN(2*PI()*$I316/cw)+F316*hCc*COS(2*PI()*$I316/cw) +mix*F316*(hQc*COS(2*PI()*$I316/qbo+$L316)+hQs*SIN(2*PI()*$I316/qbo+$L316))*(hCs*SIN(2*PI()*$I316/cw)+hCc*COS(2*PI()*$I316/cw))</f>
        <v>-9.0348820401077123</v>
      </c>
      <c r="K316">
        <f>fQc*COS(2*PI()*$I316/qbo+$L316)+fQs*SIN(2*PI()*$I316/qbo+$L316)+fCs*SIN(2*PI()*$I316/cw)+fCc*COS(2*PI()*$I316/cw)</f>
        <v>-2.7396693802973169</v>
      </c>
      <c r="L316">
        <f>+QMA*COS(2*PI()*$I316/QM+QMP)</f>
        <v>0.14284003676437662</v>
      </c>
      <c r="P316">
        <f t="shared" si="24"/>
        <v>1</v>
      </c>
    </row>
    <row r="317" spans="1:16" x14ac:dyDescent="0.25">
      <c r="A317" s="1"/>
      <c r="B317" s="4">
        <v>20455</v>
      </c>
      <c r="C317" t="s">
        <v>24</v>
      </c>
      <c r="D317" s="3">
        <v>12.791666666666666</v>
      </c>
      <c r="E317" s="5">
        <f t="shared" si="20"/>
        <v>1956</v>
      </c>
      <c r="F317">
        <v>-2.0183800000000001</v>
      </c>
      <c r="G317">
        <f t="shared" si="21"/>
        <v>2.0367800000000003</v>
      </c>
      <c r="H317">
        <f t="shared" si="22"/>
        <v>2.0367800000000003</v>
      </c>
      <c r="I317" s="5">
        <f t="shared" si="23"/>
        <v>1956</v>
      </c>
      <c r="J317">
        <f>+H317+CF*F317*(1+($I317-1850)*slope/1000)+F317*hQc*COS(2*PI()*$I317/qbo+$L317)+F317*hQs*SIN(2*PI()*$I317/qbo+$L317)+F317*hCs*SIN(2*PI()*$I317/cw)+F317*hCc*COS(2*PI()*$I317/cw) +mix*F317*(hQc*COS(2*PI()*$I317/qbo+$L317)+hQs*SIN(2*PI()*$I317/qbo+$L317))*(hCs*SIN(2*PI()*$I317/cw)+hCc*COS(2*PI()*$I317/cw))</f>
        <v>12.572718191004791</v>
      </c>
      <c r="K317">
        <f>fQc*COS(2*PI()*$I317/qbo+$L317)+fQs*SIN(2*PI()*$I317/qbo+$L317)+fCs*SIN(2*PI()*$I317/cw)+fCc*COS(2*PI()*$I317/cw)</f>
        <v>-0.95143312411840641</v>
      </c>
      <c r="L317">
        <f>+QMA*COS(2*PI()*$I317/QM+QMP)</f>
        <v>0.22352088140898307</v>
      </c>
      <c r="P317">
        <f t="shared" si="24"/>
        <v>0</v>
      </c>
    </row>
    <row r="318" spans="1:16" x14ac:dyDescent="0.25">
      <c r="A318" s="1"/>
      <c r="B318" s="4">
        <v>20821</v>
      </c>
      <c r="C318" t="s">
        <v>24</v>
      </c>
      <c r="D318" s="3">
        <v>12.833333333333334</v>
      </c>
      <c r="E318" s="5">
        <f t="shared" si="20"/>
        <v>1957</v>
      </c>
      <c r="F318">
        <v>-0.75405</v>
      </c>
      <c r="G318">
        <f t="shared" si="21"/>
        <v>1.1063399999999999</v>
      </c>
      <c r="H318">
        <f t="shared" si="22"/>
        <v>1.1063399999999999</v>
      </c>
      <c r="I318" s="5">
        <f t="shared" si="23"/>
        <v>1957</v>
      </c>
      <c r="J318">
        <f>+H318+CF*F318*(1+($I318-1850)*slope/1000)+F318*hQc*COS(2*PI()*$I318/qbo+$L318)+F318*hQs*SIN(2*PI()*$I318/qbo+$L318)+F318*hCs*SIN(2*PI()*$I318/cw)+F318*hCc*COS(2*PI()*$I318/cw) +mix*F318*(hQc*COS(2*PI()*$I318/qbo+$L318)+hQs*SIN(2*PI()*$I318/qbo+$L318))*(hCs*SIN(2*PI()*$I318/cw)+hCc*COS(2*PI()*$I318/cw))</f>
        <v>2.444353557759424</v>
      </c>
      <c r="K318">
        <f>fQc*COS(2*PI()*$I318/qbo+$L318)+fQs*SIN(2*PI()*$I318/qbo+$L318)+fCs*SIN(2*PI()*$I318/cw)+fCc*COS(2*PI()*$I318/cw)</f>
        <v>2.2139335520875472</v>
      </c>
      <c r="L318">
        <f>+QMA*COS(2*PI()*$I318/QM+QMP)</f>
        <v>0.29877539529171931</v>
      </c>
      <c r="P318">
        <f t="shared" si="24"/>
        <v>1</v>
      </c>
    </row>
    <row r="319" spans="1:16" x14ac:dyDescent="0.25">
      <c r="A319" s="1"/>
      <c r="B319" s="4">
        <v>21186</v>
      </c>
      <c r="C319" t="s">
        <v>24</v>
      </c>
      <c r="D319" s="3">
        <v>12.875</v>
      </c>
      <c r="E319" s="5">
        <f t="shared" si="20"/>
        <v>1958</v>
      </c>
      <c r="F319">
        <v>1.6166199999999999</v>
      </c>
      <c r="G319">
        <f t="shared" si="21"/>
        <v>-4.0720499999999999</v>
      </c>
      <c r="H319">
        <f t="shared" si="22"/>
        <v>-4.0720499999999999</v>
      </c>
      <c r="I319" s="5">
        <f t="shared" si="23"/>
        <v>1958</v>
      </c>
      <c r="J319">
        <f>+H319+CF*F319*(1+($I319-1850)*slope/1000)+F319*hQc*COS(2*PI()*$I319/qbo+$L319)+F319*hQs*SIN(2*PI()*$I319/qbo+$L319)+F319*hCs*SIN(2*PI()*$I319/cw)+F319*hCc*COS(2*PI()*$I319/cw) +mix*F319*(hQc*COS(2*PI()*$I319/qbo+$L319)+hQs*SIN(2*PI()*$I319/qbo+$L319))*(hCs*SIN(2*PI()*$I319/cw)+hCc*COS(2*PI()*$I319/cw))</f>
        <v>-6.1043121358169579</v>
      </c>
      <c r="K319">
        <f>fQc*COS(2*PI()*$I319/qbo+$L319)+fQs*SIN(2*PI()*$I319/qbo+$L319)+fCs*SIN(2*PI()*$I319/cw)+fCc*COS(2*PI()*$I319/cw)</f>
        <v>3.2296449046978246</v>
      </c>
      <c r="L319">
        <f>+QMA*COS(2*PI()*$I319/QM+QMP)</f>
        <v>0.36677665342422816</v>
      </c>
      <c r="P319">
        <f t="shared" si="24"/>
        <v>0</v>
      </c>
    </row>
    <row r="320" spans="1:16" x14ac:dyDescent="0.25">
      <c r="A320" s="1"/>
      <c r="B320" s="4">
        <v>21551</v>
      </c>
      <c r="C320" t="s">
        <v>24</v>
      </c>
      <c r="D320" s="3">
        <v>12.916666666666666</v>
      </c>
      <c r="E320" s="5">
        <f t="shared" si="20"/>
        <v>1959</v>
      </c>
      <c r="F320">
        <v>-8.4760000000000002E-2</v>
      </c>
      <c r="G320">
        <f t="shared" si="21"/>
        <v>1.8968999999999998</v>
      </c>
      <c r="H320">
        <f t="shared" si="22"/>
        <v>1.8968999999999998</v>
      </c>
      <c r="I320" s="5">
        <f t="shared" si="23"/>
        <v>1959</v>
      </c>
      <c r="J320">
        <f>+H320+CF*F320*(1+($I320-1850)*slope/1000)+F320*hQc*COS(2*PI()*$I320/qbo+$L320)+F320*hQs*SIN(2*PI()*$I320/qbo+$L320)+F320*hCs*SIN(2*PI()*$I320/cw)+F320*hCc*COS(2*PI()*$I320/cw) +mix*F320*(hQc*COS(2*PI()*$I320/qbo+$L320)+hQs*SIN(2*PI()*$I320/qbo+$L320))*(hCs*SIN(2*PI()*$I320/cw)+hCc*COS(2*PI()*$I320/cw))</f>
        <v>1.9522773335159882</v>
      </c>
      <c r="K320">
        <f>fQc*COS(2*PI()*$I320/qbo+$L320)+fQs*SIN(2*PI()*$I320/qbo+$L320)+fCs*SIN(2*PI()*$I320/cw)+fCc*COS(2*PI()*$I320/cw)</f>
        <v>3.7688718602337037</v>
      </c>
      <c r="L320">
        <f>+QMA*COS(2*PI()*$I320/QM+QMP)</f>
        <v>0.42587381532791407</v>
      </c>
      <c r="P320">
        <f t="shared" si="24"/>
        <v>1</v>
      </c>
    </row>
    <row r="321" spans="1:16" x14ac:dyDescent="0.25">
      <c r="A321" s="1"/>
      <c r="B321" s="4">
        <v>21916</v>
      </c>
      <c r="C321" t="s">
        <v>24</v>
      </c>
      <c r="D321" s="3">
        <v>12.958333333333334</v>
      </c>
      <c r="E321" s="5">
        <f t="shared" si="20"/>
        <v>1960</v>
      </c>
      <c r="F321">
        <v>0.11076</v>
      </c>
      <c r="G321">
        <f t="shared" si="21"/>
        <v>-1.1359599999999999</v>
      </c>
      <c r="H321">
        <f t="shared" si="22"/>
        <v>-1.1359599999999999</v>
      </c>
      <c r="I321" s="5">
        <f t="shared" si="23"/>
        <v>1960</v>
      </c>
      <c r="J321">
        <f>+H321+CF*F321*(1+($I321-1850)*slope/1000)+F321*hQc*COS(2*PI()*$I321/qbo+$L321)+F321*hQs*SIN(2*PI()*$I321/qbo+$L321)+F321*hCs*SIN(2*PI()*$I321/cw)+F321*hCc*COS(2*PI()*$I321/cw) +mix*F321*(hQc*COS(2*PI()*$I321/qbo+$L321)+hQs*SIN(2*PI()*$I321/qbo+$L321))*(hCs*SIN(2*PI()*$I321/cw)+hCc*COS(2*PI()*$I321/cw))</f>
        <v>-1.1441967974680629</v>
      </c>
      <c r="K321">
        <f>fQc*COS(2*PI()*$I321/qbo+$L321)+fQs*SIN(2*PI()*$I321/qbo+$L321)+fCs*SIN(2*PI()*$I321/cw)+fCc*COS(2*PI()*$I321/cw)</f>
        <v>1.5667687285438527</v>
      </c>
      <c r="L321">
        <f>+QMA*COS(2*PI()*$I321/QM+QMP)</f>
        <v>0.47463220185527671</v>
      </c>
      <c r="P321">
        <f t="shared" si="24"/>
        <v>0</v>
      </c>
    </row>
    <row r="322" spans="1:16" x14ac:dyDescent="0.25">
      <c r="A322" s="1"/>
      <c r="B322" s="4">
        <v>22282</v>
      </c>
      <c r="C322" t="s">
        <v>24</v>
      </c>
      <c r="D322" s="3">
        <v>13</v>
      </c>
      <c r="E322" s="5">
        <f t="shared" si="20"/>
        <v>1961</v>
      </c>
      <c r="F322">
        <v>-0.82967999999999997</v>
      </c>
      <c r="G322">
        <f t="shared" si="21"/>
        <v>1.8454699999999999</v>
      </c>
      <c r="H322">
        <f t="shared" si="22"/>
        <v>1.8454699999999999</v>
      </c>
      <c r="I322" s="5">
        <f t="shared" si="23"/>
        <v>1961</v>
      </c>
      <c r="J322">
        <f>+H322+CF*F322*(1+($I322-1850)*slope/1000)+F322*hQc*COS(2*PI()*$I322/qbo+$L322)+F322*hQs*SIN(2*PI()*$I322/qbo+$L322)+F322*hCs*SIN(2*PI()*$I322/cw)+F322*hCc*COS(2*PI()*$I322/cw) +mix*F322*(hQc*COS(2*PI()*$I322/qbo+$L322)+hQs*SIN(2*PI()*$I322/qbo+$L322))*(hCs*SIN(2*PI()*$I322/cw)+hCc*COS(2*PI()*$I322/cw))</f>
        <v>10.300595855300093</v>
      </c>
      <c r="K322">
        <f>fQc*COS(2*PI()*$I322/qbo+$L322)+fQs*SIN(2*PI()*$I322/qbo+$L322)+fCs*SIN(2*PI()*$I322/cw)+fCc*COS(2*PI()*$I322/cw)</f>
        <v>-0.78895391740360443</v>
      </c>
      <c r="L322">
        <f>+QMA*COS(2*PI()*$I322/QM+QMP)</f>
        <v>0.51186812434582807</v>
      </c>
      <c r="P322">
        <f t="shared" si="24"/>
        <v>0</v>
      </c>
    </row>
    <row r="323" spans="1:16" x14ac:dyDescent="0.25">
      <c r="A323" s="1"/>
      <c r="B323" s="4">
        <v>22647</v>
      </c>
      <c r="C323" t="s">
        <v>24</v>
      </c>
      <c r="D323" s="3">
        <v>13.041666666666666</v>
      </c>
      <c r="E323" s="5">
        <f t="shared" si="20"/>
        <v>1962</v>
      </c>
      <c r="F323">
        <v>7.535E-2</v>
      </c>
      <c r="G323">
        <f t="shared" si="21"/>
        <v>-1.6600299999999999</v>
      </c>
      <c r="H323">
        <f t="shared" si="22"/>
        <v>-1.6600299999999999</v>
      </c>
      <c r="I323" s="5">
        <f t="shared" si="23"/>
        <v>1962</v>
      </c>
      <c r="J323">
        <f>+H323+CF*F323*(1+($I323-1850)*slope/1000)+F323*hQc*COS(2*PI()*$I323/qbo+$L323)+F323*hQs*SIN(2*PI()*$I323/qbo+$L323)+F323*hCs*SIN(2*PI()*$I323/cw)+F323*hCc*COS(2*PI()*$I323/cw) +mix*F323*(hQc*COS(2*PI()*$I323/qbo+$L323)+hQs*SIN(2*PI()*$I323/qbo+$L323))*(hCs*SIN(2*PI()*$I323/cw)+hCc*COS(2*PI()*$I323/cw))</f>
        <v>-0.95292327146772482</v>
      </c>
      <c r="K323">
        <f>fQc*COS(2*PI()*$I323/qbo+$L323)+fQs*SIN(2*PI()*$I323/qbo+$L323)+fCs*SIN(2*PI()*$I323/cw)+fCc*COS(2*PI()*$I323/cw)</f>
        <v>-2.9400946130280179</v>
      </c>
      <c r="L323">
        <f>+QMA*COS(2*PI()*$I323/QM+QMP)</f>
        <v>0.53667762058185275</v>
      </c>
      <c r="P323">
        <f t="shared" si="24"/>
        <v>1</v>
      </c>
    </row>
    <row r="324" spans="1:16" x14ac:dyDescent="0.25">
      <c r="A324" s="1"/>
      <c r="B324" s="4">
        <v>23012</v>
      </c>
      <c r="C324" t="s">
        <v>24</v>
      </c>
      <c r="D324" s="3">
        <v>13.083333333333334</v>
      </c>
      <c r="E324" s="5">
        <f t="shared" si="20"/>
        <v>1963</v>
      </c>
      <c r="F324">
        <v>-0.67964999999999998</v>
      </c>
      <c r="G324">
        <f t="shared" si="21"/>
        <v>2.6599699999999999</v>
      </c>
      <c r="H324">
        <f t="shared" si="22"/>
        <v>2.6599699999999999</v>
      </c>
      <c r="I324" s="5">
        <f t="shared" si="23"/>
        <v>1963</v>
      </c>
      <c r="J324">
        <f>+H324+CF*F324*(1+($I324-1850)*slope/1000)+F324*hQc*COS(2*PI()*$I324/qbo+$L324)+F324*hQs*SIN(2*PI()*$I324/qbo+$L324)+F324*hCs*SIN(2*PI()*$I324/cw)+F324*hCc*COS(2*PI()*$I324/cw) +mix*F324*(hQc*COS(2*PI()*$I324/qbo+$L324)+hQs*SIN(2*PI()*$I324/qbo+$L324))*(hCs*SIN(2*PI()*$I324/cw)+hCc*COS(2*PI()*$I324/cw))</f>
        <v>12.124686726657059</v>
      </c>
      <c r="K324">
        <f>fQc*COS(2*PI()*$I324/qbo+$L324)+fQs*SIN(2*PI()*$I324/qbo+$L324)+fCs*SIN(2*PI()*$I324/cw)+fCc*COS(2*PI()*$I324/cw)</f>
        <v>-3.9618367204655276</v>
      </c>
      <c r="L324">
        <f>+QMA*COS(2*PI()*$I324/QM+QMP)</f>
        <v>0.54845839993278367</v>
      </c>
      <c r="P324">
        <f t="shared" si="24"/>
        <v>0</v>
      </c>
    </row>
    <row r="325" spans="1:16" x14ac:dyDescent="0.25">
      <c r="A325" s="1"/>
      <c r="B325" s="4">
        <v>23377</v>
      </c>
      <c r="C325" t="s">
        <v>24</v>
      </c>
      <c r="D325" s="3">
        <v>13.125</v>
      </c>
      <c r="E325" s="5">
        <f t="shared" si="20"/>
        <v>1964</v>
      </c>
      <c r="F325">
        <v>1.22532</v>
      </c>
      <c r="G325">
        <f t="shared" si="21"/>
        <v>-2.9074200000000001</v>
      </c>
      <c r="H325">
        <f t="shared" si="22"/>
        <v>-2.9074200000000001</v>
      </c>
      <c r="I325" s="5">
        <f t="shared" si="23"/>
        <v>1964</v>
      </c>
      <c r="J325">
        <f>+H325+CF*F325*(1+($I325-1850)*slope/1000)+F325*hQc*COS(2*PI()*$I325/qbo+$L325)+F325*hQs*SIN(2*PI()*$I325/qbo+$L325)+F325*hCs*SIN(2*PI()*$I325/cw)+F325*hCc*COS(2*PI()*$I325/cw) +mix*F325*(hQc*COS(2*PI()*$I325/qbo+$L325)+hQs*SIN(2*PI()*$I325/qbo+$L325))*(hCs*SIN(2*PI()*$I325/cw)+hCc*COS(2*PI()*$I325/cw))</f>
        <v>0.1720366281222554</v>
      </c>
      <c r="K325">
        <f>fQc*COS(2*PI()*$I325/qbo+$L325)+fQs*SIN(2*PI()*$I325/qbo+$L325)+fCs*SIN(2*PI()*$I325/cw)+fCc*COS(2*PI()*$I325/cw)</f>
        <v>-2.3560753273751587</v>
      </c>
      <c r="L325">
        <f>+QMA*COS(2*PI()*$I325/QM+QMP)</f>
        <v>0.54692446493390656</v>
      </c>
      <c r="P325">
        <f t="shared" si="24"/>
        <v>0</v>
      </c>
    </row>
    <row r="326" spans="1:16" x14ac:dyDescent="0.25">
      <c r="A326" s="1"/>
      <c r="B326" s="4">
        <v>23743</v>
      </c>
      <c r="C326" t="s">
        <v>24</v>
      </c>
      <c r="D326" s="3">
        <v>13.166666666666666</v>
      </c>
      <c r="E326" s="5">
        <f t="shared" si="20"/>
        <v>1965</v>
      </c>
      <c r="F326">
        <v>0.22287000000000001</v>
      </c>
      <c r="G326">
        <f t="shared" si="21"/>
        <v>2.5870000000000002</v>
      </c>
      <c r="H326">
        <f t="shared" si="22"/>
        <v>2.5870000000000002</v>
      </c>
      <c r="I326" s="5">
        <f t="shared" si="23"/>
        <v>1965</v>
      </c>
      <c r="J326">
        <f>+H326+CF*F326*(1+($I326-1850)*slope/1000)+F326*hQc*COS(2*PI()*$I326/qbo+$L326)+F326*hQs*SIN(2*PI()*$I326/qbo+$L326)+F326*hCs*SIN(2*PI()*$I326/cw)+F326*hCc*COS(2*PI()*$I326/cw) +mix*F326*(hQc*COS(2*PI()*$I326/qbo+$L326)+hQs*SIN(2*PI()*$I326/qbo+$L326))*(hCs*SIN(2*PI()*$I326/cw)+hCc*COS(2*PI()*$I326/cw))</f>
        <v>2.0116645638225776</v>
      </c>
      <c r="K326">
        <f>fQc*COS(2*PI()*$I326/qbo+$L326)+fQs*SIN(2*PI()*$I326/qbo+$L326)+fCs*SIN(2*PI()*$I326/cw)+fCc*COS(2*PI()*$I326/cw)</f>
        <v>-0.61062254406411709</v>
      </c>
      <c r="L326">
        <f>+QMA*COS(2*PI()*$I326/QM+QMP)</f>
        <v>0.53211305433723621</v>
      </c>
      <c r="P326">
        <f t="shared" si="24"/>
        <v>0</v>
      </c>
    </row>
    <row r="327" spans="1:16" x14ac:dyDescent="0.25">
      <c r="A327" s="1"/>
      <c r="B327" s="4">
        <v>24108</v>
      </c>
      <c r="C327" t="s">
        <v>24</v>
      </c>
      <c r="D327" s="3">
        <v>13.208333333333334</v>
      </c>
      <c r="E327" s="5">
        <f t="shared" si="20"/>
        <v>1966</v>
      </c>
      <c r="F327">
        <v>1.80742</v>
      </c>
      <c r="G327">
        <f t="shared" si="21"/>
        <v>-3.9504299999999999</v>
      </c>
      <c r="H327">
        <f t="shared" si="22"/>
        <v>-3.9504299999999999</v>
      </c>
      <c r="I327" s="5">
        <f t="shared" si="23"/>
        <v>1966</v>
      </c>
      <c r="J327">
        <f>+H327+CF*F327*(1+($I327-1850)*slope/1000)+F327*hQc*COS(2*PI()*$I327/qbo+$L327)+F327*hQs*SIN(2*PI()*$I327/qbo+$L327)+F327*hCs*SIN(2*PI()*$I327/cw)+F327*hCc*COS(2*PI()*$I327/cw) +mix*F327*(hQc*COS(2*PI()*$I327/qbo+$L327)+hQs*SIN(2*PI()*$I327/qbo+$L327))*(hCs*SIN(2*PI()*$I327/cw)+hCc*COS(2*PI()*$I327/cw))</f>
        <v>-6.1872728270551756</v>
      </c>
      <c r="K327">
        <f>fQc*COS(2*PI()*$I327/qbo+$L327)+fQs*SIN(2*PI()*$I327/qbo+$L327)+fCs*SIN(2*PI()*$I327/cw)+fCc*COS(2*PI()*$I327/cw)</f>
        <v>2.5052351347958228</v>
      </c>
      <c r="L327">
        <f>+QMA*COS(2*PI()*$I327/QM+QMP)</f>
        <v>0.50438373908056955</v>
      </c>
      <c r="P327">
        <f t="shared" si="24"/>
        <v>0</v>
      </c>
    </row>
    <row r="328" spans="1:16" x14ac:dyDescent="0.25">
      <c r="A328" s="1"/>
      <c r="B328" s="4">
        <v>24473</v>
      </c>
      <c r="C328" t="s">
        <v>24</v>
      </c>
      <c r="D328" s="3">
        <v>13.25</v>
      </c>
      <c r="E328" s="5">
        <f t="shared" si="20"/>
        <v>1967</v>
      </c>
      <c r="F328">
        <v>-0.55845999999999996</v>
      </c>
      <c r="G328">
        <f t="shared" si="21"/>
        <v>3.9300299999999995</v>
      </c>
      <c r="H328">
        <f t="shared" si="22"/>
        <v>3.9300299999999995</v>
      </c>
      <c r="I328" s="5">
        <f t="shared" si="23"/>
        <v>1967</v>
      </c>
      <c r="J328">
        <f>+H328+CF*F328*(1+($I328-1850)*slope/1000)+F328*hQc*COS(2*PI()*$I328/qbo+$L328)+F328*hQs*SIN(2*PI()*$I328/qbo+$L328)+F328*hCs*SIN(2*PI()*$I328/cw)+F328*hCc*COS(2*PI()*$I328/cw) +mix*F328*(hQc*COS(2*PI()*$I328/qbo+$L328)+hQs*SIN(2*PI()*$I328/qbo+$L328))*(hCs*SIN(2*PI()*$I328/cw)+hCc*COS(2*PI()*$I328/cw))</f>
        <v>6.2500323988346835</v>
      </c>
      <c r="K328">
        <f>fQc*COS(2*PI()*$I328/qbo+$L328)+fQs*SIN(2*PI()*$I328/qbo+$L328)+fCs*SIN(2*PI()*$I328/cw)+fCc*COS(2*PI()*$I328/cw)</f>
        <v>3.5008281819819711</v>
      </c>
      <c r="L328">
        <f>+QMA*COS(2*PI()*$I328/QM+QMP)</f>
        <v>0.46440969312170227</v>
      </c>
      <c r="P328">
        <f t="shared" si="24"/>
        <v>1</v>
      </c>
    </row>
    <row r="329" spans="1:16" x14ac:dyDescent="0.25">
      <c r="A329" s="1"/>
      <c r="B329" s="4">
        <v>24838</v>
      </c>
      <c r="C329" t="s">
        <v>24</v>
      </c>
      <c r="D329" s="3">
        <v>13.291666666666666</v>
      </c>
      <c r="E329" s="5">
        <f t="shared" si="20"/>
        <v>1968</v>
      </c>
      <c r="F329">
        <v>1.00569</v>
      </c>
      <c r="G329">
        <f t="shared" si="21"/>
        <v>-1.7698700000000001</v>
      </c>
      <c r="H329">
        <f t="shared" si="22"/>
        <v>-1.7698700000000001</v>
      </c>
      <c r="I329" s="5">
        <f t="shared" si="23"/>
        <v>1968</v>
      </c>
      <c r="J329">
        <f>+H329+CF*F329*(1+($I329-1850)*slope/1000)+F329*hQc*COS(2*PI()*$I329/qbo+$L329)+F329*hQs*SIN(2*PI()*$I329/qbo+$L329)+F329*hCs*SIN(2*PI()*$I329/cw)+F329*hCc*COS(2*PI()*$I329/cw) +mix*F329*(hQc*COS(2*PI()*$I329/qbo+$L329)+hQs*SIN(2*PI()*$I329/qbo+$L329))*(hCs*SIN(2*PI()*$I329/cw)+hCc*COS(2*PI()*$I329/cw))</f>
        <v>-2.0056171927442836</v>
      </c>
      <c r="K329">
        <f>fQc*COS(2*PI()*$I329/qbo+$L329)+fQs*SIN(2*PI()*$I329/qbo+$L329)+fCs*SIN(2*PI()*$I329/cw)+fCc*COS(2*PI()*$I329/cw)</f>
        <v>3.3298333039617747</v>
      </c>
      <c r="L329">
        <f>+QMA*COS(2*PI()*$I329/QM+QMP)</f>
        <v>0.41316135105220558</v>
      </c>
      <c r="P329">
        <f t="shared" si="24"/>
        <v>0</v>
      </c>
    </row>
    <row r="330" spans="1:16" x14ac:dyDescent="0.25">
      <c r="A330" s="1"/>
      <c r="B330" s="4">
        <v>25204</v>
      </c>
      <c r="C330" t="s">
        <v>24</v>
      </c>
      <c r="D330" s="3">
        <v>13.333333333333334</v>
      </c>
      <c r="E330" s="5">
        <f t="shared" si="20"/>
        <v>1969</v>
      </c>
      <c r="F330">
        <v>0.79996999999999996</v>
      </c>
      <c r="G330">
        <f t="shared" si="21"/>
        <v>-0.42859999999999998</v>
      </c>
      <c r="H330">
        <f t="shared" si="22"/>
        <v>-0.42859999999999998</v>
      </c>
      <c r="I330" s="5">
        <f t="shared" si="23"/>
        <v>1969</v>
      </c>
      <c r="J330">
        <f>+H330+CF*F330*(1+($I330-1850)*slope/1000)+F330*hQc*COS(2*PI()*$I330/qbo+$L330)+F330*hQs*SIN(2*PI()*$I330/qbo+$L330)+F330*hCs*SIN(2*PI()*$I330/cw)+F330*hCc*COS(2*PI()*$I330/cw) +mix*F330*(hQc*COS(2*PI()*$I330/qbo+$L330)+hQs*SIN(2*PI()*$I330/qbo+$L330))*(hCs*SIN(2*PI()*$I330/cw)+hCc*COS(2*PI()*$I330/cw))</f>
        <v>0.35274037332387231</v>
      </c>
      <c r="K330">
        <f>fQc*COS(2*PI()*$I330/qbo+$L330)+fQs*SIN(2*PI()*$I330/qbo+$L330)+fCs*SIN(2*PI()*$I330/cw)+fCc*COS(2*PI()*$I330/cw)</f>
        <v>1.5455653706737771</v>
      </c>
      <c r="L330">
        <f>+QMA*COS(2*PI()*$I330/QM+QMP)</f>
        <v>0.35188284922890611</v>
      </c>
      <c r="P330">
        <f t="shared" si="24"/>
        <v>1</v>
      </c>
    </row>
    <row r="331" spans="1:16" x14ac:dyDescent="0.25">
      <c r="A331" s="1"/>
      <c r="B331" s="4">
        <v>25569</v>
      </c>
      <c r="C331" t="s">
        <v>24</v>
      </c>
      <c r="D331" s="3">
        <v>13.375</v>
      </c>
      <c r="E331" s="5">
        <f t="shared" si="20"/>
        <v>1970</v>
      </c>
      <c r="F331">
        <v>0.16564999999999999</v>
      </c>
      <c r="G331">
        <f t="shared" si="21"/>
        <v>-2.63009</v>
      </c>
      <c r="H331">
        <f t="shared" si="22"/>
        <v>-2.63009</v>
      </c>
      <c r="I331" s="5">
        <f t="shared" si="23"/>
        <v>1970</v>
      </c>
      <c r="J331">
        <f>+H331+CF*F331*(1+($I331-1850)*slope/1000)+F331*hQc*COS(2*PI()*$I331/qbo+$L331)+F331*hQs*SIN(2*PI()*$I331/qbo+$L331)+F331*hCs*SIN(2*PI()*$I331/cw)+F331*hCc*COS(2*PI()*$I331/cw) +mix*F331*(hQc*COS(2*PI()*$I331/qbo+$L331)+hQs*SIN(2*PI()*$I331/qbo+$L331))*(hCs*SIN(2*PI()*$I331/cw)+hCc*COS(2*PI()*$I331/cw))</f>
        <v>-4.0760853925700529</v>
      </c>
      <c r="K331">
        <f>fQc*COS(2*PI()*$I331/qbo+$L331)+fQs*SIN(2*PI()*$I331/qbo+$L331)+fCs*SIN(2*PI()*$I331/cw)+fCc*COS(2*PI()*$I331/cw)</f>
        <v>-1.5091659654732101</v>
      </c>
      <c r="L331">
        <f>+QMA*COS(2*PI()*$I331/QM+QMP)</f>
        <v>0.28206182235240485</v>
      </c>
      <c r="P331">
        <f t="shared" si="24"/>
        <v>1</v>
      </c>
    </row>
    <row r="332" spans="1:16" x14ac:dyDescent="0.25">
      <c r="A332" s="1"/>
      <c r="B332" s="4">
        <v>25934</v>
      </c>
      <c r="C332" t="s">
        <v>24</v>
      </c>
      <c r="D332" s="3">
        <v>13.416666666666666</v>
      </c>
      <c r="E332" s="5">
        <f t="shared" si="20"/>
        <v>1971</v>
      </c>
      <c r="F332">
        <v>-3.09876</v>
      </c>
      <c r="G332">
        <f t="shared" si="21"/>
        <v>5.3416499999999996</v>
      </c>
      <c r="H332">
        <f t="shared" si="22"/>
        <v>5.3416499999999996</v>
      </c>
      <c r="I332" s="5">
        <f t="shared" si="23"/>
        <v>1971</v>
      </c>
      <c r="J332">
        <f>+H332+CF*F332*(1+($I332-1850)*slope/1000)+F332*hQc*COS(2*PI()*$I332/qbo+$L332)+F332*hQs*SIN(2*PI()*$I332/qbo+$L332)+F332*hCs*SIN(2*PI()*$I332/cw)+F332*hCc*COS(2*PI()*$I332/cw) +mix*F332*(hQc*COS(2*PI()*$I332/qbo+$L332)+hQs*SIN(2*PI()*$I332/qbo+$L332))*(hCs*SIN(2*PI()*$I332/cw)+hCc*COS(2*PI()*$I332/cw))</f>
        <v>7.9530547088779224</v>
      </c>
      <c r="K332">
        <f>fQc*COS(2*PI()*$I332/qbo+$L332)+fQs*SIN(2*PI()*$I332/qbo+$L332)+fCs*SIN(2*PI()*$I332/cw)+fCc*COS(2*PI()*$I332/cw)</f>
        <v>-2.9182133515257411</v>
      </c>
      <c r="L332">
        <f>+QMA*COS(2*PI()*$I332/QM+QMP)</f>
        <v>0.20539328872960147</v>
      </c>
      <c r="P332">
        <f t="shared" si="24"/>
        <v>0</v>
      </c>
    </row>
    <row r="333" spans="1:16" x14ac:dyDescent="0.25">
      <c r="A333" s="1"/>
      <c r="B333" s="4">
        <v>26299</v>
      </c>
      <c r="C333" t="s">
        <v>24</v>
      </c>
      <c r="D333" s="3">
        <v>13.458333333333334</v>
      </c>
      <c r="E333" s="5">
        <f t="shared" ref="E333:E338" si="25">+E332+1</f>
        <v>1972</v>
      </c>
      <c r="F333">
        <v>-1.02152</v>
      </c>
      <c r="G333">
        <f t="shared" ref="G333:G337" si="26">+(F334-F333)-(F333-F332)</f>
        <v>0.82197999999999993</v>
      </c>
      <c r="H333">
        <f t="shared" ref="H333:H337" si="27">+G333</f>
        <v>0.82197999999999993</v>
      </c>
      <c r="I333" s="5">
        <f t="shared" si="23"/>
        <v>1972</v>
      </c>
      <c r="J333">
        <f>+H333+CF*F333*(1+($I333-1850)*slope/1000)+F333*hQc*COS(2*PI()*$I333/qbo+$L333)+F333*hQs*SIN(2*PI()*$I333/qbo+$L333)+F333*hCs*SIN(2*PI()*$I333/cw)+F333*hCc*COS(2*PI()*$I333/cw) +mix*F333*(hQc*COS(2*PI()*$I333/qbo+$L333)+hQs*SIN(2*PI()*$I333/qbo+$L333))*(hCs*SIN(2*PI()*$I333/cw)+hCc*COS(2*PI()*$I333/cw))</f>
        <v>-0.34642826815675454</v>
      </c>
      <c r="K333">
        <f>fQc*COS(2*PI()*$I333/qbo+$L333)+fQs*SIN(2*PI()*$I333/qbo+$L333)+fCs*SIN(2*PI()*$I333/cw)+fCc*COS(2*PI()*$I333/cw)</f>
        <v>-3.9772407851675551</v>
      </c>
      <c r="L333">
        <f>+QMA*COS(2*PI()*$I333/QM+QMP)</f>
        <v>0.12373850096400045</v>
      </c>
      <c r="P333">
        <f t="shared" si="24"/>
        <v>1</v>
      </c>
    </row>
    <row r="334" spans="1:16" x14ac:dyDescent="0.25">
      <c r="A334" s="1"/>
      <c r="B334" s="4">
        <v>26665</v>
      </c>
      <c r="C334" t="s">
        <v>24</v>
      </c>
      <c r="D334" s="3">
        <v>13.5</v>
      </c>
      <c r="E334" s="5">
        <f t="shared" si="25"/>
        <v>1973</v>
      </c>
      <c r="F334">
        <v>1.8776999999999999</v>
      </c>
      <c r="G334">
        <f t="shared" si="26"/>
        <v>-7.8435699999999997</v>
      </c>
      <c r="H334">
        <f t="shared" si="27"/>
        <v>-7.8435699999999997</v>
      </c>
      <c r="I334" s="5">
        <f t="shared" ref="I334:I336" si="28">+E334</f>
        <v>1973</v>
      </c>
      <c r="J334">
        <f>+H334+CF*F334*(1+($I334-1850)*slope/1000)+F334*hQc*COS(2*PI()*$I334/qbo+$L334)+F334*hQs*SIN(2*PI()*$I334/qbo+$L334)+F334*hCs*SIN(2*PI()*$I334/cw)+F334*hCc*COS(2*PI()*$I334/cw) +mix*F334*(hQc*COS(2*PI()*$I334/qbo+$L334)+hQs*SIN(2*PI()*$I334/qbo+$L334))*(hCs*SIN(2*PI()*$I334/cw)+hCc*COS(2*PI()*$I334/cw))</f>
        <v>-25.738059004269022</v>
      </c>
      <c r="K334">
        <f>fQc*COS(2*PI()*$I334/qbo+$L334)+fQs*SIN(2*PI()*$I334/qbo+$L334)+fCs*SIN(2*PI()*$I334/cw)+fCc*COS(2*PI()*$I334/cw)</f>
        <v>-2.207657276528638</v>
      </c>
      <c r="L334">
        <f>+QMA*COS(2*PI()*$I334/QM+QMP)</f>
        <v>3.9079761039778213E-2</v>
      </c>
      <c r="P334">
        <f t="shared" ref="P334:P336" si="29">+IF(J334*K334&gt;0,1, 0)</f>
        <v>1</v>
      </c>
    </row>
    <row r="335" spans="1:16" x14ac:dyDescent="0.25">
      <c r="A335" s="1"/>
      <c r="B335" s="4">
        <v>27030</v>
      </c>
      <c r="C335" t="s">
        <v>24</v>
      </c>
      <c r="D335" s="3">
        <v>13.541666666666666</v>
      </c>
      <c r="E335" s="5">
        <f t="shared" si="25"/>
        <v>1974</v>
      </c>
      <c r="F335">
        <v>-3.0666500000000001</v>
      </c>
      <c r="G335">
        <f t="shared" si="26"/>
        <v>7.5886700000000005</v>
      </c>
      <c r="H335">
        <f t="shared" si="27"/>
        <v>7.5886700000000005</v>
      </c>
      <c r="I335" s="5">
        <f t="shared" si="28"/>
        <v>1974</v>
      </c>
      <c r="J335">
        <f>+H335+CF*F335*(1+($I335-1850)*slope/1000)+F335*hQc*COS(2*PI()*$I335/qbo+$L335)+F335*hQs*SIN(2*PI()*$I335/qbo+$L335)+F335*hCs*SIN(2*PI()*$I335/cw)+F335*hCc*COS(2*PI()*$I335/cw) +mix*F335*(hQc*COS(2*PI()*$I335/qbo+$L335)+hQs*SIN(2*PI()*$I335/qbo+$L335))*(hCs*SIN(2*PI()*$I335/cw)+hCc*COS(2*PI()*$I335/cw))</f>
        <v>5.9854770513016646</v>
      </c>
      <c r="K335">
        <f>fQc*COS(2*PI()*$I335/qbo+$L335)+fQs*SIN(2*PI()*$I335/qbo+$L335)+fCs*SIN(2*PI()*$I335/cw)+fCc*COS(2*PI()*$I335/cw)</f>
        <v>0.13356380548959357</v>
      </c>
      <c r="L335">
        <f>+QMA*COS(2*PI()*$I335/QM+QMP)</f>
        <v>-4.6527703263875286E-2</v>
      </c>
      <c r="P335">
        <f t="shared" si="29"/>
        <v>1</v>
      </c>
    </row>
    <row r="336" spans="1:16" x14ac:dyDescent="0.25">
      <c r="A336" s="1"/>
      <c r="B336" s="4">
        <v>27395</v>
      </c>
      <c r="C336" t="s">
        <v>24</v>
      </c>
      <c r="D336" s="3">
        <v>13.583333333333334</v>
      </c>
      <c r="E336" s="5">
        <f t="shared" si="25"/>
        <v>1975</v>
      </c>
      <c r="F336">
        <v>-0.42232999999999998</v>
      </c>
      <c r="G336">
        <f t="shared" si="26"/>
        <v>-2.9693899999999998</v>
      </c>
      <c r="H336">
        <f t="shared" si="27"/>
        <v>-2.9693899999999998</v>
      </c>
      <c r="I336" s="5">
        <f t="shared" si="28"/>
        <v>1975</v>
      </c>
      <c r="J336">
        <f>+H336+CF*F336*(1+($I336-1850)*slope/1000)+F336*hQc*COS(2*PI()*$I336/qbo+$L336)+F336*hQs*SIN(2*PI()*$I336/qbo+$L336)+F336*hCs*SIN(2*PI()*$I336/cw)+F336*hCc*COS(2*PI()*$I336/cw) +mix*F336*(hQc*COS(2*PI()*$I336/qbo+$L336)+hQs*SIN(2*PI()*$I336/qbo+$L336))*(hCs*SIN(2*PI()*$I336/cw)+hCc*COS(2*PI()*$I336/cw))</f>
        <v>-2.8755186645997659</v>
      </c>
      <c r="K336">
        <f>fQc*COS(2*PI()*$I336/qbo+$L336)+fQs*SIN(2*PI()*$I336/qbo+$L336)+fCs*SIN(2*PI()*$I336/cw)+fCc*COS(2*PI()*$I336/cw)</f>
        <v>2.3515456365424146</v>
      </c>
      <c r="L336">
        <f>+QMA*COS(2*PI()*$I336/QM+QMP)</f>
        <v>-0.13100563234956686</v>
      </c>
      <c r="P336">
        <f t="shared" si="29"/>
        <v>0</v>
      </c>
    </row>
    <row r="337" spans="1:8" x14ac:dyDescent="0.25">
      <c r="A337" s="1"/>
      <c r="B337" s="4">
        <v>27760</v>
      </c>
      <c r="C337" t="s">
        <v>24</v>
      </c>
      <c r="D337" s="3">
        <v>13.625</v>
      </c>
      <c r="E337" s="5">
        <f t="shared" si="25"/>
        <v>1976</v>
      </c>
      <c r="F337">
        <v>-0.74739999999999995</v>
      </c>
      <c r="G337">
        <f t="shared" si="26"/>
        <v>1.7224299999999999</v>
      </c>
      <c r="H337">
        <f t="shared" si="27"/>
        <v>1.7224299999999999</v>
      </c>
    </row>
    <row r="338" spans="1:8" x14ac:dyDescent="0.25">
      <c r="A338" s="1"/>
      <c r="B338" s="4">
        <v>28126</v>
      </c>
      <c r="C338" t="s">
        <v>24</v>
      </c>
      <c r="D338" s="3">
        <v>13.666666666666666</v>
      </c>
      <c r="E338" s="5">
        <f t="shared" si="25"/>
        <v>1977</v>
      </c>
      <c r="F338">
        <v>0.64995999999999998</v>
      </c>
    </row>
  </sheetData>
  <scenarios current="0">
    <scenario name="one" count="11" user="pp" comment="Created by pp on 5/2/2015">
      <inputCells r="J2" val="2.44727948999265"/>
      <inputCells r="K2" val="6.07934967694303"/>
      <inputCells r="J3" val="0.347720040202742"/>
      <inputCells r="K3" val="3.61739153290966"/>
      <inputCells r="J4" val="0.776554919003634"/>
      <inputCells r="K4" val="0.589496773979215"/>
      <inputCells r="J5" val="1.02769968466291"/>
      <inputCells r="K5" val="-0.946007353755426"/>
      <inputCells r="K6" val="-1.43772752989027"/>
      <inputCells r="J6" val="-2.46737299932513"/>
      <inputCells r="J7" val="1.65313392088483"/>
    </scenario>
  </scenarios>
  <pageMargins left="0.25" right="0.25" top="0.75" bottom="0.75" header="0.3" footer="0.3"/>
  <pageSetup scale="6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zoomScale="60" zoomScaleNormal="60" workbookViewId="0">
      <selection activeCell="L13" sqref="L13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E2" t="s">
        <v>12</v>
      </c>
      <c r="F2" t="s">
        <v>9</v>
      </c>
      <c r="G2" t="s">
        <v>10</v>
      </c>
      <c r="H2" t="s">
        <v>11</v>
      </c>
      <c r="I2" t="s">
        <v>284</v>
      </c>
      <c r="J2">
        <v>2.3361281532947693</v>
      </c>
      <c r="K2">
        <v>8.8493892894532316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285</v>
      </c>
      <c r="J3">
        <v>-0.18742600064249779</v>
      </c>
      <c r="K3">
        <v>-0.81145047875743648</v>
      </c>
    </row>
    <row r="4" spans="1:16" x14ac:dyDescent="0.25">
      <c r="A4" s="1"/>
      <c r="B4" t="s">
        <v>15</v>
      </c>
      <c r="C4" t="s">
        <v>1</v>
      </c>
      <c r="I4" t="s">
        <v>286</v>
      </c>
      <c r="J4">
        <v>0.90610223021180669</v>
      </c>
      <c r="K4">
        <v>-3.7307846155745797E-2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287</v>
      </c>
      <c r="J5">
        <v>1.9934287211428297E-2</v>
      </c>
      <c r="K5">
        <v>4.9976110787474246</v>
      </c>
    </row>
    <row r="6" spans="1:16" x14ac:dyDescent="0.25">
      <c r="A6" s="1"/>
      <c r="B6" t="s">
        <v>20</v>
      </c>
      <c r="C6" t="s">
        <v>21</v>
      </c>
      <c r="I6" t="s">
        <v>288</v>
      </c>
      <c r="J6">
        <v>0.12064104283182865</v>
      </c>
      <c r="K6">
        <v>-0.188344809433314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289</v>
      </c>
      <c r="J7">
        <v>0.92812187605565666</v>
      </c>
      <c r="K7">
        <v>47.631135745897232</v>
      </c>
    </row>
    <row r="8" spans="1:16" x14ac:dyDescent="0.25">
      <c r="A8" s="1"/>
      <c r="B8" t="s">
        <v>21</v>
      </c>
      <c r="I8" t="s">
        <v>290</v>
      </c>
      <c r="J8">
        <v>-0.85723585830029758</v>
      </c>
      <c r="K8">
        <v>-1.4109639960120743</v>
      </c>
    </row>
    <row r="9" spans="1:16" x14ac:dyDescent="0.25">
      <c r="A9" s="1">
        <v>1</v>
      </c>
      <c r="H9">
        <f>+AVERAGE(F11:F338)</f>
        <v>-1.25238572899789E-17</v>
      </c>
      <c r="I9" t="s">
        <v>291</v>
      </c>
      <c r="J9">
        <v>-4.7337740705996314</v>
      </c>
      <c r="K9">
        <v>-8.2039325211871308</v>
      </c>
    </row>
    <row r="10" spans="1:16" x14ac:dyDescent="0.25">
      <c r="A10" s="1"/>
      <c r="K10" s="6">
        <f>+CORREL(J13:J230,K13:K230)</f>
        <v>0.17094360693538124</v>
      </c>
      <c r="L10">
        <f>+K10*P10</f>
        <v>8.8228958418261283E-2</v>
      </c>
      <c r="P10">
        <f>+SUM(P13:P230)/(230-13)</f>
        <v>0.5161290322580645</v>
      </c>
    </row>
    <row r="11" spans="1:16" x14ac:dyDescent="0.25">
      <c r="A11" s="1"/>
      <c r="B11" t="s">
        <v>23</v>
      </c>
      <c r="C11" t="s">
        <v>24</v>
      </c>
      <c r="D11" s="2">
        <v>4.1666666666666664E-2</v>
      </c>
      <c r="E11" s="5">
        <v>1650</v>
      </c>
      <c r="F11">
        <v>0.34445999999999999</v>
      </c>
      <c r="K11" s="6">
        <f>+CORREL(J231:J335,K231:K335)</f>
        <v>0.64241710077412595</v>
      </c>
      <c r="L11">
        <f>+K11*P11</f>
        <v>0.54452497113235432</v>
      </c>
      <c r="P11">
        <f>+SUM(P231:P335)/(335-230)</f>
        <v>0.84761904761904761</v>
      </c>
    </row>
    <row r="12" spans="1:16" x14ac:dyDescent="0.25">
      <c r="A12" s="1"/>
      <c r="B12" t="s">
        <v>25</v>
      </c>
      <c r="C12" t="s">
        <v>24</v>
      </c>
      <c r="D12" s="2">
        <v>8.3333333333333329E-2</v>
      </c>
      <c r="E12" s="5">
        <f>+E11+1</f>
        <v>1651</v>
      </c>
      <c r="F12">
        <v>1.25427</v>
      </c>
      <c r="G12">
        <f>+(F13-F12)-(F12-F11)</f>
        <v>-1.4716800000000001</v>
      </c>
      <c r="H12">
        <f>+G12</f>
        <v>-1.4716800000000001</v>
      </c>
      <c r="K12" s="6">
        <f>+CORREL(J13:J336,K13:K336)</f>
        <v>0.37378775990206581</v>
      </c>
      <c r="L12">
        <f>+K12*P12</f>
        <v>0.23376200464463559</v>
      </c>
      <c r="P12">
        <f>+SUM(P13:P336)/(335-12)</f>
        <v>0.62538699690402477</v>
      </c>
    </row>
    <row r="13" spans="1:16" x14ac:dyDescent="0.25">
      <c r="A13" s="1"/>
      <c r="B13" t="s">
        <v>26</v>
      </c>
      <c r="C13" t="s">
        <v>24</v>
      </c>
      <c r="D13" s="2">
        <v>0.125</v>
      </c>
      <c r="E13" s="5">
        <f t="shared" ref="E13:E76" si="0">+E12+1</f>
        <v>1652</v>
      </c>
      <c r="F13">
        <v>0.69240000000000002</v>
      </c>
      <c r="G13">
        <f t="shared" ref="G13:G76" si="1">+(F14-F13)-(F13-F12)</f>
        <v>-0.72932999999999992</v>
      </c>
      <c r="H13">
        <f t="shared" ref="H13:H76" si="2">+G13</f>
        <v>-0.72932999999999992</v>
      </c>
      <c r="I13" s="5">
        <f>+E13</f>
        <v>1652</v>
      </c>
      <c r="J13">
        <f>+H13+CF*F13*(1+($I13-1850)*slope/1000)+F13*hQc*COS(2*PI()*$I13/qbo+$L13)+F13*hQs*SIN(2*PI()*$I13/qbo+$L13)+F13*hCs*SIN(2*PI()*$I13/cw)+F13*hCc*COS(2*PI()*$I13/cw) +mix*F13*(hQc*COS(2*PI()*$I13/qbo+$L13)+hQs*SIN(2*PI()*$I13/qbo+$L13))*(hCs*SIN(2*PI()*$I13/cw)+hCc*COS(2*PI()*$I13/cw))</f>
        <v>0.37888783642697577</v>
      </c>
      <c r="K13">
        <f>fQc*COS(2*PI()*$I13/qbo+$L13)+fQs*SIN(2*PI()*$I13/qbo+$L13)+fCs*SIN(2*PI()*$I13/cw)+fCc*COS(2*PI()*$I13/cw)</f>
        <v>-1.0940839922270782</v>
      </c>
      <c r="L13">
        <f>+QMA*COS(2*PI()*$I13/QM+QMP)</f>
        <v>0.82844357793120438</v>
      </c>
      <c r="N13">
        <f>+$K$8*COS(2*PI()*$I13/$K$6+$K$5*COS($J$5*$I13+$K$8)+$K$7)</f>
        <v>-0.22215763575528535</v>
      </c>
      <c r="P13">
        <f>+IF(J13*K13&gt;0,1, 0)</f>
        <v>0</v>
      </c>
    </row>
    <row r="14" spans="1:16" x14ac:dyDescent="0.25">
      <c r="A14" s="1"/>
      <c r="B14" t="s">
        <v>27</v>
      </c>
      <c r="C14" t="s">
        <v>24</v>
      </c>
      <c r="D14" s="2">
        <v>0.16666666666666666</v>
      </c>
      <c r="E14" s="5">
        <f t="shared" si="0"/>
        <v>1653</v>
      </c>
      <c r="F14">
        <v>-0.5988</v>
      </c>
      <c r="G14">
        <f t="shared" si="1"/>
        <v>1.2937099999999999</v>
      </c>
      <c r="H14">
        <f t="shared" si="2"/>
        <v>1.2937099999999999</v>
      </c>
      <c r="I14" s="5">
        <f t="shared" ref="I14:I77" si="3">+E14</f>
        <v>1653</v>
      </c>
      <c r="J14">
        <f>+H14+CF*F14*(1+($I14-1850)*slope/1000)+F14*hQc*COS(2*PI()*$I14/qbo+$L14)+F14*hQs*SIN(2*PI()*$I14/qbo+$L14)+F14*hCs*SIN(2*PI()*$I14/cw)+F14*hCc*COS(2*PI()*$I14/cw) +mix*F14*(hQc*COS(2*PI()*$I14/qbo+$L14)+hQs*SIN(2*PI()*$I14/qbo+$L14))*(hCs*SIN(2*PI()*$I14/cw)+hCc*COS(2*PI()*$I14/cw))</f>
        <v>-0.72823521471561925</v>
      </c>
      <c r="K14">
        <f>fQc*COS(2*PI()*$I14/qbo+$L14)+fQs*SIN(2*PI()*$I14/qbo+$L14)+fCs*SIN(2*PI()*$I14/cw)+fCc*COS(2*PI()*$I14/cw)</f>
        <v>-1.2340135279546285</v>
      </c>
      <c r="L14">
        <f>+QMA*COS(2*PI()*$I14/QM+QMP)</f>
        <v>0.85022314127332221</v>
      </c>
      <c r="P14">
        <f t="shared" ref="P14:P77" si="4">+IF(J14*K14&gt;0,1, 0)</f>
        <v>1</v>
      </c>
    </row>
    <row r="15" spans="1:16" x14ac:dyDescent="0.25">
      <c r="A15" s="1"/>
      <c r="B15" t="s">
        <v>28</v>
      </c>
      <c r="C15" t="s">
        <v>24</v>
      </c>
      <c r="D15" s="2">
        <v>0.20833333333333334</v>
      </c>
      <c r="E15" s="5">
        <f t="shared" si="0"/>
        <v>1654</v>
      </c>
      <c r="F15">
        <v>-0.59628999999999999</v>
      </c>
      <c r="G15">
        <f t="shared" si="1"/>
        <v>0.75729999999999997</v>
      </c>
      <c r="H15">
        <f t="shared" si="2"/>
        <v>0.75729999999999997</v>
      </c>
      <c r="I15" s="5">
        <f t="shared" si="3"/>
        <v>1654</v>
      </c>
      <c r="J15">
        <f>+H15+CF*F15*(1+($I15-1850)*slope/1000)+F15*hQc*COS(2*PI()*$I15/qbo+$L15)+F15*hQs*SIN(2*PI()*$I15/qbo+$L15)+F15*hCs*SIN(2*PI()*$I15/cw)+F15*hCc*COS(2*PI()*$I15/cw) +mix*F15*(hQc*COS(2*PI()*$I15/qbo+$L15)+hQs*SIN(2*PI()*$I15/qbo+$L15))*(hCs*SIN(2*PI()*$I15/cw)+hCc*COS(2*PI()*$I15/cw))</f>
        <v>0.995160106351892</v>
      </c>
      <c r="K15">
        <f>fQc*COS(2*PI()*$I15/qbo+$L15)+fQs*SIN(2*PI()*$I15/qbo+$L15)+fCs*SIN(2*PI()*$I15/cw)+fCc*COS(2*PI()*$I15/cw)</f>
        <v>2.8419404194037945</v>
      </c>
      <c r="L15">
        <f>+QMA*COS(2*PI()*$I15/QM+QMP)</f>
        <v>0.85722928872944626</v>
      </c>
      <c r="P15">
        <f t="shared" si="4"/>
        <v>1</v>
      </c>
    </row>
    <row r="16" spans="1:16" x14ac:dyDescent="0.25">
      <c r="A16" s="1"/>
      <c r="B16" t="s">
        <v>29</v>
      </c>
      <c r="C16" t="s">
        <v>24</v>
      </c>
      <c r="D16" s="2">
        <v>0.25</v>
      </c>
      <c r="E16" s="5">
        <f t="shared" si="0"/>
        <v>1655</v>
      </c>
      <c r="F16">
        <v>0.16352</v>
      </c>
      <c r="G16">
        <f t="shared" si="1"/>
        <v>0.10324</v>
      </c>
      <c r="H16">
        <f t="shared" si="2"/>
        <v>0.10324</v>
      </c>
      <c r="I16" s="5">
        <f t="shared" si="3"/>
        <v>1655</v>
      </c>
      <c r="J16">
        <f>+H16+CF*F16*(1+($I16-1850)*slope/1000)+F16*hQc*COS(2*PI()*$I16/qbo+$L16)+F16*hQs*SIN(2*PI()*$I16/qbo+$L16)+F16*hCs*SIN(2*PI()*$I16/cw)+F16*hCc*COS(2*PI()*$I16/cw) +mix*F16*(hQc*COS(2*PI()*$I16/qbo+$L16)+hQs*SIN(2*PI()*$I16/qbo+$L16))*(hCs*SIN(2*PI()*$I16/cw)+hCc*COS(2*PI()*$I16/cw))</f>
        <v>0.59872186989645571</v>
      </c>
      <c r="K16">
        <f>fQc*COS(2*PI()*$I16/qbo+$L16)+fQs*SIN(2*PI()*$I16/qbo+$L16)+fCs*SIN(2*PI()*$I16/cw)+fCc*COS(2*PI()*$I16/cw)</f>
        <v>-4.6719972710153916</v>
      </c>
      <c r="L16">
        <f>+QMA*COS(2*PI()*$I16/QM+QMP)</f>
        <v>0.84934028198747213</v>
      </c>
      <c r="P16">
        <f t="shared" si="4"/>
        <v>0</v>
      </c>
    </row>
    <row r="17" spans="1:16" x14ac:dyDescent="0.25">
      <c r="A17" s="1"/>
      <c r="B17" t="s">
        <v>30</v>
      </c>
      <c r="C17" t="s">
        <v>24</v>
      </c>
      <c r="D17" s="2">
        <v>0.29166666666666669</v>
      </c>
      <c r="E17" s="5">
        <f t="shared" si="0"/>
        <v>1656</v>
      </c>
      <c r="F17">
        <v>1.02657</v>
      </c>
      <c r="G17">
        <f t="shared" si="1"/>
        <v>-1.7184300000000001</v>
      </c>
      <c r="H17">
        <f t="shared" si="2"/>
        <v>-1.7184300000000001</v>
      </c>
      <c r="I17" s="5">
        <f t="shared" si="3"/>
        <v>1656</v>
      </c>
      <c r="J17">
        <f>+H17+CF*F17*(1+($I17-1850)*slope/1000)+F17*hQc*COS(2*PI()*$I17/qbo+$L17)+F17*hQs*SIN(2*PI()*$I17/qbo+$L17)+F17*hCs*SIN(2*PI()*$I17/cw)+F17*hCc*COS(2*PI()*$I17/cw) +mix*F17*(hQc*COS(2*PI()*$I17/qbo+$L17)+hQs*SIN(2*PI()*$I17/qbo+$L17))*(hCs*SIN(2*PI()*$I17/cw)+hCc*COS(2*PI()*$I17/cw))</f>
        <v>3.0966193990528526</v>
      </c>
      <c r="K17">
        <f>fQc*COS(2*PI()*$I17/qbo+$L17)+fQs*SIN(2*PI()*$I17/qbo+$L17)+fCs*SIN(2*PI()*$I17/cw)+fCc*COS(2*PI()*$I17/cw)</f>
        <v>4.9573614578453586</v>
      </c>
      <c r="L17">
        <f>+QMA*COS(2*PI()*$I17/QM+QMP)</f>
        <v>0.82669319985868084</v>
      </c>
      <c r="P17">
        <f t="shared" si="4"/>
        <v>1</v>
      </c>
    </row>
    <row r="18" spans="1:16" x14ac:dyDescent="0.25">
      <c r="A18" s="1"/>
      <c r="B18" t="s">
        <v>31</v>
      </c>
      <c r="C18" t="s">
        <v>24</v>
      </c>
      <c r="D18" s="2">
        <v>0.33333333333333331</v>
      </c>
      <c r="E18" s="5">
        <f t="shared" si="0"/>
        <v>1657</v>
      </c>
      <c r="F18">
        <v>0.17119000000000001</v>
      </c>
      <c r="G18">
        <f t="shared" si="1"/>
        <v>1.14673</v>
      </c>
      <c r="H18">
        <f t="shared" si="2"/>
        <v>1.14673</v>
      </c>
      <c r="I18" s="5">
        <f t="shared" si="3"/>
        <v>1657</v>
      </c>
      <c r="J18">
        <f>+H18+CF*F18*(1+($I18-1850)*slope/1000)+F18*hQc*COS(2*PI()*$I18/qbo+$L18)+F18*hQs*SIN(2*PI()*$I18/qbo+$L18)+F18*hCs*SIN(2*PI()*$I18/cw)+F18*hCc*COS(2*PI()*$I18/cw) +mix*F18*(hQc*COS(2*PI()*$I18/qbo+$L18)+hQs*SIN(2*PI()*$I18/qbo+$L18))*(hCs*SIN(2*PI()*$I18/cw)+hCc*COS(2*PI()*$I18/cw))</f>
        <v>1.3653836520612266</v>
      </c>
      <c r="K18">
        <f>fQc*COS(2*PI()*$I18/qbo+$L18)+fQs*SIN(2*PI()*$I18/qbo+$L18)+fCs*SIN(2*PI()*$I18/cw)+fCc*COS(2*PI()*$I18/cw)</f>
        <v>-4.2397872782245729</v>
      </c>
      <c r="L18">
        <f>+QMA*COS(2*PI()*$I18/QM+QMP)</f>
        <v>0.7896815564062063</v>
      </c>
      <c r="P18">
        <f t="shared" si="4"/>
        <v>0</v>
      </c>
    </row>
    <row r="19" spans="1:16" x14ac:dyDescent="0.25">
      <c r="A19" s="1"/>
      <c r="B19" t="s">
        <v>32</v>
      </c>
      <c r="C19" t="s">
        <v>24</v>
      </c>
      <c r="D19" s="2">
        <v>0.375</v>
      </c>
      <c r="E19" s="5">
        <f t="shared" si="0"/>
        <v>1658</v>
      </c>
      <c r="F19">
        <v>0.46254000000000001</v>
      </c>
      <c r="G19">
        <f t="shared" si="1"/>
        <v>-0.77851999999999999</v>
      </c>
      <c r="H19">
        <f t="shared" si="2"/>
        <v>-0.77851999999999999</v>
      </c>
      <c r="I19" s="5">
        <f t="shared" si="3"/>
        <v>1658</v>
      </c>
      <c r="J19">
        <f>+H19+CF*F19*(1+($I19-1850)*slope/1000)+F19*hQc*COS(2*PI()*$I19/qbo+$L19)+F19*hQs*SIN(2*PI()*$I19/qbo+$L19)+F19*hCs*SIN(2*PI()*$I19/cw)+F19*hCc*COS(2*PI()*$I19/cw) +mix*F19*(hQc*COS(2*PI()*$I19/qbo+$L19)+hQs*SIN(2*PI()*$I19/qbo+$L19))*(hCs*SIN(2*PI()*$I19/cw)+hCc*COS(2*PI()*$I19/cw))</f>
        <v>0.97311153964860586</v>
      </c>
      <c r="K19">
        <f>fQc*COS(2*PI()*$I19/qbo+$L19)+fQs*SIN(2*PI()*$I19/qbo+$L19)+fCs*SIN(2*PI()*$I19/cw)+fCc*COS(2*PI()*$I19/cw)</f>
        <v>2.8448867287252537</v>
      </c>
      <c r="L19">
        <f>+QMA*COS(2*PI()*$I19/QM+QMP)</f>
        <v>0.73894846327309094</v>
      </c>
      <c r="P19">
        <f t="shared" si="4"/>
        <v>1</v>
      </c>
    </row>
    <row r="20" spans="1:16" x14ac:dyDescent="0.25">
      <c r="A20" s="1"/>
      <c r="B20" t="s">
        <v>33</v>
      </c>
      <c r="C20" t="s">
        <v>24</v>
      </c>
      <c r="D20" s="2">
        <v>0.41666666666666669</v>
      </c>
      <c r="E20" s="5">
        <f t="shared" si="0"/>
        <v>1659</v>
      </c>
      <c r="F20">
        <v>-2.4629999999999999E-2</v>
      </c>
      <c r="G20">
        <f t="shared" si="1"/>
        <v>0.71074999999999999</v>
      </c>
      <c r="H20">
        <f t="shared" si="2"/>
        <v>0.71074999999999999</v>
      </c>
      <c r="I20" s="5">
        <f t="shared" si="3"/>
        <v>1659</v>
      </c>
      <c r="J20">
        <f>+H20+CF*F20*(1+($I20-1850)*slope/1000)+F20*hQc*COS(2*PI()*$I20/qbo+$L20)+F20*hQs*SIN(2*PI()*$I20/qbo+$L20)+F20*hCs*SIN(2*PI()*$I20/cw)+F20*hCc*COS(2*PI()*$I20/cw) +mix*F20*(hQc*COS(2*PI()*$I20/qbo+$L20)+hQs*SIN(2*PI()*$I20/qbo+$L20))*(hCs*SIN(2*PI()*$I20/cw)+hCc*COS(2*PI()*$I20/cw))</f>
        <v>0.64720397217490888</v>
      </c>
      <c r="K20">
        <f>fQc*COS(2*PI()*$I20/qbo+$L20)+fQs*SIN(2*PI()*$I20/qbo+$L20)+fCs*SIN(2*PI()*$I20/cw)+fCc*COS(2*PI()*$I20/cw)</f>
        <v>1.1055742271776942E-2</v>
      </c>
      <c r="L20">
        <f>+QMA*COS(2*PI()*$I20/QM+QMP)</f>
        <v>0.67537545502087881</v>
      </c>
      <c r="P20">
        <f t="shared" si="4"/>
        <v>1</v>
      </c>
    </row>
    <row r="21" spans="1:16" x14ac:dyDescent="0.25">
      <c r="A21" s="1"/>
      <c r="B21" t="s">
        <v>34</v>
      </c>
      <c r="C21" t="s">
        <v>24</v>
      </c>
      <c r="D21" s="2">
        <v>0.45833333333333331</v>
      </c>
      <c r="E21" s="5">
        <f t="shared" si="0"/>
        <v>1660</v>
      </c>
      <c r="F21">
        <v>0.19894999999999999</v>
      </c>
      <c r="G21">
        <f t="shared" si="1"/>
        <v>0.13978000000000002</v>
      </c>
      <c r="H21">
        <f t="shared" si="2"/>
        <v>0.13978000000000002</v>
      </c>
      <c r="I21" s="5">
        <f t="shared" si="3"/>
        <v>1660</v>
      </c>
      <c r="J21">
        <f>+H21+CF*F21*(1+($I21-1850)*slope/1000)+F21*hQc*COS(2*PI()*$I21/qbo+$L21)+F21*hQs*SIN(2*PI()*$I21/qbo+$L21)+F21*hCs*SIN(2*PI()*$I21/cw)+F21*hCc*COS(2*PI()*$I21/cw) +mix*F21*(hQc*COS(2*PI()*$I21/qbo+$L21)+hQs*SIN(2*PI()*$I21/qbo+$L21))*(hCs*SIN(2*PI()*$I21/cw)+hCc*COS(2*PI()*$I21/cw))</f>
        <v>0.85241655096681179</v>
      </c>
      <c r="K21">
        <f>fQc*COS(2*PI()*$I21/qbo+$L21)+fQs*SIN(2*PI()*$I21/qbo+$L21)+fCs*SIN(2*PI()*$I21/cw)+fCc*COS(2*PI()*$I21/cw)</f>
        <v>-2.240910000324138</v>
      </c>
      <c r="L21">
        <f>+QMA*COS(2*PI()*$I21/QM+QMP)</f>
        <v>0.60006717164868695</v>
      </c>
      <c r="P21">
        <f t="shared" si="4"/>
        <v>0</v>
      </c>
    </row>
    <row r="22" spans="1:16" x14ac:dyDescent="0.25">
      <c r="A22" s="1"/>
      <c r="B22" t="s">
        <v>35</v>
      </c>
      <c r="C22" t="s">
        <v>24</v>
      </c>
      <c r="D22" s="2">
        <v>0.5</v>
      </c>
      <c r="E22" s="5">
        <f t="shared" si="0"/>
        <v>1661</v>
      </c>
      <c r="F22">
        <v>0.56230999999999998</v>
      </c>
      <c r="G22">
        <f t="shared" si="1"/>
        <v>-0.79430999999999996</v>
      </c>
      <c r="H22">
        <f t="shared" si="2"/>
        <v>-0.79430999999999996</v>
      </c>
      <c r="I22" s="5">
        <f t="shared" si="3"/>
        <v>1661</v>
      </c>
      <c r="J22">
        <f>+H22+CF*F22*(1+($I22-1850)*slope/1000)+F22*hQc*COS(2*PI()*$I22/qbo+$L22)+F22*hQs*SIN(2*PI()*$I22/qbo+$L22)+F22*hCs*SIN(2*PI()*$I22/cw)+F22*hCc*COS(2*PI()*$I22/cw) +mix*F22*(hQc*COS(2*PI()*$I22/qbo+$L22)+hQs*SIN(2*PI()*$I22/qbo+$L22))*(hCs*SIN(2*PI()*$I22/cw)+hCc*COS(2*PI()*$I22/cw))</f>
        <v>-2.154809725101777</v>
      </c>
      <c r="K22">
        <f>fQc*COS(2*PI()*$I22/qbo+$L22)+fQs*SIN(2*PI()*$I22/qbo+$L22)+fCs*SIN(2*PI()*$I22/cw)+fCc*COS(2*PI()*$I22/cw)</f>
        <v>4.2217896566583546</v>
      </c>
      <c r="L22">
        <f>+QMA*COS(2*PI()*$I22/QM+QMP)</f>
        <v>0.51433216444839747</v>
      </c>
      <c r="P22">
        <f t="shared" si="4"/>
        <v>0</v>
      </c>
    </row>
    <row r="23" spans="1:16" x14ac:dyDescent="0.25">
      <c r="A23" s="1"/>
      <c r="B23" t="s">
        <v>36</v>
      </c>
      <c r="C23" t="s">
        <v>24</v>
      </c>
      <c r="D23" s="2">
        <v>0.54166666666666663</v>
      </c>
      <c r="E23" s="5">
        <f t="shared" si="0"/>
        <v>1662</v>
      </c>
      <c r="F23">
        <v>0.13136</v>
      </c>
      <c r="G23">
        <f t="shared" si="1"/>
        <v>-7.5390000000000068E-2</v>
      </c>
      <c r="H23">
        <f t="shared" si="2"/>
        <v>-7.5390000000000068E-2</v>
      </c>
      <c r="I23" s="5">
        <f t="shared" si="3"/>
        <v>1662</v>
      </c>
      <c r="J23">
        <f>+H23+CF*F23*(1+($I23-1850)*slope/1000)+F23*hQc*COS(2*PI()*$I23/qbo+$L23)+F23*hQs*SIN(2*PI()*$I23/qbo+$L23)+F23*hCs*SIN(2*PI()*$I23/cw)+F23*hCc*COS(2*PI()*$I23/cw) +mix*F23*(hQc*COS(2*PI()*$I23/qbo+$L23)+hQs*SIN(2*PI()*$I23/qbo+$L23))*(hCs*SIN(2*PI()*$I23/cw)+hCc*COS(2*PI()*$I23/cw))</f>
        <v>0.66129892650897726</v>
      </c>
      <c r="K23">
        <f>fQc*COS(2*PI()*$I23/qbo+$L23)+fQs*SIN(2*PI()*$I23/qbo+$L23)+fCs*SIN(2*PI()*$I23/cw)+fCc*COS(2*PI()*$I23/cw)</f>
        <v>-5.1787936288078269</v>
      </c>
      <c r="L23">
        <f>+QMA*COS(2*PI()*$I23/QM+QMP)</f>
        <v>0.41966015871200002</v>
      </c>
      <c r="P23">
        <f t="shared" si="4"/>
        <v>0</v>
      </c>
    </row>
    <row r="24" spans="1:16" x14ac:dyDescent="0.25">
      <c r="A24" s="1"/>
      <c r="B24" t="s">
        <v>37</v>
      </c>
      <c r="C24" t="s">
        <v>24</v>
      </c>
      <c r="D24" s="2">
        <v>0.58333333333333337</v>
      </c>
      <c r="E24" s="5">
        <f t="shared" si="0"/>
        <v>1663</v>
      </c>
      <c r="F24">
        <v>-0.37497999999999998</v>
      </c>
      <c r="G24">
        <f t="shared" si="1"/>
        <v>-9.8799999999999999E-2</v>
      </c>
      <c r="H24">
        <f t="shared" si="2"/>
        <v>-9.8799999999999999E-2</v>
      </c>
      <c r="I24" s="5">
        <f t="shared" si="3"/>
        <v>1663</v>
      </c>
      <c r="J24">
        <f>+H24+CF*F24*(1+($I24-1850)*slope/1000)+F24*hQc*COS(2*PI()*$I24/qbo+$L24)+F24*hQs*SIN(2*PI()*$I24/qbo+$L24)+F24*hCs*SIN(2*PI()*$I24/cw)+F24*hCc*COS(2*PI()*$I24/cw) +mix*F24*(hQc*COS(2*PI()*$I24/qbo+$L24)+hQs*SIN(2*PI()*$I24/qbo+$L24))*(hCs*SIN(2*PI()*$I24/cw)+hCc*COS(2*PI()*$I24/cw))</f>
        <v>-0.10674077642786173</v>
      </c>
      <c r="K24">
        <f>fQc*COS(2*PI()*$I24/qbo+$L24)+fQs*SIN(2*PI()*$I24/qbo+$L24)+fCs*SIN(2*PI()*$I24/cw)+fCc*COS(2*PI()*$I24/cw)</f>
        <v>4.022808300001441</v>
      </c>
      <c r="L24">
        <f>+QMA*COS(2*PI()*$I24/QM+QMP)</f>
        <v>0.3176961683724201</v>
      </c>
      <c r="P24">
        <f t="shared" si="4"/>
        <v>0</v>
      </c>
    </row>
    <row r="25" spans="1:16" x14ac:dyDescent="0.25">
      <c r="A25" s="1"/>
      <c r="B25" t="s">
        <v>38</v>
      </c>
      <c r="C25" t="s">
        <v>24</v>
      </c>
      <c r="D25" s="2">
        <v>0.625</v>
      </c>
      <c r="E25" s="5">
        <f t="shared" si="0"/>
        <v>1664</v>
      </c>
      <c r="F25">
        <v>-0.98011999999999999</v>
      </c>
      <c r="G25">
        <f t="shared" si="1"/>
        <v>1.1643399999999999</v>
      </c>
      <c r="H25">
        <f t="shared" si="2"/>
        <v>1.1643399999999999</v>
      </c>
      <c r="I25" s="5">
        <f t="shared" si="3"/>
        <v>1664</v>
      </c>
      <c r="J25">
        <f>+H25+CF*F25*(1+($I25-1850)*slope/1000)+F25*hQc*COS(2*PI()*$I25/qbo+$L25)+F25*hQs*SIN(2*PI()*$I25/qbo+$L25)+F25*hCs*SIN(2*PI()*$I25/cw)+F25*hCc*COS(2*PI()*$I25/cw) +mix*F25*(hQc*COS(2*PI()*$I25/qbo+$L25)+hQs*SIN(2*PI()*$I25/qbo+$L25))*(hCs*SIN(2*PI()*$I25/cw)+hCc*COS(2*PI()*$I25/cw))</f>
        <v>-1.3362909440534798</v>
      </c>
      <c r="K25">
        <f>fQc*COS(2*PI()*$I25/qbo+$L25)+fQs*SIN(2*PI()*$I25/qbo+$L25)+fCs*SIN(2*PI()*$I25/cw)+fCc*COS(2*PI()*$I25/cw)</f>
        <v>-2.3559250661999434</v>
      </c>
      <c r="L25">
        <f>+QMA*COS(2*PI()*$I25/QM+QMP)</f>
        <v>0.2102119123602974</v>
      </c>
      <c r="P25">
        <f t="shared" si="4"/>
        <v>1</v>
      </c>
    </row>
    <row r="26" spans="1:16" x14ac:dyDescent="0.25">
      <c r="A26" s="1"/>
      <c r="B26" t="s">
        <v>39</v>
      </c>
      <c r="C26" t="s">
        <v>24</v>
      </c>
      <c r="D26" s="2">
        <v>0.66666666666666663</v>
      </c>
      <c r="E26" s="5">
        <f t="shared" si="0"/>
        <v>1665</v>
      </c>
      <c r="F26">
        <v>-0.42092000000000002</v>
      </c>
      <c r="G26">
        <f t="shared" si="1"/>
        <v>-0.38831999999999989</v>
      </c>
      <c r="H26">
        <f t="shared" si="2"/>
        <v>-0.38831999999999989</v>
      </c>
      <c r="I26" s="5">
        <f t="shared" si="3"/>
        <v>1665</v>
      </c>
      <c r="J26">
        <f>+H26+CF*F26*(1+($I26-1850)*slope/1000)+F26*hQc*COS(2*PI()*$I26/qbo+$L26)+F26*hQs*SIN(2*PI()*$I26/qbo+$L26)+F26*hCs*SIN(2*PI()*$I26/cw)+F26*hCc*COS(2*PI()*$I26/cw) +mix*F26*(hQc*COS(2*PI()*$I26/qbo+$L26)+hQs*SIN(2*PI()*$I26/qbo+$L26))*(hCs*SIN(2*PI()*$I26/cw)+hCc*COS(2*PI()*$I26/cw))</f>
        <v>-1.4025989963016361</v>
      </c>
      <c r="K26">
        <f>fQc*COS(2*PI()*$I26/qbo+$L26)+fQs*SIN(2*PI()*$I26/qbo+$L26)+fCs*SIN(2*PI()*$I26/cw)+fCc*COS(2*PI()*$I26/cw)</f>
        <v>-0.55156094076132178</v>
      </c>
      <c r="L26">
        <f>+QMA*COS(2*PI()*$I26/QM+QMP)</f>
        <v>9.9075029343905552E-2</v>
      </c>
      <c r="P26">
        <f t="shared" si="4"/>
        <v>1</v>
      </c>
    </row>
    <row r="27" spans="1:16" x14ac:dyDescent="0.25">
      <c r="A27" s="1"/>
      <c r="B27" t="s">
        <v>40</v>
      </c>
      <c r="C27" t="s">
        <v>24</v>
      </c>
      <c r="D27" s="2">
        <v>0.70833333333333337</v>
      </c>
      <c r="E27" s="5">
        <f t="shared" si="0"/>
        <v>1666</v>
      </c>
      <c r="F27">
        <v>-0.25003999999999998</v>
      </c>
      <c r="G27">
        <f t="shared" si="1"/>
        <v>-0.16959000000000005</v>
      </c>
      <c r="H27">
        <f t="shared" si="2"/>
        <v>-0.16959000000000005</v>
      </c>
      <c r="I27" s="5">
        <f t="shared" si="3"/>
        <v>1666</v>
      </c>
      <c r="J27">
        <f>+H27+CF*F27*(1+($I27-1850)*slope/1000)+F27*hQc*COS(2*PI()*$I27/qbo+$L27)+F27*hQs*SIN(2*PI()*$I27/qbo+$L27)+F27*hCs*SIN(2*PI()*$I27/cw)+F27*hCc*COS(2*PI()*$I27/cw) +mix*F27*(hQc*COS(2*PI()*$I27/qbo+$L27)+hQs*SIN(2*PI()*$I27/qbo+$L27))*(hCs*SIN(2*PI()*$I27/cw)+hCc*COS(2*PI()*$I27/cw))</f>
        <v>-1.5134429487264105</v>
      </c>
      <c r="K27">
        <f>fQc*COS(2*PI()*$I27/qbo+$L27)+fQs*SIN(2*PI()*$I27/qbo+$L27)+fCs*SIN(2*PI()*$I27/cw)+fCc*COS(2*PI()*$I27/cw)</f>
        <v>3.2469868107781603</v>
      </c>
      <c r="L27">
        <f>+QMA*COS(2*PI()*$I27/QM+QMP)</f>
        <v>-1.3783374225576061E-2</v>
      </c>
      <c r="P27">
        <f t="shared" si="4"/>
        <v>0</v>
      </c>
    </row>
    <row r="28" spans="1:16" x14ac:dyDescent="0.25">
      <c r="A28" s="1"/>
      <c r="B28" t="s">
        <v>41</v>
      </c>
      <c r="C28" t="s">
        <v>24</v>
      </c>
      <c r="D28" s="2">
        <v>0.75</v>
      </c>
      <c r="E28" s="5">
        <f t="shared" si="0"/>
        <v>1667</v>
      </c>
      <c r="F28">
        <v>-0.24875</v>
      </c>
      <c r="G28">
        <f t="shared" si="1"/>
        <v>-0.28654000000000002</v>
      </c>
      <c r="H28">
        <f t="shared" si="2"/>
        <v>-0.28654000000000002</v>
      </c>
      <c r="I28" s="5">
        <f t="shared" si="3"/>
        <v>1667</v>
      </c>
      <c r="J28">
        <f>+H28+CF*F28*(1+($I28-1850)*slope/1000)+F28*hQc*COS(2*PI()*$I28/qbo+$L28)+F28*hQs*SIN(2*PI()*$I28/qbo+$L28)+F28*hCs*SIN(2*PI()*$I28/cw)+F28*hCc*COS(2*PI()*$I28/cw) +mix*F28*(hQc*COS(2*PI()*$I28/qbo+$L28)+hQs*SIN(2*PI()*$I28/qbo+$L28))*(hCs*SIN(2*PI()*$I28/cw)+hCc*COS(2*PI()*$I28/cw))</f>
        <v>-0.58449637072301674</v>
      </c>
      <c r="K28">
        <f>fQc*COS(2*PI()*$I28/qbo+$L28)+fQs*SIN(2*PI()*$I28/qbo+$L28)+fCs*SIN(2*PI()*$I28/cw)+fCc*COS(2*PI()*$I28/cw)</f>
        <v>-4.503558922514606</v>
      </c>
      <c r="L28">
        <f>+QMA*COS(2*PI()*$I28/QM+QMP)</f>
        <v>-0.12640227888017075</v>
      </c>
      <c r="P28">
        <f t="shared" si="4"/>
        <v>1</v>
      </c>
    </row>
    <row r="29" spans="1:16" x14ac:dyDescent="0.25">
      <c r="A29" s="1"/>
      <c r="B29" t="s">
        <v>42</v>
      </c>
      <c r="C29" t="s">
        <v>24</v>
      </c>
      <c r="D29" s="2">
        <v>0.79166666666666663</v>
      </c>
      <c r="E29" s="5">
        <f t="shared" si="0"/>
        <v>1668</v>
      </c>
      <c r="F29">
        <v>-0.53400000000000003</v>
      </c>
      <c r="G29">
        <f t="shared" si="1"/>
        <v>0.54977000000000009</v>
      </c>
      <c r="H29">
        <f t="shared" si="2"/>
        <v>0.54977000000000009</v>
      </c>
      <c r="I29" s="5">
        <f t="shared" si="3"/>
        <v>1668</v>
      </c>
      <c r="J29">
        <f>+H29+CF*F29*(1+($I29-1850)*slope/1000)+F29*hQc*COS(2*PI()*$I29/qbo+$L29)+F29*hQs*SIN(2*PI()*$I29/qbo+$L29)+F29*hCs*SIN(2*PI()*$I29/cw)+F29*hCc*COS(2*PI()*$I29/cw) +mix*F29*(hQc*COS(2*PI()*$I29/qbo+$L29)+hQs*SIN(2*PI()*$I29/qbo+$L29))*(hCs*SIN(2*PI()*$I29/cw)+hCc*COS(2*PI()*$I29/cw))</f>
        <v>-0.54752363393732573</v>
      </c>
      <c r="K29">
        <f>fQc*COS(2*PI()*$I29/qbo+$L29)+fQs*SIN(2*PI()*$I29/qbo+$L29)+fCs*SIN(2*PI()*$I29/cw)+fCc*COS(2*PI()*$I29/cw)</f>
        <v>5.0646798169225384</v>
      </c>
      <c r="L29">
        <f>+QMA*COS(2*PI()*$I29/QM+QMP)</f>
        <v>-0.23682482666774637</v>
      </c>
      <c r="P29">
        <f t="shared" si="4"/>
        <v>0</v>
      </c>
    </row>
    <row r="30" spans="1:16" x14ac:dyDescent="0.25">
      <c r="A30" s="1"/>
      <c r="B30" t="s">
        <v>43</v>
      </c>
      <c r="C30" t="s">
        <v>24</v>
      </c>
      <c r="D30" s="2">
        <v>0.83333333333333337</v>
      </c>
      <c r="E30" s="5">
        <f t="shared" si="0"/>
        <v>1669</v>
      </c>
      <c r="F30">
        <v>-0.26948</v>
      </c>
      <c r="G30">
        <f t="shared" si="1"/>
        <v>-0.27870000000000006</v>
      </c>
      <c r="H30">
        <f t="shared" si="2"/>
        <v>-0.27870000000000006</v>
      </c>
      <c r="I30" s="5">
        <f t="shared" si="3"/>
        <v>1669</v>
      </c>
      <c r="J30">
        <f>+H30+CF*F30*(1+($I30-1850)*slope/1000)+F30*hQc*COS(2*PI()*$I30/qbo+$L30)+F30*hQs*SIN(2*PI()*$I30/qbo+$L30)+F30*hCs*SIN(2*PI()*$I30/cw)+F30*hCc*COS(2*PI()*$I30/cw) +mix*F30*(hQc*COS(2*PI()*$I30/qbo+$L30)+hQs*SIN(2*PI()*$I30/qbo+$L30))*(hCs*SIN(2*PI()*$I30/cw)+hCc*COS(2*PI()*$I30/cw))</f>
        <v>-1.1688471164940202</v>
      </c>
      <c r="K30">
        <f>fQc*COS(2*PI()*$I30/qbo+$L30)+fQs*SIN(2*PI()*$I30/qbo+$L30)+fCs*SIN(2*PI()*$I30/cw)+fCc*COS(2*PI()*$I30/cw)</f>
        <v>-3.4473611785627059</v>
      </c>
      <c r="L30">
        <f>+QMA*COS(2*PI()*$I30/QM+QMP)</f>
        <v>-0.34313232337445848</v>
      </c>
      <c r="P30">
        <f t="shared" si="4"/>
        <v>1</v>
      </c>
    </row>
    <row r="31" spans="1:16" x14ac:dyDescent="0.25">
      <c r="A31" s="1"/>
      <c r="B31" t="s">
        <v>44</v>
      </c>
      <c r="C31" t="s">
        <v>24</v>
      </c>
      <c r="D31" s="2">
        <v>0.875</v>
      </c>
      <c r="E31" s="5">
        <f t="shared" si="0"/>
        <v>1670</v>
      </c>
      <c r="F31">
        <v>-0.28366000000000002</v>
      </c>
      <c r="G31">
        <f t="shared" si="1"/>
        <v>0.70045000000000002</v>
      </c>
      <c r="H31">
        <f t="shared" si="2"/>
        <v>0.70045000000000002</v>
      </c>
      <c r="I31" s="5">
        <f t="shared" si="3"/>
        <v>1670</v>
      </c>
      <c r="J31">
        <f>+H31+CF*F31*(1+($I31-1850)*slope/1000)+F31*hQc*COS(2*PI()*$I31/qbo+$L31)+F31*hQs*SIN(2*PI()*$I31/qbo+$L31)+F31*hCs*SIN(2*PI()*$I31/cw)+F31*hCc*COS(2*PI()*$I31/cw) +mix*F31*(hQc*COS(2*PI()*$I31/qbo+$L31)+hQs*SIN(2*PI()*$I31/qbo+$L31))*(hCs*SIN(2*PI()*$I31/cw)+hCc*COS(2*PI()*$I31/cw))</f>
        <v>0.30650382336140891</v>
      </c>
      <c r="K31">
        <f>fQc*COS(2*PI()*$I31/qbo+$L31)+fQs*SIN(2*PI()*$I31/qbo+$L31)+fCs*SIN(2*PI()*$I31/cw)+fCc*COS(2*PI()*$I31/cw)</f>
        <v>1.0713246052424747</v>
      </c>
      <c r="L31">
        <f>+QMA*COS(2*PI()*$I31/QM+QMP)</f>
        <v>-0.44347757761672024</v>
      </c>
      <c r="P31">
        <f t="shared" si="4"/>
        <v>1</v>
      </c>
    </row>
    <row r="32" spans="1:16" x14ac:dyDescent="0.25">
      <c r="A32" s="1"/>
      <c r="B32" t="s">
        <v>45</v>
      </c>
      <c r="C32" t="s">
        <v>24</v>
      </c>
      <c r="D32" s="2">
        <v>0.91666666666666663</v>
      </c>
      <c r="E32" s="5">
        <f t="shared" si="0"/>
        <v>1671</v>
      </c>
      <c r="F32">
        <v>0.40261000000000002</v>
      </c>
      <c r="G32">
        <f t="shared" si="1"/>
        <v>-1.4431400000000001</v>
      </c>
      <c r="H32">
        <f t="shared" si="2"/>
        <v>-1.4431400000000001</v>
      </c>
      <c r="I32" s="5">
        <f t="shared" si="3"/>
        <v>1671</v>
      </c>
      <c r="J32">
        <f>+H32+CF*F32*(1+($I32-1850)*slope/1000)+F32*hQc*COS(2*PI()*$I32/qbo+$L32)+F32*hQs*SIN(2*PI()*$I32/qbo+$L32)+F32*hCs*SIN(2*PI()*$I32/cw)+F32*hCc*COS(2*PI()*$I32/cw) +mix*F32*(hQc*COS(2*PI()*$I32/qbo+$L32)+hQs*SIN(2*PI()*$I32/qbo+$L32))*(hCs*SIN(2*PI()*$I32/cw)+hCc*COS(2*PI()*$I32/cw))</f>
        <v>-1.6877557519491226</v>
      </c>
      <c r="K32">
        <f>fQc*COS(2*PI()*$I32/qbo+$L32)+fQs*SIN(2*PI()*$I32/qbo+$L32)+fCs*SIN(2*PI()*$I32/cw)+fCc*COS(2*PI()*$I32/cw)</f>
        <v>1.3460213406334898</v>
      </c>
      <c r="L32">
        <f>+QMA*COS(2*PI()*$I32/QM+QMP)</f>
        <v>-0.53611699750538766</v>
      </c>
      <c r="P32">
        <f t="shared" si="4"/>
        <v>0</v>
      </c>
    </row>
    <row r="33" spans="1:16" x14ac:dyDescent="0.25">
      <c r="A33" s="1"/>
      <c r="B33" t="s">
        <v>46</v>
      </c>
      <c r="C33" t="s">
        <v>24</v>
      </c>
      <c r="D33" s="2">
        <v>0.95833333333333337</v>
      </c>
      <c r="E33" s="5">
        <f t="shared" si="0"/>
        <v>1672</v>
      </c>
      <c r="F33">
        <v>-0.35426000000000002</v>
      </c>
      <c r="G33">
        <f t="shared" si="1"/>
        <v>0.87363000000000013</v>
      </c>
      <c r="H33">
        <f t="shared" si="2"/>
        <v>0.87363000000000013</v>
      </c>
      <c r="I33" s="5">
        <f t="shared" si="3"/>
        <v>1672</v>
      </c>
      <c r="J33">
        <f>+H33+CF*F33*(1+($I33-1850)*slope/1000)+F33*hQc*COS(2*PI()*$I33/qbo+$L33)+F33*hQs*SIN(2*PI()*$I33/qbo+$L33)+F33*hCs*SIN(2*PI()*$I33/cw)+F33*hCc*COS(2*PI()*$I33/cw) +mix*F33*(hQc*COS(2*PI()*$I33/qbo+$L33)+hQs*SIN(2*PI()*$I33/qbo+$L33))*(hCs*SIN(2*PI()*$I33/cw)+hCc*COS(2*PI()*$I33/cw))</f>
        <v>-0.51728228090306061</v>
      </c>
      <c r="K33">
        <f>fQc*COS(2*PI()*$I33/qbo+$L33)+fQs*SIN(2*PI()*$I33/qbo+$L33)+fCs*SIN(2*PI()*$I33/cw)+fCc*COS(2*PI()*$I33/cw)</f>
        <v>-3.9697072554059343</v>
      </c>
      <c r="L33">
        <f>+QMA*COS(2*PI()*$I33/QM+QMP)</f>
        <v>-0.61944088717239887</v>
      </c>
      <c r="P33">
        <f t="shared" si="4"/>
        <v>1</v>
      </c>
    </row>
    <row r="34" spans="1:16" x14ac:dyDescent="0.25">
      <c r="A34" s="1"/>
      <c r="B34" t="s">
        <v>47</v>
      </c>
      <c r="C34" t="s">
        <v>24</v>
      </c>
      <c r="D34" s="3">
        <v>1</v>
      </c>
      <c r="E34" s="5">
        <f t="shared" si="0"/>
        <v>1673</v>
      </c>
      <c r="F34">
        <v>-0.23749999999999999</v>
      </c>
      <c r="G34">
        <f t="shared" si="1"/>
        <v>0.73222000000000009</v>
      </c>
      <c r="H34">
        <f t="shared" si="2"/>
        <v>0.73222000000000009</v>
      </c>
      <c r="I34" s="5">
        <f t="shared" si="3"/>
        <v>1673</v>
      </c>
      <c r="J34">
        <f>+H34+CF*F34*(1+($I34-1850)*slope/1000)+F34*hQc*COS(2*PI()*$I34/qbo+$L34)+F34*hQs*SIN(2*PI()*$I34/qbo+$L34)+F34*hCs*SIN(2*PI()*$I34/cw)+F34*hCc*COS(2*PI()*$I34/cw) +mix*F34*(hQc*COS(2*PI()*$I34/qbo+$L34)+hQs*SIN(2*PI()*$I34/qbo+$L34))*(hCs*SIN(2*PI()*$I34/cw)+hCc*COS(2*PI()*$I34/cw))</f>
        <v>8.5828028670614981E-2</v>
      </c>
      <c r="K34">
        <f>fQc*COS(2*PI()*$I34/qbo+$L34)+fQs*SIN(2*PI()*$I34/qbo+$L34)+fCs*SIN(2*PI()*$I34/cw)+fCc*COS(2*PI()*$I34/cw)</f>
        <v>4.7613908861490142</v>
      </c>
      <c r="L34">
        <f>+QMA*COS(2*PI()*$I34/QM+QMP)</f>
        <v>-0.69200141672985382</v>
      </c>
      <c r="P34">
        <f t="shared" si="4"/>
        <v>1</v>
      </c>
    </row>
    <row r="35" spans="1:16" x14ac:dyDescent="0.25">
      <c r="A35" s="1"/>
      <c r="B35" t="s">
        <v>48</v>
      </c>
      <c r="C35" t="s">
        <v>24</v>
      </c>
      <c r="D35" s="3">
        <v>1.0416666666666667</v>
      </c>
      <c r="E35" s="5">
        <f t="shared" si="0"/>
        <v>1674</v>
      </c>
      <c r="F35">
        <v>0.61148000000000002</v>
      </c>
      <c r="G35">
        <f t="shared" si="1"/>
        <v>-1.57823</v>
      </c>
      <c r="H35">
        <f t="shared" si="2"/>
        <v>-1.57823</v>
      </c>
      <c r="I35" s="5">
        <f t="shared" si="3"/>
        <v>1674</v>
      </c>
      <c r="J35">
        <f>+H35+CF*F35*(1+($I35-1850)*slope/1000)+F35*hQc*COS(2*PI()*$I35/qbo+$L35)+F35*hQs*SIN(2*PI()*$I35/qbo+$L35)+F35*hCs*SIN(2*PI()*$I35/cw)+F35*hCc*COS(2*PI()*$I35/cw) +mix*F35*(hQc*COS(2*PI()*$I35/qbo+$L35)+hQs*SIN(2*PI()*$I35/qbo+$L35))*(hCs*SIN(2*PI()*$I35/cw)+hCc*COS(2*PI()*$I35/cw))</f>
        <v>-0.86658268009242034</v>
      </c>
      <c r="K35">
        <f>fQc*COS(2*PI()*$I35/qbo+$L35)+fQs*SIN(2*PI()*$I35/qbo+$L35)+fCs*SIN(2*PI()*$I35/cw)+fCc*COS(2*PI()*$I35/cw)</f>
        <v>-4.7430114805820365</v>
      </c>
      <c r="L35">
        <f>+QMA*COS(2*PI()*$I35/QM+QMP)</f>
        <v>-0.75253777965766799</v>
      </c>
      <c r="P35">
        <f t="shared" si="4"/>
        <v>1</v>
      </c>
    </row>
    <row r="36" spans="1:16" x14ac:dyDescent="0.25">
      <c r="A36" s="1"/>
      <c r="B36" t="s">
        <v>49</v>
      </c>
      <c r="C36" t="s">
        <v>24</v>
      </c>
      <c r="D36" s="3">
        <v>1.0833333333333333</v>
      </c>
      <c r="E36" s="5">
        <f t="shared" si="0"/>
        <v>1675</v>
      </c>
      <c r="F36">
        <v>-0.11777</v>
      </c>
      <c r="G36">
        <f t="shared" si="1"/>
        <v>0.11476000000000008</v>
      </c>
      <c r="H36">
        <f t="shared" si="2"/>
        <v>0.11476000000000008</v>
      </c>
      <c r="I36" s="5">
        <f t="shared" si="3"/>
        <v>1675</v>
      </c>
      <c r="J36">
        <f>+H36+CF*F36*(1+($I36-1850)*slope/1000)+F36*hQc*COS(2*PI()*$I36/qbo+$L36)+F36*hQs*SIN(2*PI()*$I36/qbo+$L36)+F36*hCs*SIN(2*PI()*$I36/cw)+F36*hCc*COS(2*PI()*$I36/cw) +mix*F36*(hQc*COS(2*PI()*$I36/qbo+$L36)+hQs*SIN(2*PI()*$I36/qbo+$L36))*(hCs*SIN(2*PI()*$I36/cw)+hCc*COS(2*PI()*$I36/cw))</f>
        <v>-0.41940615940607584</v>
      </c>
      <c r="K36">
        <f>fQc*COS(2*PI()*$I36/qbo+$L36)+fQs*SIN(2*PI()*$I36/qbo+$L36)+fCs*SIN(2*PI()*$I36/cw)+fCc*COS(2*PI()*$I36/cw)</f>
        <v>3.5821332678598843</v>
      </c>
      <c r="L36">
        <f>+QMA*COS(2*PI()*$I36/QM+QMP)</f>
        <v>-0.79999810048652475</v>
      </c>
      <c r="P36">
        <f t="shared" si="4"/>
        <v>0</v>
      </c>
    </row>
    <row r="37" spans="1:16" x14ac:dyDescent="0.25">
      <c r="A37" s="1"/>
      <c r="B37" t="s">
        <v>50</v>
      </c>
      <c r="C37" t="s">
        <v>24</v>
      </c>
      <c r="D37" s="3">
        <v>1.125</v>
      </c>
      <c r="E37" s="5">
        <f t="shared" si="0"/>
        <v>1676</v>
      </c>
      <c r="F37">
        <v>-0.73226000000000002</v>
      </c>
      <c r="G37">
        <f t="shared" si="1"/>
        <v>1.7616499999999999</v>
      </c>
      <c r="H37">
        <f t="shared" si="2"/>
        <v>1.7616499999999999</v>
      </c>
      <c r="I37" s="5">
        <f t="shared" si="3"/>
        <v>1676</v>
      </c>
      <c r="J37">
        <f>+H37+CF*F37*(1+($I37-1850)*slope/1000)+F37*hQc*COS(2*PI()*$I37/qbo+$L37)+F37*hQs*SIN(2*PI()*$I37/qbo+$L37)+F37*hCs*SIN(2*PI()*$I37/cw)+F37*hCc*COS(2*PI()*$I37/cw) +mix*F37*(hQc*COS(2*PI()*$I37/qbo+$L37)+hQs*SIN(2*PI()*$I37/qbo+$L37))*(hCs*SIN(2*PI()*$I37/cw)+hCc*COS(2*PI()*$I37/cw))</f>
        <v>-0.27360362738899552</v>
      </c>
      <c r="K37">
        <f>fQc*COS(2*PI()*$I37/qbo+$L37)+fQs*SIN(2*PI()*$I37/qbo+$L37)+fCs*SIN(2*PI()*$I37/cw)+fCc*COS(2*PI()*$I37/cw)</f>
        <v>-1.1144943799203175</v>
      </c>
      <c r="L37">
        <f>+QMA*COS(2*PI()*$I37/QM+QMP)</f>
        <v>-0.83355771211002827</v>
      </c>
      <c r="P37">
        <f t="shared" si="4"/>
        <v>1</v>
      </c>
    </row>
    <row r="38" spans="1:16" x14ac:dyDescent="0.25">
      <c r="A38" s="1"/>
      <c r="B38" t="s">
        <v>51</v>
      </c>
      <c r="C38" t="s">
        <v>24</v>
      </c>
      <c r="D38" s="3">
        <v>1.1666666666666667</v>
      </c>
      <c r="E38" s="5">
        <f t="shared" si="0"/>
        <v>1677</v>
      </c>
      <c r="F38">
        <v>0.41489999999999999</v>
      </c>
      <c r="G38">
        <f t="shared" si="1"/>
        <v>-1.8254699999999999</v>
      </c>
      <c r="H38">
        <f t="shared" si="2"/>
        <v>-1.8254699999999999</v>
      </c>
      <c r="I38" s="5">
        <f t="shared" si="3"/>
        <v>1677</v>
      </c>
      <c r="J38">
        <f>+H38+CF*F38*(1+($I38-1850)*slope/1000)+F38*hQc*COS(2*PI()*$I38/qbo+$L38)+F38*hQs*SIN(2*PI()*$I38/qbo+$L38)+F38*hCs*SIN(2*PI()*$I38/cw)+F38*hCc*COS(2*PI()*$I38/cw) +mix*F38*(hQc*COS(2*PI()*$I38/qbo+$L38)+hQs*SIN(2*PI()*$I38/qbo+$L38))*(hCs*SIN(2*PI()*$I38/cw)+hCc*COS(2*PI()*$I38/cw))</f>
        <v>-0.75476632278940414</v>
      </c>
      <c r="K38">
        <f>fQc*COS(2*PI()*$I38/qbo+$L38)+fQs*SIN(2*PI()*$I38/qbo+$L38)+fCs*SIN(2*PI()*$I38/cw)+fCc*COS(2*PI()*$I38/cw)</f>
        <v>-0.80966103932207956</v>
      </c>
      <c r="L38">
        <f>+QMA*COS(2*PI()*$I38/QM+QMP)</f>
        <v>-0.85263348514083459</v>
      </c>
      <c r="P38">
        <f t="shared" si="4"/>
        <v>1</v>
      </c>
    </row>
    <row r="39" spans="1:16" x14ac:dyDescent="0.25">
      <c r="A39" s="1"/>
      <c r="B39" t="s">
        <v>52</v>
      </c>
      <c r="C39" t="s">
        <v>24</v>
      </c>
      <c r="D39" s="3">
        <v>1.2083333333333333</v>
      </c>
      <c r="E39" s="5">
        <f t="shared" si="0"/>
        <v>1678</v>
      </c>
      <c r="F39">
        <v>-0.26340999999999998</v>
      </c>
      <c r="G39">
        <f t="shared" si="1"/>
        <v>0.3245599999999999</v>
      </c>
      <c r="H39">
        <f t="shared" si="2"/>
        <v>0.3245599999999999</v>
      </c>
      <c r="I39" s="5">
        <f t="shared" si="3"/>
        <v>1678</v>
      </c>
      <c r="J39">
        <f>+H39+CF*F39*(1+($I39-1850)*slope/1000)+F39*hQc*COS(2*PI()*$I39/qbo+$L39)+F39*hQs*SIN(2*PI()*$I39/qbo+$L39)+F39*hCs*SIN(2*PI()*$I39/cw)+F39*hCc*COS(2*PI()*$I39/cw) +mix*F39*(hQc*COS(2*PI()*$I39/qbo+$L39)+hQs*SIN(2*PI()*$I39/qbo+$L39))*(hCs*SIN(2*PI()*$I39/cw)+hCc*COS(2*PI()*$I39/cw))</f>
        <v>0.52382935537054998</v>
      </c>
      <c r="K39">
        <f>fQc*COS(2*PI()*$I39/qbo+$L39)+fQs*SIN(2*PI()*$I39/qbo+$L39)+fCs*SIN(2*PI()*$I39/cw)+fCc*COS(2*PI()*$I39/cw)</f>
        <v>3.1086702660440051</v>
      </c>
      <c r="L39">
        <f>+QMA*COS(2*PI()*$I39/QM+QMP)</f>
        <v>-0.85689396032471887</v>
      </c>
      <c r="P39">
        <f t="shared" si="4"/>
        <v>1</v>
      </c>
    </row>
    <row r="40" spans="1:16" x14ac:dyDescent="0.25">
      <c r="A40" s="1"/>
      <c r="B40" t="s">
        <v>53</v>
      </c>
      <c r="C40" t="s">
        <v>24</v>
      </c>
      <c r="D40" s="3">
        <v>1.25</v>
      </c>
      <c r="E40" s="5">
        <f t="shared" si="0"/>
        <v>1679</v>
      </c>
      <c r="F40">
        <v>-0.61716000000000004</v>
      </c>
      <c r="G40">
        <f t="shared" si="1"/>
        <v>1.15364</v>
      </c>
      <c r="H40">
        <f t="shared" si="2"/>
        <v>1.15364</v>
      </c>
      <c r="I40" s="5">
        <f t="shared" si="3"/>
        <v>1679</v>
      </c>
      <c r="J40">
        <f>+H40+CF*F40*(1+($I40-1850)*slope/1000)+F40*hQc*COS(2*PI()*$I40/qbo+$L40)+F40*hQs*SIN(2*PI()*$I40/qbo+$L40)+F40*hCs*SIN(2*PI()*$I40/cw)+F40*hCc*COS(2*PI()*$I40/cw) +mix*F40*(hQc*COS(2*PI()*$I40/qbo+$L40)+hQs*SIN(2*PI()*$I40/qbo+$L40))*(hCs*SIN(2*PI()*$I40/cw)+hCc*COS(2*PI()*$I40/cw))</f>
        <v>-2.2781363504884391</v>
      </c>
      <c r="K40">
        <f>fQc*COS(2*PI()*$I40/qbo+$L40)+fQs*SIN(2*PI()*$I40/qbo+$L40)+fCs*SIN(2*PI()*$I40/cw)+fCc*COS(2*PI()*$I40/cw)</f>
        <v>-4.5462329104916144</v>
      </c>
      <c r="L40">
        <f>+QMA*COS(2*PI()*$I40/QM+QMP)</f>
        <v>-0.84626510795264598</v>
      </c>
      <c r="P40">
        <f t="shared" si="4"/>
        <v>1</v>
      </c>
    </row>
    <row r="41" spans="1:16" x14ac:dyDescent="0.25">
      <c r="A41" s="1"/>
      <c r="B41" t="s">
        <v>54</v>
      </c>
      <c r="C41" t="s">
        <v>24</v>
      </c>
      <c r="D41" s="3">
        <v>1.2916666666666667</v>
      </c>
      <c r="E41" s="5">
        <f t="shared" si="0"/>
        <v>1680</v>
      </c>
      <c r="F41">
        <v>0.18273</v>
      </c>
      <c r="G41">
        <f t="shared" si="1"/>
        <v>-0.71388000000000007</v>
      </c>
      <c r="H41">
        <f t="shared" si="2"/>
        <v>-0.71388000000000007</v>
      </c>
      <c r="I41" s="5">
        <f t="shared" si="3"/>
        <v>1680</v>
      </c>
      <c r="J41">
        <f>+H41+CF*F41*(1+($I41-1850)*slope/1000)+F41*hQc*COS(2*PI()*$I41/qbo+$L41)+F41*hQs*SIN(2*PI()*$I41/qbo+$L41)+F41*hCs*SIN(2*PI()*$I41/cw)+F41*hCc*COS(2*PI()*$I41/cw) +mix*F41*(hQc*COS(2*PI()*$I41/qbo+$L41)+hQs*SIN(2*PI()*$I41/qbo+$L41))*(hCs*SIN(2*PI()*$I41/cw)+hCc*COS(2*PI()*$I41/cw))</f>
        <v>-1.1483553457185383</v>
      </c>
      <c r="K41">
        <f>fQc*COS(2*PI()*$I41/qbo+$L41)+fQs*SIN(2*PI()*$I41/qbo+$L41)+fCs*SIN(2*PI()*$I41/cw)+fCc*COS(2*PI()*$I41/cw)</f>
        <v>4.787468299325436</v>
      </c>
      <c r="L41">
        <f>+QMA*COS(2*PI()*$I41/QM+QMP)</f>
        <v>-0.82093161419563954</v>
      </c>
      <c r="P41">
        <f t="shared" si="4"/>
        <v>0</v>
      </c>
    </row>
    <row r="42" spans="1:16" x14ac:dyDescent="0.25">
      <c r="A42" s="1"/>
      <c r="B42" t="s">
        <v>55</v>
      </c>
      <c r="C42" t="s">
        <v>24</v>
      </c>
      <c r="D42" s="3">
        <v>1.3333333333333333</v>
      </c>
      <c r="E42" s="5">
        <f t="shared" si="0"/>
        <v>1681</v>
      </c>
      <c r="F42">
        <v>0.26873999999999998</v>
      </c>
      <c r="G42">
        <f t="shared" si="1"/>
        <v>0.38514000000000009</v>
      </c>
      <c r="H42">
        <f t="shared" si="2"/>
        <v>0.38514000000000009</v>
      </c>
      <c r="I42" s="5">
        <f t="shared" si="3"/>
        <v>1681</v>
      </c>
      <c r="J42">
        <f>+H42+CF*F42*(1+($I42-1850)*slope/1000)+F42*hQc*COS(2*PI()*$I42/qbo+$L42)+F42*hQs*SIN(2*PI()*$I42/qbo+$L42)+F42*hCs*SIN(2*PI()*$I42/cw)+F42*hCc*COS(2*PI()*$I42/cw) +mix*F42*(hQc*COS(2*PI()*$I42/qbo+$L42)+hQs*SIN(2*PI()*$I42/qbo+$L42))*(hCs*SIN(2*PI()*$I42/cw)+hCc*COS(2*PI()*$I42/cw))</f>
        <v>1.3377463940111802</v>
      </c>
      <c r="K42">
        <f>fQc*COS(2*PI()*$I42/qbo+$L42)+fQs*SIN(2*PI()*$I42/qbo+$L42)+fCs*SIN(2*PI()*$I42/cw)+fCc*COS(2*PI()*$I42/cw)</f>
        <v>-4.8799665081841237</v>
      </c>
      <c r="L42">
        <f>+QMA*COS(2*PI()*$I42/QM+QMP)</f>
        <v>-0.78133367201124049</v>
      </c>
      <c r="P42">
        <f t="shared" si="4"/>
        <v>0</v>
      </c>
    </row>
    <row r="43" spans="1:16" x14ac:dyDescent="0.25">
      <c r="A43" s="1"/>
      <c r="B43" t="s">
        <v>56</v>
      </c>
      <c r="C43" t="s">
        <v>24</v>
      </c>
      <c r="D43" s="3">
        <v>1.375</v>
      </c>
      <c r="E43" s="5">
        <f t="shared" si="0"/>
        <v>1682</v>
      </c>
      <c r="F43">
        <v>0.73989000000000005</v>
      </c>
      <c r="G43">
        <f t="shared" si="1"/>
        <v>-1.0157100000000001</v>
      </c>
      <c r="H43">
        <f t="shared" si="2"/>
        <v>-1.0157100000000001</v>
      </c>
      <c r="I43" s="5">
        <f t="shared" si="3"/>
        <v>1682</v>
      </c>
      <c r="J43">
        <f>+H43+CF*F43*(1+($I43-1850)*slope/1000)+F43*hQc*COS(2*PI()*$I43/qbo+$L43)+F43*hQs*SIN(2*PI()*$I43/qbo+$L43)+F43*hCs*SIN(2*PI()*$I43/cw)+F43*hCc*COS(2*PI()*$I43/cw) +mix*F43*(hQc*COS(2*PI()*$I43/qbo+$L43)+hQs*SIN(2*PI()*$I43/qbo+$L43))*(hCs*SIN(2*PI()*$I43/cw)+hCc*COS(2*PI()*$I43/cw))</f>
        <v>1.0991402981327365</v>
      </c>
      <c r="K43">
        <f>fQc*COS(2*PI()*$I43/qbo+$L43)+fQs*SIN(2*PI()*$I43/qbo+$L43)+fCs*SIN(2*PI()*$I43/cw)+fCc*COS(2*PI()*$I43/cw)</f>
        <v>3.4851847387445494</v>
      </c>
      <c r="L43">
        <f>+QMA*COS(2*PI()*$I43/QM+QMP)</f>
        <v>-0.72815933238244168</v>
      </c>
      <c r="P43">
        <f t="shared" si="4"/>
        <v>1</v>
      </c>
    </row>
    <row r="44" spans="1:16" x14ac:dyDescent="0.25">
      <c r="A44" s="1"/>
      <c r="B44" t="s">
        <v>57</v>
      </c>
      <c r="C44" t="s">
        <v>24</v>
      </c>
      <c r="D44" s="3">
        <v>1.4166666666666667</v>
      </c>
      <c r="E44" s="5">
        <f t="shared" si="0"/>
        <v>1683</v>
      </c>
      <c r="F44">
        <v>0.19533</v>
      </c>
      <c r="G44">
        <f t="shared" si="1"/>
        <v>0.24701000000000006</v>
      </c>
      <c r="H44">
        <f t="shared" si="2"/>
        <v>0.24701000000000006</v>
      </c>
      <c r="I44" s="5">
        <f t="shared" si="3"/>
        <v>1683</v>
      </c>
      <c r="J44">
        <f>+H44+CF*F44*(1+($I44-1850)*slope/1000)+F44*hQc*COS(2*PI()*$I44/qbo+$L44)+F44*hQs*SIN(2*PI()*$I44/qbo+$L44)+F44*hCs*SIN(2*PI()*$I44/cw)+F44*hCc*COS(2*PI()*$I44/cw) +mix*F44*(hQc*COS(2*PI()*$I44/qbo+$L44)+hQs*SIN(2*PI()*$I44/qbo+$L44))*(hCs*SIN(2*PI()*$I44/cw)+hCc*COS(2*PI()*$I44/cw))</f>
        <v>0.74493472911649716</v>
      </c>
      <c r="K44">
        <f>fQc*COS(2*PI()*$I44/qbo+$L44)+fQs*SIN(2*PI()*$I44/qbo+$L44)+fCs*SIN(2*PI()*$I44/cw)+fCc*COS(2*PI()*$I44/cw)</f>
        <v>-2.002739198179333</v>
      </c>
      <c r="L44">
        <f>+QMA*COS(2*PI()*$I44/QM+QMP)</f>
        <v>-0.66233254879351255</v>
      </c>
      <c r="P44">
        <f t="shared" si="4"/>
        <v>0</v>
      </c>
    </row>
    <row r="45" spans="1:16" x14ac:dyDescent="0.25">
      <c r="A45" s="1"/>
      <c r="B45" t="s">
        <v>58</v>
      </c>
      <c r="C45" t="s">
        <v>24</v>
      </c>
      <c r="D45" s="3">
        <v>1.4583333333333333</v>
      </c>
      <c r="E45" s="5">
        <f t="shared" si="0"/>
        <v>1684</v>
      </c>
      <c r="F45">
        <v>-0.10222000000000001</v>
      </c>
      <c r="G45">
        <f t="shared" si="1"/>
        <v>-0.73465000000000003</v>
      </c>
      <c r="H45">
        <f t="shared" si="2"/>
        <v>-0.73465000000000003</v>
      </c>
      <c r="I45" s="5">
        <f t="shared" si="3"/>
        <v>1684</v>
      </c>
      <c r="J45">
        <f>+H45+CF*F45*(1+($I45-1850)*slope/1000)+F45*hQc*COS(2*PI()*$I45/qbo+$L45)+F45*hQs*SIN(2*PI()*$I45/qbo+$L45)+F45*hCs*SIN(2*PI()*$I45/cw)+F45*hCc*COS(2*PI()*$I45/cw) +mix*F45*(hQc*COS(2*PI()*$I45/qbo+$L45)+hQs*SIN(2*PI()*$I45/qbo+$L45))*(hCs*SIN(2*PI()*$I45/cw)+hCc*COS(2*PI()*$I45/cw))</f>
        <v>-1.0008876597664149</v>
      </c>
      <c r="K45">
        <f>fQc*COS(2*PI()*$I45/qbo+$L45)+fQs*SIN(2*PI()*$I45/qbo+$L45)+fCs*SIN(2*PI()*$I45/cw)+fCc*COS(2*PI()*$I45/cw)</f>
        <v>0.3926248067335763</v>
      </c>
      <c r="L45">
        <f>+QMA*COS(2*PI()*$I45/QM+QMP)</f>
        <v>-0.5849971226810553</v>
      </c>
      <c r="P45">
        <f t="shared" si="4"/>
        <v>0</v>
      </c>
    </row>
    <row r="46" spans="1:16" x14ac:dyDescent="0.25">
      <c r="A46" s="1"/>
      <c r="B46" t="s">
        <v>59</v>
      </c>
      <c r="C46" t="s">
        <v>24</v>
      </c>
      <c r="D46" s="3">
        <v>1.5</v>
      </c>
      <c r="E46" s="5">
        <f t="shared" si="0"/>
        <v>1685</v>
      </c>
      <c r="F46">
        <v>-1.13442</v>
      </c>
      <c r="G46">
        <f t="shared" si="1"/>
        <v>2.4325399999999999</v>
      </c>
      <c r="H46">
        <f t="shared" si="2"/>
        <v>2.4325399999999999</v>
      </c>
      <c r="I46" s="5">
        <f t="shared" si="3"/>
        <v>1685</v>
      </c>
      <c r="J46">
        <f>+H46+CF*F46*(1+($I46-1850)*slope/1000)+F46*hQc*COS(2*PI()*$I46/qbo+$L46)+F46*hQs*SIN(2*PI()*$I46/qbo+$L46)+F46*hCs*SIN(2*PI()*$I46/cw)+F46*hCc*COS(2*PI()*$I46/cw) +mix*F46*(hQc*COS(2*PI()*$I46/qbo+$L46)+hQs*SIN(2*PI()*$I46/qbo+$L46))*(hCs*SIN(2*PI()*$I46/cw)+hCc*COS(2*PI()*$I46/cw))</f>
        <v>-1.3605708155822329</v>
      </c>
      <c r="K46">
        <f>fQc*COS(2*PI()*$I46/qbo+$L46)+fQs*SIN(2*PI()*$I46/qbo+$L46)+fCs*SIN(2*PI()*$I46/cw)+fCc*COS(2*PI()*$I46/cw)</f>
        <v>1.7945878129148816</v>
      </c>
      <c r="L46">
        <f>+QMA*COS(2*PI()*$I46/QM+QMP)</f>
        <v>-0.49749682882278029</v>
      </c>
      <c r="P46">
        <f t="shared" si="4"/>
        <v>0</v>
      </c>
    </row>
    <row r="47" spans="1:16" x14ac:dyDescent="0.25">
      <c r="A47" s="1"/>
      <c r="B47" t="s">
        <v>60</v>
      </c>
      <c r="C47" t="s">
        <v>24</v>
      </c>
      <c r="D47" s="3">
        <v>1.5416666666666667</v>
      </c>
      <c r="E47" s="5">
        <f t="shared" si="0"/>
        <v>1686</v>
      </c>
      <c r="F47">
        <v>0.26591999999999999</v>
      </c>
      <c r="G47">
        <f t="shared" si="1"/>
        <v>-0.68174000000000001</v>
      </c>
      <c r="H47">
        <f t="shared" si="2"/>
        <v>-0.68174000000000001</v>
      </c>
      <c r="I47" s="5">
        <f t="shared" si="3"/>
        <v>1686</v>
      </c>
      <c r="J47">
        <f>+H47+CF*F47*(1+($I47-1850)*slope/1000)+F47*hQc*COS(2*PI()*$I47/qbo+$L47)+F47*hQs*SIN(2*PI()*$I47/qbo+$L47)+F47*hCs*SIN(2*PI()*$I47/cw)+F47*hCc*COS(2*PI()*$I47/cw) +mix*F47*(hQc*COS(2*PI()*$I47/qbo+$L47)+hQs*SIN(2*PI()*$I47/qbo+$L47))*(hCs*SIN(2*PI()*$I47/cw)+hCc*COS(2*PI()*$I47/cw))</f>
        <v>0.11796157269802958</v>
      </c>
      <c r="K47">
        <f>fQc*COS(2*PI()*$I47/qbo+$L47)+fQs*SIN(2*PI()*$I47/qbo+$L47)+fCs*SIN(2*PI()*$I47/cw)+fCc*COS(2*PI()*$I47/cw)</f>
        <v>-2.9551996279065573</v>
      </c>
      <c r="L47">
        <f>+QMA*COS(2*PI()*$I47/QM+QMP)</f>
        <v>-0.40135206600407086</v>
      </c>
      <c r="P47">
        <f t="shared" si="4"/>
        <v>0</v>
      </c>
    </row>
    <row r="48" spans="1:16" x14ac:dyDescent="0.25">
      <c r="A48" s="1"/>
      <c r="B48" t="s">
        <v>61</v>
      </c>
      <c r="C48" t="s">
        <v>24</v>
      </c>
      <c r="D48" s="3">
        <v>1.5833333333333333</v>
      </c>
      <c r="E48" s="5">
        <f t="shared" si="0"/>
        <v>1687</v>
      </c>
      <c r="F48">
        <v>0.98451999999999995</v>
      </c>
      <c r="G48">
        <f t="shared" si="1"/>
        <v>-1.5032599999999998</v>
      </c>
      <c r="H48">
        <f t="shared" si="2"/>
        <v>-1.5032599999999998</v>
      </c>
      <c r="I48" s="5">
        <f t="shared" si="3"/>
        <v>1687</v>
      </c>
      <c r="J48">
        <f>+H48+CF*F48*(1+($I48-1850)*slope/1000)+F48*hQc*COS(2*PI()*$I48/qbo+$L48)+F48*hQs*SIN(2*PI()*$I48/qbo+$L48)+F48*hCs*SIN(2*PI()*$I48/cw)+F48*hCc*COS(2*PI()*$I48/cw) +mix*F48*(hQc*COS(2*PI()*$I48/qbo+$L48)+hQs*SIN(2*PI()*$I48/qbo+$L48))*(hCs*SIN(2*PI()*$I48/cw)+hCc*COS(2*PI()*$I48/cw))</f>
        <v>-3.1936090036286027</v>
      </c>
      <c r="K48">
        <f>fQc*COS(2*PI()*$I48/qbo+$L48)+fQs*SIN(2*PI()*$I48/qbo+$L48)+fCs*SIN(2*PI()*$I48/cw)+fCc*COS(2*PI()*$I48/cw)</f>
        <v>4.3049265211910566</v>
      </c>
      <c r="L48">
        <f>+QMA*COS(2*PI()*$I48/QM+QMP)</f>
        <v>-0.29823343867858731</v>
      </c>
      <c r="P48">
        <f t="shared" si="4"/>
        <v>0</v>
      </c>
    </row>
    <row r="49" spans="1:16" x14ac:dyDescent="0.25">
      <c r="A49" s="1"/>
      <c r="B49" t="s">
        <v>62</v>
      </c>
      <c r="C49" t="s">
        <v>24</v>
      </c>
      <c r="D49" s="3">
        <v>1.625</v>
      </c>
      <c r="E49" s="5">
        <f t="shared" si="0"/>
        <v>1688</v>
      </c>
      <c r="F49">
        <v>0.19986000000000001</v>
      </c>
      <c r="G49">
        <f t="shared" si="1"/>
        <v>1.1437299999999999</v>
      </c>
      <c r="H49">
        <f t="shared" si="2"/>
        <v>1.1437299999999999</v>
      </c>
      <c r="I49" s="5">
        <f t="shared" si="3"/>
        <v>1688</v>
      </c>
      <c r="J49">
        <f>+H49+CF*F49*(1+($I49-1850)*slope/1000)+F49*hQc*COS(2*PI()*$I49/qbo+$L49)+F49*hQs*SIN(2*PI()*$I49/qbo+$L49)+F49*hCs*SIN(2*PI()*$I49/cw)+F49*hCc*COS(2*PI()*$I49/cw) +mix*F49*(hQc*COS(2*PI()*$I49/qbo+$L49)+hQs*SIN(2*PI()*$I49/qbo+$L49))*(hCs*SIN(2*PI()*$I49/cw)+hCc*COS(2*PI()*$I49/cw))</f>
        <v>2.2744710887998982</v>
      </c>
      <c r="K49">
        <f>fQc*COS(2*PI()*$I49/qbo+$L49)+fQs*SIN(2*PI()*$I49/qbo+$L49)+fCs*SIN(2*PI()*$I49/cw)+fCc*COS(2*PI()*$I49/cw)</f>
        <v>-5.0133049942214605</v>
      </c>
      <c r="L49">
        <f>+QMA*COS(2*PI()*$I49/QM+QMP)</f>
        <v>-0.18993272866583363</v>
      </c>
      <c r="P49">
        <f t="shared" si="4"/>
        <v>0</v>
      </c>
    </row>
    <row r="50" spans="1:16" x14ac:dyDescent="0.25">
      <c r="A50" s="1"/>
      <c r="B50" t="s">
        <v>63</v>
      </c>
      <c r="C50" t="s">
        <v>24</v>
      </c>
      <c r="D50" s="3">
        <v>1.6666666666666667</v>
      </c>
      <c r="E50" s="5">
        <f t="shared" si="0"/>
        <v>1689</v>
      </c>
      <c r="F50">
        <v>0.55893000000000004</v>
      </c>
      <c r="G50">
        <f t="shared" si="1"/>
        <v>-0.55098000000000003</v>
      </c>
      <c r="H50">
        <f t="shared" si="2"/>
        <v>-0.55098000000000003</v>
      </c>
      <c r="I50" s="5">
        <f t="shared" si="3"/>
        <v>1689</v>
      </c>
      <c r="J50">
        <f>+H50+CF*F50*(1+($I50-1850)*slope/1000)+F50*hQc*COS(2*PI()*$I50/qbo+$L50)+F50*hQs*SIN(2*PI()*$I50/qbo+$L50)+F50*hCs*SIN(2*PI()*$I50/cw)+F50*hCc*COS(2*PI()*$I50/cw) +mix*F50*(hQc*COS(2*PI()*$I50/qbo+$L50)+hQs*SIN(2*PI()*$I50/qbo+$L50))*(hCs*SIN(2*PI()*$I50/cw)+hCc*COS(2*PI()*$I50/cw))</f>
        <v>-1.6686981847951157</v>
      </c>
      <c r="K50">
        <f>fQc*COS(2*PI()*$I50/qbo+$L50)+fQs*SIN(2*PI()*$I50/qbo+$L50)+fCs*SIN(2*PI()*$I50/cw)+fCc*COS(2*PI()*$I50/cw)</f>
        <v>4.7369471434405046</v>
      </c>
      <c r="L50">
        <f>+QMA*COS(2*PI()*$I50/QM+QMP)</f>
        <v>-7.8331761279774828E-2</v>
      </c>
      <c r="P50">
        <f t="shared" si="4"/>
        <v>0</v>
      </c>
    </row>
    <row r="51" spans="1:16" x14ac:dyDescent="0.25">
      <c r="A51" s="1"/>
      <c r="B51" t="s">
        <v>64</v>
      </c>
      <c r="C51" t="s">
        <v>24</v>
      </c>
      <c r="D51" s="3">
        <v>1.7083333333333333</v>
      </c>
      <c r="E51" s="5">
        <f t="shared" si="0"/>
        <v>1690</v>
      </c>
      <c r="F51">
        <v>0.36702000000000001</v>
      </c>
      <c r="G51">
        <f t="shared" si="1"/>
        <v>-0.22628999999999999</v>
      </c>
      <c r="H51">
        <f t="shared" si="2"/>
        <v>-0.22628999999999999</v>
      </c>
      <c r="I51" s="5">
        <f t="shared" si="3"/>
        <v>1690</v>
      </c>
      <c r="J51">
        <f>+H51+CF*F51*(1+($I51-1850)*slope/1000)+F51*hQc*COS(2*PI()*$I51/qbo+$L51)+F51*hQs*SIN(2*PI()*$I51/qbo+$L51)+F51*hCs*SIN(2*PI()*$I51/cw)+F51*hCc*COS(2*PI()*$I51/cw) +mix*F51*(hQc*COS(2*PI()*$I51/qbo+$L51)+hQs*SIN(2*PI()*$I51/qbo+$L51))*(hCs*SIN(2*PI()*$I51/cw)+hCc*COS(2*PI()*$I51/cw))</f>
        <v>0.9330374054112277</v>
      </c>
      <c r="K51">
        <f>fQc*COS(2*PI()*$I51/qbo+$L51)+fQs*SIN(2*PI()*$I51/qbo+$L51)+fCs*SIN(2*PI()*$I51/cw)+fCc*COS(2*PI()*$I51/cw)</f>
        <v>-4.6456139760864854</v>
      </c>
      <c r="L51">
        <f>+QMA*COS(2*PI()*$I51/QM+QMP)</f>
        <v>3.4630293131927753E-2</v>
      </c>
      <c r="P51">
        <f t="shared" si="4"/>
        <v>0</v>
      </c>
    </row>
    <row r="52" spans="1:16" x14ac:dyDescent="0.25">
      <c r="A52" s="1"/>
      <c r="B52" t="s">
        <v>65</v>
      </c>
      <c r="C52" t="s">
        <v>24</v>
      </c>
      <c r="D52" s="3">
        <v>1.75</v>
      </c>
      <c r="E52" s="5">
        <f t="shared" si="0"/>
        <v>1691</v>
      </c>
      <c r="F52">
        <v>-5.1180000000000003E-2</v>
      </c>
      <c r="G52">
        <f t="shared" si="1"/>
        <v>1.0916700000000001</v>
      </c>
      <c r="H52">
        <f t="shared" si="2"/>
        <v>1.0916700000000001</v>
      </c>
      <c r="I52" s="5">
        <f t="shared" si="3"/>
        <v>1691</v>
      </c>
      <c r="J52">
        <f>+H52+CF*F52*(1+($I52-1850)*slope/1000)+F52*hQc*COS(2*PI()*$I52/qbo+$L52)+F52*hQs*SIN(2*PI()*$I52/qbo+$L52)+F52*hCs*SIN(2*PI()*$I52/cw)+F52*hCc*COS(2*PI()*$I52/cw) +mix*F52*(hQc*COS(2*PI()*$I52/qbo+$L52)+hQs*SIN(2*PI()*$I52/qbo+$L52))*(hCs*SIN(2*PI()*$I52/cw)+hCc*COS(2*PI()*$I52/cw))</f>
        <v>0.93672054403724969</v>
      </c>
      <c r="K52">
        <f>fQc*COS(2*PI()*$I52/qbo+$L52)+fQs*SIN(2*PI()*$I52/qbo+$L52)+fCs*SIN(2*PI()*$I52/cw)+fCc*COS(2*PI()*$I52/cw)</f>
        <v>3.3232863909889776</v>
      </c>
      <c r="L52">
        <f>+QMA*COS(2*PI()*$I52/QM+QMP)</f>
        <v>0.14699061407170169</v>
      </c>
      <c r="P52">
        <f t="shared" si="4"/>
        <v>1</v>
      </c>
    </row>
    <row r="53" spans="1:16" x14ac:dyDescent="0.25">
      <c r="A53" s="1"/>
      <c r="B53" t="s">
        <v>66</v>
      </c>
      <c r="C53" t="s">
        <v>24</v>
      </c>
      <c r="D53" s="3">
        <v>1.7916666666666667</v>
      </c>
      <c r="E53" s="5">
        <f t="shared" si="0"/>
        <v>1692</v>
      </c>
      <c r="F53">
        <v>0.62229000000000001</v>
      </c>
      <c r="G53">
        <f t="shared" si="1"/>
        <v>-0.81603000000000003</v>
      </c>
      <c r="H53">
        <f t="shared" si="2"/>
        <v>-0.81603000000000003</v>
      </c>
      <c r="I53" s="5">
        <f t="shared" si="3"/>
        <v>1692</v>
      </c>
      <c r="J53">
        <f>+H53+CF*F53*(1+($I53-1850)*slope/1000)+F53*hQc*COS(2*PI()*$I53/qbo+$L53)+F53*hQs*SIN(2*PI()*$I53/qbo+$L53)+F53*hCs*SIN(2*PI()*$I53/cw)+F53*hCc*COS(2*PI()*$I53/cw) +mix*F53*(hQc*COS(2*PI()*$I53/qbo+$L53)+hQs*SIN(2*PI()*$I53/qbo+$L53))*(hCs*SIN(2*PI()*$I53/cw)+hCc*COS(2*PI()*$I53/cw))</f>
        <v>0.74465783836633315</v>
      </c>
      <c r="K53">
        <f>fQc*COS(2*PI()*$I53/qbo+$L53)+fQs*SIN(2*PI()*$I53/qbo+$L53)+fCs*SIN(2*PI()*$I53/cw)+fCc*COS(2*PI()*$I53/cw)</f>
        <v>-1.9451910767893394</v>
      </c>
      <c r="L53">
        <f>+QMA*COS(2*PI()*$I53/QM+QMP)</f>
        <v>0.2567968367193888</v>
      </c>
      <c r="P53">
        <f t="shared" si="4"/>
        <v>0</v>
      </c>
    </row>
    <row r="54" spans="1:16" x14ac:dyDescent="0.25">
      <c r="A54" s="1"/>
      <c r="B54" t="s">
        <v>67</v>
      </c>
      <c r="C54" t="s">
        <v>24</v>
      </c>
      <c r="D54" s="3">
        <v>1.8333333333333333</v>
      </c>
      <c r="E54" s="5">
        <f t="shared" si="0"/>
        <v>1693</v>
      </c>
      <c r="F54">
        <v>0.47972999999999999</v>
      </c>
      <c r="G54">
        <f t="shared" si="1"/>
        <v>0.33596000000000004</v>
      </c>
      <c r="H54">
        <f t="shared" si="2"/>
        <v>0.33596000000000004</v>
      </c>
      <c r="I54" s="5">
        <f t="shared" si="3"/>
        <v>1693</v>
      </c>
      <c r="J54">
        <f>+H54+CF*F54*(1+($I54-1850)*slope/1000)+F54*hQc*COS(2*PI()*$I54/qbo+$L54)+F54*hQs*SIN(2*PI()*$I54/qbo+$L54)+F54*hCs*SIN(2*PI()*$I54/cw)+F54*hCc*COS(2*PI()*$I54/cw) +mix*F54*(hQc*COS(2*PI()*$I54/qbo+$L54)+hQs*SIN(2*PI()*$I54/qbo+$L54))*(hCs*SIN(2*PI()*$I54/cw)+hCc*COS(2*PI()*$I54/cw))</f>
        <v>1.5729608981805441</v>
      </c>
      <c r="K54">
        <f>fQc*COS(2*PI()*$I54/qbo+$L54)+fQs*SIN(2*PI()*$I54/qbo+$L54)+fCs*SIN(2*PI()*$I54/cw)+fCc*COS(2*PI()*$I54/cw)</f>
        <v>0.50982883933737</v>
      </c>
      <c r="L54">
        <f>+QMA*COS(2*PI()*$I54/QM+QMP)</f>
        <v>0.36214097608223206</v>
      </c>
      <c r="P54">
        <f t="shared" si="4"/>
        <v>1</v>
      </c>
    </row>
    <row r="55" spans="1:16" x14ac:dyDescent="0.25">
      <c r="A55" s="1"/>
      <c r="B55" t="s">
        <v>68</v>
      </c>
      <c r="C55" t="s">
        <v>24</v>
      </c>
      <c r="D55" s="3">
        <v>1.875</v>
      </c>
      <c r="E55" s="5">
        <f t="shared" si="0"/>
        <v>1694</v>
      </c>
      <c r="F55">
        <v>0.67313000000000001</v>
      </c>
      <c r="G55">
        <f t="shared" si="1"/>
        <v>0.17141000000000006</v>
      </c>
      <c r="H55">
        <f t="shared" si="2"/>
        <v>0.17141000000000006</v>
      </c>
      <c r="I55" s="5">
        <f t="shared" si="3"/>
        <v>1694</v>
      </c>
      <c r="J55">
        <f>+H55+CF*F55*(1+($I55-1850)*slope/1000)+F55*hQc*COS(2*PI()*$I55/qbo+$L55)+F55*hQs*SIN(2*PI()*$I55/qbo+$L55)+F55*hCs*SIN(2*PI()*$I55/cw)+F55*hCc*COS(2*PI()*$I55/cw) +mix*F55*(hQc*COS(2*PI()*$I55/qbo+$L55)+hQs*SIN(2*PI()*$I55/qbo+$L55))*(hCs*SIN(2*PI()*$I55/cw)+hCc*COS(2*PI()*$I55/cw))</f>
        <v>2.191397989629603</v>
      </c>
      <c r="K55">
        <f>fQc*COS(2*PI()*$I55/qbo+$L55)+fQs*SIN(2*PI()*$I55/qbo+$L55)+fCs*SIN(2*PI()*$I55/cw)+fCc*COS(2*PI()*$I55/cw)</f>
        <v>1.6403507746119494</v>
      </c>
      <c r="L55">
        <f>+QMA*COS(2*PI()*$I55/QM+QMP)</f>
        <v>0.46119258000432894</v>
      </c>
      <c r="P55">
        <f t="shared" si="4"/>
        <v>1</v>
      </c>
    </row>
    <row r="56" spans="1:16" x14ac:dyDescent="0.25">
      <c r="A56" s="1"/>
      <c r="B56" t="s">
        <v>69</v>
      </c>
      <c r="C56" t="s">
        <v>24</v>
      </c>
      <c r="D56" s="3">
        <v>1.9166666666666667</v>
      </c>
      <c r="E56" s="5">
        <f t="shared" si="0"/>
        <v>1695</v>
      </c>
      <c r="F56">
        <v>1.0379400000000001</v>
      </c>
      <c r="G56">
        <f t="shared" si="1"/>
        <v>-2.4887899999999998</v>
      </c>
      <c r="H56">
        <f t="shared" si="2"/>
        <v>-2.4887899999999998</v>
      </c>
      <c r="I56" s="5">
        <f t="shared" si="3"/>
        <v>1695</v>
      </c>
      <c r="J56">
        <f>+H56+CF*F56*(1+($I56-1850)*slope/1000)+F56*hQc*COS(2*PI()*$I56/qbo+$L56)+F56*hQs*SIN(2*PI()*$I56/qbo+$L56)+F56*hCs*SIN(2*PI()*$I56/cw)+F56*hCc*COS(2*PI()*$I56/cw) +mix*F56*(hQc*COS(2*PI()*$I56/qbo+$L56)+hQs*SIN(2*PI()*$I56/qbo+$L56))*(hCs*SIN(2*PI()*$I56/cw)+hCc*COS(2*PI()*$I56/cw))</f>
        <v>0.74145675178090986</v>
      </c>
      <c r="K56">
        <f>fQc*COS(2*PI()*$I56/qbo+$L56)+fQs*SIN(2*PI()*$I56/qbo+$L56)+fCs*SIN(2*PI()*$I56/cw)+fCc*COS(2*PI()*$I56/cw)</f>
        <v>-2.8652687821385721</v>
      </c>
      <c r="L56">
        <f>+QMA*COS(2*PI()*$I56/QM+QMP)</f>
        <v>0.55223053497098429</v>
      </c>
      <c r="P56">
        <f t="shared" si="4"/>
        <v>0</v>
      </c>
    </row>
    <row r="57" spans="1:16" x14ac:dyDescent="0.25">
      <c r="A57" s="1"/>
      <c r="B57" t="s">
        <v>70</v>
      </c>
      <c r="C57" t="s">
        <v>24</v>
      </c>
      <c r="D57" s="3">
        <v>1.9583333333333333</v>
      </c>
      <c r="E57" s="5">
        <f t="shared" si="0"/>
        <v>1696</v>
      </c>
      <c r="F57">
        <v>-1.0860399999999999</v>
      </c>
      <c r="G57">
        <f t="shared" si="1"/>
        <v>2.6817099999999998</v>
      </c>
      <c r="H57">
        <f t="shared" si="2"/>
        <v>2.6817099999999998</v>
      </c>
      <c r="I57" s="5">
        <f t="shared" si="3"/>
        <v>1696</v>
      </c>
      <c r="J57">
        <f>+H57+CF*F57*(1+($I57-1850)*slope/1000)+F57*hQc*COS(2*PI()*$I57/qbo+$L57)+F57*hQs*SIN(2*PI()*$I57/qbo+$L57)+F57*hCs*SIN(2*PI()*$I57/cw)+F57*hCc*COS(2*PI()*$I57/cw) +mix*F57*(hQc*COS(2*PI()*$I57/qbo+$L57)+hQs*SIN(2*PI()*$I57/qbo+$L57))*(hCs*SIN(2*PI()*$I57/cw)+hCc*COS(2*PI()*$I57/cw))</f>
        <v>4.9401373279038712</v>
      </c>
      <c r="K57">
        <f>fQc*COS(2*PI()*$I57/qbo+$L57)+fQs*SIN(2*PI()*$I57/qbo+$L57)+fCs*SIN(2*PI()*$I57/cw)+fCc*COS(2*PI()*$I57/cw)</f>
        <v>4.2672842352629354</v>
      </c>
      <c r="L57">
        <f>+QMA*COS(2*PI()*$I57/QM+QMP)</f>
        <v>0.63367297205294282</v>
      </c>
      <c r="P57">
        <f t="shared" si="4"/>
        <v>1</v>
      </c>
    </row>
    <row r="58" spans="1:16" x14ac:dyDescent="0.25">
      <c r="A58" s="1"/>
      <c r="B58" t="s">
        <v>71</v>
      </c>
      <c r="C58" t="s">
        <v>24</v>
      </c>
      <c r="D58" s="3">
        <v>2</v>
      </c>
      <c r="E58" s="5">
        <f t="shared" si="0"/>
        <v>1697</v>
      </c>
      <c r="F58">
        <v>-0.52830999999999995</v>
      </c>
      <c r="G58">
        <f t="shared" si="1"/>
        <v>-1.1302399999999999</v>
      </c>
      <c r="H58">
        <f t="shared" si="2"/>
        <v>-1.1302399999999999</v>
      </c>
      <c r="I58" s="5">
        <f t="shared" si="3"/>
        <v>1697</v>
      </c>
      <c r="J58">
        <f>+H58+CF*F58*(1+($I58-1850)*slope/1000)+F58*hQc*COS(2*PI()*$I58/qbo+$L58)+F58*hQs*SIN(2*PI()*$I58/qbo+$L58)+F58*hCs*SIN(2*PI()*$I58/cw)+F58*hCc*COS(2*PI()*$I58/cw) +mix*F58*(hQc*COS(2*PI()*$I58/qbo+$L58)+hQs*SIN(2*PI()*$I58/qbo+$L58))*(hCs*SIN(2*PI()*$I58/cw)+hCc*COS(2*PI()*$I58/cw))</f>
        <v>-4.0806471617135536</v>
      </c>
      <c r="K58">
        <f>fQc*COS(2*PI()*$I58/qbo+$L58)+fQs*SIN(2*PI()*$I58/qbo+$L58)+fCs*SIN(2*PI()*$I58/cw)+fCc*COS(2*PI()*$I58/cw)</f>
        <v>-5.0630528060171489</v>
      </c>
      <c r="L58">
        <f>+QMA*COS(2*PI()*$I58/QM+QMP)</f>
        <v>0.70410475334656331</v>
      </c>
      <c r="P58">
        <f t="shared" si="4"/>
        <v>1</v>
      </c>
    </row>
    <row r="59" spans="1:16" x14ac:dyDescent="0.25">
      <c r="A59" s="1"/>
      <c r="B59" t="s">
        <v>72</v>
      </c>
      <c r="C59" t="s">
        <v>24</v>
      </c>
      <c r="D59" s="3">
        <v>2.0416666666666665</v>
      </c>
      <c r="E59" s="5">
        <f t="shared" si="0"/>
        <v>1698</v>
      </c>
      <c r="F59">
        <v>-1.1008199999999999</v>
      </c>
      <c r="G59">
        <f t="shared" si="1"/>
        <v>1.4529199999999998</v>
      </c>
      <c r="H59">
        <f t="shared" si="2"/>
        <v>1.4529199999999998</v>
      </c>
      <c r="I59" s="5">
        <f t="shared" si="3"/>
        <v>1698</v>
      </c>
      <c r="J59">
        <f>+H59+CF*F59*(1+($I59-1850)*slope/1000)+F59*hQc*COS(2*PI()*$I59/qbo+$L59)+F59*hQs*SIN(2*PI()*$I59/qbo+$L59)+F59*hCs*SIN(2*PI()*$I59/cw)+F59*hCc*COS(2*PI()*$I59/cw) +mix*F59*(hQc*COS(2*PI()*$I59/qbo+$L59)+hQs*SIN(2*PI()*$I59/qbo+$L59))*(hCs*SIN(2*PI()*$I59/cw)+hCc*COS(2*PI()*$I59/cw))</f>
        <v>3.277399401484387</v>
      </c>
      <c r="K59">
        <f>fQc*COS(2*PI()*$I59/qbo+$L59)+fQs*SIN(2*PI()*$I59/qbo+$L59)+fCs*SIN(2*PI()*$I59/cw)+fCc*COS(2*PI()*$I59/cw)</f>
        <v>4.6537286897108165</v>
      </c>
      <c r="L59">
        <f>+QMA*COS(2*PI()*$I59/QM+QMP)</f>
        <v>0.76230206130777212</v>
      </c>
      <c r="P59">
        <f t="shared" si="4"/>
        <v>1</v>
      </c>
    </row>
    <row r="60" spans="1:16" x14ac:dyDescent="0.25">
      <c r="A60" s="1"/>
      <c r="B60" t="s">
        <v>73</v>
      </c>
      <c r="C60" t="s">
        <v>24</v>
      </c>
      <c r="D60" s="3">
        <v>2.0833333333333335</v>
      </c>
      <c r="E60" s="5">
        <f t="shared" si="0"/>
        <v>1699</v>
      </c>
      <c r="F60">
        <v>-0.22040999999999999</v>
      </c>
      <c r="G60">
        <f t="shared" si="1"/>
        <v>-0.67158999999999991</v>
      </c>
      <c r="H60">
        <f t="shared" si="2"/>
        <v>-0.67158999999999991</v>
      </c>
      <c r="I60" s="5">
        <f t="shared" si="3"/>
        <v>1699</v>
      </c>
      <c r="J60">
        <f>+H60+CF*F60*(1+($I60-1850)*slope/1000)+F60*hQc*COS(2*PI()*$I60/qbo+$L60)+F60*hQs*SIN(2*PI()*$I60/qbo+$L60)+F60*hCs*SIN(2*PI()*$I60/cw)+F60*hCc*COS(2*PI()*$I60/cw) +mix*F60*(hQc*COS(2*PI()*$I60/qbo+$L60)+hQs*SIN(2*PI()*$I60/qbo+$L60))*(hCs*SIN(2*PI()*$I60/cw)+hCc*COS(2*PI()*$I60/cw))</f>
        <v>-1.281884145803811</v>
      </c>
      <c r="K60">
        <f>fQc*COS(2*PI()*$I60/qbo+$L60)+fQs*SIN(2*PI()*$I60/qbo+$L60)+fCs*SIN(2*PI()*$I60/cw)+fCc*COS(2*PI()*$I60/cw)</f>
        <v>-4.2306918920271706</v>
      </c>
      <c r="L60">
        <f>+QMA*COS(2*PI()*$I60/QM+QMP)</f>
        <v>0.80725366371739593</v>
      </c>
      <c r="P60">
        <f t="shared" si="4"/>
        <v>1</v>
      </c>
    </row>
    <row r="61" spans="1:16" x14ac:dyDescent="0.25">
      <c r="A61" s="1"/>
      <c r="B61" t="s">
        <v>74</v>
      </c>
      <c r="C61" t="s">
        <v>24</v>
      </c>
      <c r="D61" s="3">
        <v>2.125</v>
      </c>
      <c r="E61" s="5">
        <f t="shared" si="0"/>
        <v>1700</v>
      </c>
      <c r="F61">
        <v>-1.159E-2</v>
      </c>
      <c r="G61">
        <f t="shared" si="1"/>
        <v>0.22741</v>
      </c>
      <c r="H61">
        <f t="shared" si="2"/>
        <v>0.22741</v>
      </c>
      <c r="I61" s="5">
        <f t="shared" si="3"/>
        <v>1700</v>
      </c>
      <c r="J61">
        <f>+H61+CF*F61*(1+($I61-1850)*slope/1000)+F61*hQc*COS(2*PI()*$I61/qbo+$L61)+F61*hQs*SIN(2*PI()*$I61/qbo+$L61)+F61*hCs*SIN(2*PI()*$I61/cw)+F61*hCc*COS(2*PI()*$I61/cw) +mix*F61*(hQc*COS(2*PI()*$I61/qbo+$L61)+hQs*SIN(2*PI()*$I61/qbo+$L61))*(hCs*SIN(2*PI()*$I61/cw)+hCc*COS(2*PI()*$I61/cw))</f>
        <v>0.19328651866480673</v>
      </c>
      <c r="K61">
        <f>fQc*COS(2*PI()*$I61/qbo+$L61)+fQs*SIN(2*PI()*$I61/qbo+$L61)+fCs*SIN(2*PI()*$I61/cw)+fCc*COS(2*PI()*$I61/cw)</f>
        <v>2.4013689082511451</v>
      </c>
      <c r="L61">
        <f>+QMA*COS(2*PI()*$I61/QM+QMP)</f>
        <v>0.83817848477909185</v>
      </c>
      <c r="P61">
        <f t="shared" si="4"/>
        <v>1</v>
      </c>
    </row>
    <row r="62" spans="1:16" x14ac:dyDescent="0.25">
      <c r="A62" s="1"/>
      <c r="B62" t="s">
        <v>75</v>
      </c>
      <c r="C62" t="s">
        <v>24</v>
      </c>
      <c r="D62" s="3">
        <v>2.1666666666666665</v>
      </c>
      <c r="E62" s="5">
        <f t="shared" si="0"/>
        <v>1701</v>
      </c>
      <c r="F62">
        <v>0.42464000000000002</v>
      </c>
      <c r="G62">
        <f t="shared" si="1"/>
        <v>-0.60131000000000001</v>
      </c>
      <c r="H62">
        <f t="shared" si="2"/>
        <v>-0.60131000000000001</v>
      </c>
      <c r="I62" s="5">
        <f t="shared" si="3"/>
        <v>1701</v>
      </c>
      <c r="J62">
        <f>+H62+CF*F62*(1+($I62-1850)*slope/1000)+F62*hQc*COS(2*PI()*$I62/qbo+$L62)+F62*hQs*SIN(2*PI()*$I62/qbo+$L62)+F62*hCs*SIN(2*PI()*$I62/cw)+F62*hCc*COS(2*PI()*$I62/cw) +mix*F62*(hQc*COS(2*PI()*$I62/qbo+$L62)+hQs*SIN(2*PI()*$I62/qbo+$L62))*(hCs*SIN(2*PI()*$I62/cw)+hCc*COS(2*PI()*$I62/cw))</f>
        <v>0.8033617538652118</v>
      </c>
      <c r="K62">
        <f>fQc*COS(2*PI()*$I62/qbo+$L62)+fQs*SIN(2*PI()*$I62/qbo+$L62)+fCs*SIN(2*PI()*$I62/cw)+fCc*COS(2*PI()*$I62/cw)</f>
        <v>-0.33620282140224378</v>
      </c>
      <c r="L62">
        <f>+QMA*COS(2*PI()*$I62/QM+QMP)</f>
        <v>0.85453917703598115</v>
      </c>
      <c r="P62">
        <f t="shared" si="4"/>
        <v>0</v>
      </c>
    </row>
    <row r="63" spans="1:16" x14ac:dyDescent="0.25">
      <c r="A63" s="1"/>
      <c r="B63" t="s">
        <v>76</v>
      </c>
      <c r="C63" t="s">
        <v>24</v>
      </c>
      <c r="D63" s="3">
        <v>2.2083333333333335</v>
      </c>
      <c r="E63" s="5">
        <f t="shared" si="0"/>
        <v>1702</v>
      </c>
      <c r="F63">
        <v>0.25956000000000001</v>
      </c>
      <c r="G63">
        <f t="shared" si="1"/>
        <v>-0.81159999999999999</v>
      </c>
      <c r="H63">
        <f t="shared" si="2"/>
        <v>-0.81159999999999999</v>
      </c>
      <c r="I63" s="5">
        <f t="shared" si="3"/>
        <v>1702</v>
      </c>
      <c r="J63">
        <f>+H63+CF*F63*(1+($I63-1850)*slope/1000)+F63*hQc*COS(2*PI()*$I63/qbo+$L63)+F63*hQs*SIN(2*PI()*$I63/qbo+$L63)+F63*hCs*SIN(2*PI()*$I63/cw)+F63*hCc*COS(2*PI()*$I63/cw) +mix*F63*(hQc*COS(2*PI()*$I63/qbo+$L63)+hQs*SIN(2*PI()*$I63/qbo+$L63))*(hCs*SIN(2*PI()*$I63/cw)+hCc*COS(2*PI()*$I63/cw))</f>
        <v>-0.40990869081799325</v>
      </c>
      <c r="K63">
        <f>fQc*COS(2*PI()*$I63/qbo+$L63)+fQs*SIN(2*PI()*$I63/qbo+$L63)+fCs*SIN(2*PI()*$I63/cw)+fCc*COS(2*PI()*$I63/cw)</f>
        <v>-1.5987302726324615</v>
      </c>
      <c r="L63">
        <f>+QMA*COS(2*PI()*$I63/QM+QMP)</f>
        <v>0.85605145828123308</v>
      </c>
      <c r="P63">
        <f t="shared" si="4"/>
        <v>1</v>
      </c>
    </row>
    <row r="64" spans="1:16" x14ac:dyDescent="0.25">
      <c r="A64" s="1"/>
      <c r="B64" t="s">
        <v>77</v>
      </c>
      <c r="C64" t="s">
        <v>24</v>
      </c>
      <c r="D64" s="3">
        <v>2.25</v>
      </c>
      <c r="E64" s="5">
        <f t="shared" si="0"/>
        <v>1703</v>
      </c>
      <c r="F64">
        <v>-0.71711999999999998</v>
      </c>
      <c r="G64">
        <f t="shared" si="1"/>
        <v>0.99912000000000001</v>
      </c>
      <c r="H64">
        <f t="shared" si="2"/>
        <v>0.99912000000000001</v>
      </c>
      <c r="I64" s="5">
        <f t="shared" si="3"/>
        <v>1703</v>
      </c>
      <c r="J64">
        <f>+H64+CF*F64*(1+($I64-1850)*slope/1000)+F64*hQc*COS(2*PI()*$I64/qbo+$L64)+F64*hQs*SIN(2*PI()*$I64/qbo+$L64)+F64*hCs*SIN(2*PI()*$I64/cw)+F64*hCc*COS(2*PI()*$I64/cw) +mix*F64*(hQc*COS(2*PI()*$I64/qbo+$L64)+hQs*SIN(2*PI()*$I64/qbo+$L64))*(hCs*SIN(2*PI()*$I64/cw)+hCc*COS(2*PI()*$I64/cw))</f>
        <v>-1.075331265398334</v>
      </c>
      <c r="K64">
        <f>fQc*COS(2*PI()*$I64/qbo+$L64)+fQs*SIN(2*PI()*$I64/qbo+$L64)+fCs*SIN(2*PI()*$I64/cw)+fCc*COS(2*PI()*$I64/cw)</f>
        <v>3.9159676590181283</v>
      </c>
      <c r="L64">
        <f>+QMA*COS(2*PI()*$I64/QM+QMP)</f>
        <v>0.84268905122517623</v>
      </c>
      <c r="P64">
        <f t="shared" si="4"/>
        <v>0</v>
      </c>
    </row>
    <row r="65" spans="1:16" x14ac:dyDescent="0.25">
      <c r="A65" s="1"/>
      <c r="B65" t="s">
        <v>78</v>
      </c>
      <c r="C65" t="s">
        <v>24</v>
      </c>
      <c r="D65" s="3">
        <v>2.2916666666666665</v>
      </c>
      <c r="E65" s="5">
        <f t="shared" si="0"/>
        <v>1704</v>
      </c>
      <c r="F65">
        <v>-0.69467999999999996</v>
      </c>
      <c r="G65">
        <f t="shared" si="1"/>
        <v>0.17132999999999998</v>
      </c>
      <c r="H65">
        <f t="shared" si="2"/>
        <v>0.17132999999999998</v>
      </c>
      <c r="I65" s="5">
        <f t="shared" si="3"/>
        <v>1704</v>
      </c>
      <c r="J65">
        <f>+H65+CF*F65*(1+($I65-1850)*slope/1000)+F65*hQc*COS(2*PI()*$I65/qbo+$L65)+F65*hQs*SIN(2*PI()*$I65/qbo+$L65)+F65*hCs*SIN(2*PI()*$I65/cw)+F65*hCc*COS(2*PI()*$I65/cw) +mix*F65*(hQc*COS(2*PI()*$I65/qbo+$L65)+hQs*SIN(2*PI()*$I65/qbo+$L65))*(hCs*SIN(2*PI()*$I65/cw)+hCc*COS(2*PI()*$I65/cw))</f>
        <v>-2.3863546536076701</v>
      </c>
      <c r="K65">
        <f>fQc*COS(2*PI()*$I65/qbo+$L65)+fQs*SIN(2*PI()*$I65/qbo+$L65)+fCs*SIN(2*PI()*$I65/cw)+fCc*COS(2*PI()*$I65/cw)</f>
        <v>-4.6966055160080034</v>
      </c>
      <c r="L65">
        <f>+QMA*COS(2*PI()*$I65/QM+QMP)</f>
        <v>0.81468414008756929</v>
      </c>
      <c r="P65">
        <f t="shared" si="4"/>
        <v>1</v>
      </c>
    </row>
    <row r="66" spans="1:16" x14ac:dyDescent="0.25">
      <c r="A66" s="1"/>
      <c r="B66" t="s">
        <v>79</v>
      </c>
      <c r="C66" t="s">
        <v>24</v>
      </c>
      <c r="D66" s="3">
        <v>2.3333333333333335</v>
      </c>
      <c r="E66" s="5">
        <f t="shared" si="0"/>
        <v>1705</v>
      </c>
      <c r="F66">
        <v>-0.50090999999999997</v>
      </c>
      <c r="G66">
        <f t="shared" si="1"/>
        <v>0.27430999999999994</v>
      </c>
      <c r="H66">
        <f t="shared" si="2"/>
        <v>0.27430999999999994</v>
      </c>
      <c r="I66" s="5">
        <f t="shared" si="3"/>
        <v>1705</v>
      </c>
      <c r="J66">
        <f>+H66+CF*F66*(1+($I66-1850)*slope/1000)+F66*hQc*COS(2*PI()*$I66/qbo+$L66)+F66*hQs*SIN(2*PI()*$I66/qbo+$L66)+F66*hCs*SIN(2*PI()*$I66/cw)+F66*hCc*COS(2*PI()*$I66/cw) +mix*F66*(hQc*COS(2*PI()*$I66/qbo+$L66)+hQs*SIN(2*PI()*$I66/qbo+$L66))*(hCs*SIN(2*PI()*$I66/cw)+hCc*COS(2*PI()*$I66/cw))</f>
        <v>1.3838202451491657</v>
      </c>
      <c r="K66">
        <f>fQc*COS(2*PI()*$I66/qbo+$L66)+fQs*SIN(2*PI()*$I66/qbo+$L66)+fCs*SIN(2*PI()*$I66/cw)+fCc*COS(2*PI()*$I66/cw)</f>
        <v>4.8458266665577616</v>
      </c>
      <c r="L66">
        <f>+QMA*COS(2*PI()*$I66/QM+QMP)</f>
        <v>0.77252333618136404</v>
      </c>
      <c r="P66">
        <f t="shared" si="4"/>
        <v>1</v>
      </c>
    </row>
    <row r="67" spans="1:16" x14ac:dyDescent="0.25">
      <c r="A67" s="1"/>
      <c r="B67" t="s">
        <v>80</v>
      </c>
      <c r="C67" t="s">
        <v>24</v>
      </c>
      <c r="D67" s="3">
        <v>2.375</v>
      </c>
      <c r="E67" s="5">
        <f t="shared" si="0"/>
        <v>1706</v>
      </c>
      <c r="F67">
        <v>-3.2829999999999998E-2</v>
      </c>
      <c r="G67">
        <f t="shared" si="1"/>
        <v>-0.98914999999999986</v>
      </c>
      <c r="H67">
        <f t="shared" si="2"/>
        <v>-0.98914999999999986</v>
      </c>
      <c r="I67" s="5">
        <f t="shared" si="3"/>
        <v>1706</v>
      </c>
      <c r="J67">
        <f>+H67+CF*F67*(1+($I67-1850)*slope/1000)+F67*hQc*COS(2*PI()*$I67/qbo+$L67)+F67*hQs*SIN(2*PI()*$I67/qbo+$L67)+F67*hCs*SIN(2*PI()*$I67/cw)+F67*hCc*COS(2*PI()*$I67/cw) +mix*F67*(hQc*COS(2*PI()*$I67/qbo+$L67)+hQs*SIN(2*PI()*$I67/qbo+$L67))*(hCs*SIN(2*PI()*$I67/cw)+hCc*COS(2*PI()*$I67/cw))</f>
        <v>-1.1075782583186955</v>
      </c>
      <c r="K67">
        <f>fQc*COS(2*PI()*$I67/qbo+$L67)+fQs*SIN(2*PI()*$I67/qbo+$L67)+fCs*SIN(2*PI()*$I67/cw)+fCc*COS(2*PI()*$I67/cw)</f>
        <v>-3.8333818720519672</v>
      </c>
      <c r="L67">
        <f>+QMA*COS(2*PI()*$I67/QM+QMP)</f>
        <v>0.71693922258972265</v>
      </c>
      <c r="P67">
        <f t="shared" si="4"/>
        <v>1</v>
      </c>
    </row>
    <row r="68" spans="1:16" x14ac:dyDescent="0.25">
      <c r="A68" s="1"/>
      <c r="B68" t="s">
        <v>81</v>
      </c>
      <c r="C68" t="s">
        <v>24</v>
      </c>
      <c r="D68" s="3">
        <v>2.4166666666666665</v>
      </c>
      <c r="E68" s="5">
        <f t="shared" si="0"/>
        <v>1707</v>
      </c>
      <c r="F68">
        <v>-0.55389999999999995</v>
      </c>
      <c r="G68">
        <f t="shared" si="1"/>
        <v>1.0324299999999997</v>
      </c>
      <c r="H68">
        <f t="shared" si="2"/>
        <v>1.0324299999999997</v>
      </c>
      <c r="I68" s="5">
        <f t="shared" si="3"/>
        <v>1707</v>
      </c>
      <c r="J68">
        <f>+H68+CF*F68*(1+($I68-1850)*slope/1000)+F68*hQc*COS(2*PI()*$I68/qbo+$L68)+F68*hQs*SIN(2*PI()*$I68/qbo+$L68)+F68*hCs*SIN(2*PI()*$I68/cw)+F68*hCc*COS(2*PI()*$I68/cw) +mix*F68*(hQc*COS(2*PI()*$I68/qbo+$L68)+hQs*SIN(2*PI()*$I68/qbo+$L68))*(hCs*SIN(2*PI()*$I68/cw)+hCc*COS(2*PI()*$I68/cw))</f>
        <v>0.38603217850991001</v>
      </c>
      <c r="K68">
        <f>fQc*COS(2*PI()*$I68/qbo+$L68)+fQs*SIN(2*PI()*$I68/qbo+$L68)+fCs*SIN(2*PI()*$I68/cw)+fCc*COS(2*PI()*$I68/cw)</f>
        <v>1.2874251669394701</v>
      </c>
      <c r="L68">
        <f>+QMA*COS(2*PI()*$I68/QM+QMP)</f>
        <v>0.64889762485522817</v>
      </c>
      <c r="P68">
        <f t="shared" si="4"/>
        <v>1</v>
      </c>
    </row>
    <row r="69" spans="1:16" x14ac:dyDescent="0.25">
      <c r="A69" s="1"/>
      <c r="B69" t="s">
        <v>82</v>
      </c>
      <c r="C69" t="s">
        <v>24</v>
      </c>
      <c r="D69" s="3">
        <v>2.4583333333333335</v>
      </c>
      <c r="E69" s="5">
        <f t="shared" si="0"/>
        <v>1708</v>
      </c>
      <c r="F69">
        <v>-4.2540000000000001E-2</v>
      </c>
      <c r="G69">
        <f t="shared" si="1"/>
        <v>-1.0063</v>
      </c>
      <c r="H69">
        <f t="shared" si="2"/>
        <v>-1.0063</v>
      </c>
      <c r="I69" s="5">
        <f t="shared" si="3"/>
        <v>1708</v>
      </c>
      <c r="J69">
        <f>+H69+CF*F69*(1+($I69-1850)*slope/1000)+F69*hQc*COS(2*PI()*$I69/qbo+$L69)+F69*hQs*SIN(2*PI()*$I69/qbo+$L69)+F69*hCs*SIN(2*PI()*$I69/cw)+F69*hCc*COS(2*PI()*$I69/cw) +mix*F69*(hQc*COS(2*PI()*$I69/qbo+$L69)+hQs*SIN(2*PI()*$I69/qbo+$L69))*(hCs*SIN(2*PI()*$I69/cw)+hCc*COS(2*PI()*$I69/cw))</f>
        <v>-1.0771857560958045</v>
      </c>
      <c r="K69">
        <f>fQc*COS(2*PI()*$I69/qbo+$L69)+fQs*SIN(2*PI()*$I69/qbo+$L69)+fCs*SIN(2*PI()*$I69/cw)+fCc*COS(2*PI()*$I69/cw)</f>
        <v>0.92961243828480855</v>
      </c>
      <c r="L69">
        <f>+QMA*COS(2*PI()*$I69/QM+QMP)</f>
        <v>0.56958082886504013</v>
      </c>
      <c r="P69">
        <f t="shared" si="4"/>
        <v>0</v>
      </c>
    </row>
    <row r="70" spans="1:16" x14ac:dyDescent="0.25">
      <c r="A70" s="1"/>
      <c r="B70" t="s">
        <v>83</v>
      </c>
      <c r="C70" t="s">
        <v>24</v>
      </c>
      <c r="D70" s="3">
        <v>2.5</v>
      </c>
      <c r="E70" s="5">
        <f t="shared" si="0"/>
        <v>1709</v>
      </c>
      <c r="F70">
        <v>-0.53747999999999996</v>
      </c>
      <c r="G70">
        <f t="shared" si="1"/>
        <v>2.1544999999999996</v>
      </c>
      <c r="H70">
        <f t="shared" si="2"/>
        <v>2.1544999999999996</v>
      </c>
      <c r="I70" s="5">
        <f t="shared" si="3"/>
        <v>1709</v>
      </c>
      <c r="J70">
        <f>+H70+CF*F70*(1+($I70-1850)*slope/1000)+F70*hQc*COS(2*PI()*$I70/qbo+$L70)+F70*hQs*SIN(2*PI()*$I70/qbo+$L70)+F70*hCs*SIN(2*PI()*$I70/cw)+F70*hCc*COS(2*PI()*$I70/cw) +mix*F70*(hQc*COS(2*PI()*$I70/qbo+$L70)+hQs*SIN(2*PI()*$I70/qbo+$L70))*(hCs*SIN(2*PI()*$I70/cw)+hCc*COS(2*PI()*$I70/cw))</f>
        <v>1.4391848486629208</v>
      </c>
      <c r="K70">
        <f>fQc*COS(2*PI()*$I70/qbo+$L70)+fQs*SIN(2*PI()*$I70/qbo+$L70)+fCs*SIN(2*PI()*$I70/cw)+fCc*COS(2*PI()*$I70/cw)</f>
        <v>-3.5170257977380963</v>
      </c>
      <c r="L70">
        <f>+QMA*COS(2*PI()*$I70/QM+QMP)</f>
        <v>0.480367037536785</v>
      </c>
      <c r="P70">
        <f t="shared" si="4"/>
        <v>0</v>
      </c>
    </row>
    <row r="71" spans="1:16" x14ac:dyDescent="0.25">
      <c r="A71" s="1"/>
      <c r="B71" t="s">
        <v>84</v>
      </c>
      <c r="C71" t="s">
        <v>24</v>
      </c>
      <c r="D71" s="3">
        <v>2.5416666666666665</v>
      </c>
      <c r="E71" s="5">
        <f t="shared" si="0"/>
        <v>1710</v>
      </c>
      <c r="F71">
        <v>1.12208</v>
      </c>
      <c r="G71">
        <f t="shared" si="1"/>
        <v>-2.5803599999999998</v>
      </c>
      <c r="H71">
        <f t="shared" si="2"/>
        <v>-2.5803599999999998</v>
      </c>
      <c r="I71" s="5">
        <f t="shared" si="3"/>
        <v>1710</v>
      </c>
      <c r="J71">
        <f>+H71+CF*F71*(1+($I71-1850)*slope/1000)+F71*hQc*COS(2*PI()*$I71/qbo+$L71)+F71*hQs*SIN(2*PI()*$I71/qbo+$L71)+F71*hCs*SIN(2*PI()*$I71/cw)+F71*hCc*COS(2*PI()*$I71/cw) +mix*F71*(hQc*COS(2*PI()*$I71/qbo+$L71)+hQs*SIN(2*PI()*$I71/qbo+$L71))*(hCs*SIN(2*PI()*$I71/cw)+hCc*COS(2*PI()*$I71/cw))</f>
        <v>3.6984856507694563</v>
      </c>
      <c r="K71">
        <f>fQc*COS(2*PI()*$I71/qbo+$L71)+fQs*SIN(2*PI()*$I71/qbo+$L71)+fCs*SIN(2*PI()*$I71/cw)+fCc*COS(2*PI()*$I71/cw)</f>
        <v>4.9359891101172986</v>
      </c>
      <c r="L71">
        <f>+QMA*COS(2*PI()*$I71/QM+QMP)</f>
        <v>0.38280642326411368</v>
      </c>
      <c r="P71">
        <f t="shared" si="4"/>
        <v>1</v>
      </c>
    </row>
    <row r="72" spans="1:16" x14ac:dyDescent="0.25">
      <c r="A72" s="1"/>
      <c r="B72" t="s">
        <v>85</v>
      </c>
      <c r="C72" t="s">
        <v>24</v>
      </c>
      <c r="D72" s="3">
        <v>2.5833333333333335</v>
      </c>
      <c r="E72" s="5">
        <f t="shared" si="0"/>
        <v>1711</v>
      </c>
      <c r="F72">
        <v>0.20127999999999999</v>
      </c>
      <c r="G72">
        <f t="shared" si="1"/>
        <v>1.24187</v>
      </c>
      <c r="H72">
        <f t="shared" si="2"/>
        <v>1.24187</v>
      </c>
      <c r="I72" s="5">
        <f t="shared" si="3"/>
        <v>1711</v>
      </c>
      <c r="J72">
        <f>+H72+CF*F72*(1+($I72-1850)*slope/1000)+F72*hQc*COS(2*PI()*$I72/qbo+$L72)+F72*hQs*SIN(2*PI()*$I72/qbo+$L72)+F72*hCs*SIN(2*PI()*$I72/cw)+F72*hCc*COS(2*PI()*$I72/cw) +mix*F72*(hQc*COS(2*PI()*$I72/qbo+$L72)+hQs*SIN(2*PI()*$I72/qbo+$L72))*(hCs*SIN(2*PI()*$I72/cw)+hCc*COS(2*PI()*$I72/cw))</f>
        <v>1.4150059185117385</v>
      </c>
      <c r="K72">
        <f>fQc*COS(2*PI()*$I72/qbo+$L72)+fQs*SIN(2*PI()*$I72/qbo+$L72)+fCs*SIN(2*PI()*$I72/cw)+fCc*COS(2*PI()*$I72/cw)</f>
        <v>-4.5669622918874149</v>
      </c>
      <c r="L72">
        <f>+QMA*COS(2*PI()*$I72/QM+QMP)</f>
        <v>0.27859419223323367</v>
      </c>
      <c r="P72">
        <f t="shared" si="4"/>
        <v>0</v>
      </c>
    </row>
    <row r="73" spans="1:16" x14ac:dyDescent="0.25">
      <c r="A73" s="1"/>
      <c r="B73" t="s">
        <v>86</v>
      </c>
      <c r="C73" t="s">
        <v>24</v>
      </c>
      <c r="D73" s="3">
        <v>2.625</v>
      </c>
      <c r="E73" s="5">
        <f t="shared" si="0"/>
        <v>1712</v>
      </c>
      <c r="F73">
        <v>0.52234999999999998</v>
      </c>
      <c r="G73">
        <f t="shared" si="1"/>
        <v>-0.32424999999999993</v>
      </c>
      <c r="H73">
        <f t="shared" si="2"/>
        <v>-0.32424999999999993</v>
      </c>
      <c r="I73" s="5">
        <f t="shared" si="3"/>
        <v>1712</v>
      </c>
      <c r="J73">
        <f>+H73+CF*F73*(1+($I73-1850)*slope/1000)+F73*hQc*COS(2*PI()*$I73/qbo+$L73)+F73*hQs*SIN(2*PI()*$I73/qbo+$L73)+F73*hCs*SIN(2*PI()*$I73/cw)+F73*hCc*COS(2*PI()*$I73/cw) +mix*F73*(hQc*COS(2*PI()*$I73/qbo+$L73)+hQs*SIN(2*PI()*$I73/qbo+$L73))*(hCs*SIN(2*PI()*$I73/cw)+hCc*COS(2*PI()*$I73/cw))</f>
        <v>0.89693309347252037</v>
      </c>
      <c r="K73">
        <f>fQc*COS(2*PI()*$I73/qbo+$L73)+fQs*SIN(2*PI()*$I73/qbo+$L73)+fCs*SIN(2*PI()*$I73/cw)+fCc*COS(2*PI()*$I73/cw)</f>
        <v>3.4668088693000541</v>
      </c>
      <c r="L73">
        <f>+QMA*COS(2*PI()*$I73/QM+QMP)</f>
        <v>0.1695411286426324</v>
      </c>
      <c r="P73">
        <f t="shared" si="4"/>
        <v>1</v>
      </c>
    </row>
    <row r="74" spans="1:16" x14ac:dyDescent="0.25">
      <c r="A74" s="1"/>
      <c r="B74" t="s">
        <v>87</v>
      </c>
      <c r="C74" t="s">
        <v>24</v>
      </c>
      <c r="D74" s="3">
        <v>2.6666666666666665</v>
      </c>
      <c r="E74" s="5">
        <f t="shared" si="0"/>
        <v>1713</v>
      </c>
      <c r="F74">
        <v>0.51917000000000002</v>
      </c>
      <c r="G74">
        <f t="shared" si="1"/>
        <v>-0.61990000000000012</v>
      </c>
      <c r="H74">
        <f t="shared" si="2"/>
        <v>-0.61990000000000012</v>
      </c>
      <c r="I74" s="5">
        <f t="shared" si="3"/>
        <v>1713</v>
      </c>
      <c r="J74">
        <f>+H74+CF*F74*(1+($I74-1850)*slope/1000)+F74*hQc*COS(2*PI()*$I74/qbo+$L74)+F74*hQs*SIN(2*PI()*$I74/qbo+$L74)+F74*hCs*SIN(2*PI()*$I74/cw)+F74*hCc*COS(2*PI()*$I74/cw) +mix*F74*(hQc*COS(2*PI()*$I74/qbo+$L74)+hQs*SIN(2*PI()*$I74/qbo+$L74))*(hCs*SIN(2*PI()*$I74/cw)+hCc*COS(2*PI()*$I74/cw))</f>
        <v>0.12149472826988494</v>
      </c>
      <c r="K74">
        <f>fQc*COS(2*PI()*$I74/qbo+$L74)+fQs*SIN(2*PI()*$I74/qbo+$L74)+fCs*SIN(2*PI()*$I74/cw)+fCc*COS(2*PI()*$I74/cw)</f>
        <v>-0.60668928847452641</v>
      </c>
      <c r="L74">
        <f>+QMA*COS(2*PI()*$I74/QM+QMP)</f>
        <v>5.7542130647743273E-2</v>
      </c>
      <c r="P74">
        <f t="shared" si="4"/>
        <v>0</v>
      </c>
    </row>
    <row r="75" spans="1:16" x14ac:dyDescent="0.25">
      <c r="A75" s="1"/>
      <c r="B75" t="s">
        <v>88</v>
      </c>
      <c r="C75" t="s">
        <v>24</v>
      </c>
      <c r="D75" s="3">
        <v>2.7083333333333335</v>
      </c>
      <c r="E75" s="5">
        <f t="shared" si="0"/>
        <v>1714</v>
      </c>
      <c r="F75">
        <v>-0.10391</v>
      </c>
      <c r="G75">
        <f t="shared" si="1"/>
        <v>-5.4999999999999938E-2</v>
      </c>
      <c r="H75">
        <f t="shared" si="2"/>
        <v>-5.4999999999999938E-2</v>
      </c>
      <c r="I75" s="5">
        <f t="shared" si="3"/>
        <v>1714</v>
      </c>
      <c r="J75">
        <f>+H75+CF*F75*(1+($I75-1850)*slope/1000)+F75*hQc*COS(2*PI()*$I75/qbo+$L75)+F75*hQs*SIN(2*PI()*$I75/qbo+$L75)+F75*hCs*SIN(2*PI()*$I75/cw)+F75*hCc*COS(2*PI()*$I75/cw) +mix*F75*(hQc*COS(2*PI()*$I75/qbo+$L75)+hQs*SIN(2*PI()*$I75/qbo+$L75))*(hCs*SIN(2*PI()*$I75/cw)+hCc*COS(2*PI()*$I75/cw))</f>
        <v>-0.42689896480684386</v>
      </c>
      <c r="K75">
        <f>fQc*COS(2*PI()*$I75/qbo+$L75)+fQs*SIN(2*PI()*$I75/qbo+$L75)+fCs*SIN(2*PI()*$I75/cw)+fCc*COS(2*PI()*$I75/cw)</f>
        <v>-2.0744138186960033</v>
      </c>
      <c r="L75">
        <f>+QMA*COS(2*PI()*$I75/QM+QMP)</f>
        <v>-5.5456715252664136E-2</v>
      </c>
      <c r="P75">
        <f t="shared" si="4"/>
        <v>1</v>
      </c>
    </row>
    <row r="76" spans="1:16" x14ac:dyDescent="0.25">
      <c r="A76" s="1"/>
      <c r="B76" t="s">
        <v>89</v>
      </c>
      <c r="C76" t="s">
        <v>24</v>
      </c>
      <c r="D76" s="3">
        <v>2.75</v>
      </c>
      <c r="E76" s="5">
        <f t="shared" si="0"/>
        <v>1715</v>
      </c>
      <c r="F76">
        <v>-0.78198999999999996</v>
      </c>
      <c r="G76">
        <f t="shared" si="1"/>
        <v>0.26412999999999998</v>
      </c>
      <c r="H76">
        <f t="shared" si="2"/>
        <v>0.26412999999999998</v>
      </c>
      <c r="I76" s="5">
        <f t="shared" si="3"/>
        <v>1715</v>
      </c>
      <c r="J76">
        <f>+H76+CF*F76*(1+($I76-1850)*slope/1000)+F76*hQc*COS(2*PI()*$I76/qbo+$L76)+F76*hQs*SIN(2*PI()*$I76/qbo+$L76)+F76*hCs*SIN(2*PI()*$I76/cw)+F76*hCc*COS(2*PI()*$I76/cw) +mix*F76*(hQc*COS(2*PI()*$I76/qbo+$L76)+hQs*SIN(2*PI()*$I76/qbo+$L76))*(hCs*SIN(2*PI()*$I76/cw)+hCc*COS(2*PI()*$I76/cw))</f>
        <v>2.5493756624671211</v>
      </c>
      <c r="K76">
        <f>fQc*COS(2*PI()*$I76/qbo+$L76)+fQs*SIN(2*PI()*$I76/qbo+$L76)+fCs*SIN(2*PI()*$I76/cw)+fCc*COS(2*PI()*$I76/cw)</f>
        <v>3.989853906446271</v>
      </c>
      <c r="L76">
        <f>+QMA*COS(2*PI()*$I76/QM+QMP)</f>
        <v>-0.16749194927483987</v>
      </c>
      <c r="P76">
        <f t="shared" si="4"/>
        <v>1</v>
      </c>
    </row>
    <row r="77" spans="1:16" x14ac:dyDescent="0.25">
      <c r="A77" s="1"/>
      <c r="B77" t="s">
        <v>90</v>
      </c>
      <c r="C77" t="s">
        <v>24</v>
      </c>
      <c r="D77" s="3">
        <v>2.7916666666666665</v>
      </c>
      <c r="E77" s="5">
        <f t="shared" ref="E77:E140" si="5">+E76+1</f>
        <v>1716</v>
      </c>
      <c r="F77">
        <v>-1.19594</v>
      </c>
      <c r="G77">
        <f t="shared" ref="G77:G140" si="6">+(F78-F77)-(F77-F76)</f>
        <v>1.0762200000000002</v>
      </c>
      <c r="H77">
        <f t="shared" ref="H77:H140" si="7">+G77</f>
        <v>1.0762200000000002</v>
      </c>
      <c r="I77" s="5">
        <f t="shared" si="3"/>
        <v>1716</v>
      </c>
      <c r="J77">
        <f>+H77+CF*F77*(1+($I77-1850)*slope/1000)+F77*hQc*COS(2*PI()*$I77/qbo+$L77)+F77*hQs*SIN(2*PI()*$I77/qbo+$L77)+F77*hCs*SIN(2*PI()*$I77/cw)+F77*hCc*COS(2*PI()*$I77/cw) +mix*F77*(hQc*COS(2*PI()*$I77/qbo+$L77)+hQs*SIN(2*PI()*$I77/qbo+$L77))*(hCs*SIN(2*PI()*$I77/cw)+hCc*COS(2*PI()*$I77/cw))</f>
        <v>-3.9754930021165302</v>
      </c>
      <c r="K77">
        <f>fQc*COS(2*PI()*$I77/qbo+$L77)+fQs*SIN(2*PI()*$I77/qbo+$L77)+fCs*SIN(2*PI()*$I77/cw)+fCc*COS(2*PI()*$I77/cw)</f>
        <v>-5.2196506067622828</v>
      </c>
      <c r="L77">
        <f>+QMA*COS(2*PI()*$I77/QM+QMP)</f>
        <v>-0.27661685528535052</v>
      </c>
      <c r="P77">
        <f t="shared" si="4"/>
        <v>1</v>
      </c>
    </row>
    <row r="78" spans="1:16" x14ac:dyDescent="0.25">
      <c r="A78" s="1"/>
      <c r="B78" t="s">
        <v>91</v>
      </c>
      <c r="C78" t="s">
        <v>24</v>
      </c>
      <c r="D78" s="3">
        <v>2.8333333333333335</v>
      </c>
      <c r="E78" s="5">
        <f t="shared" si="5"/>
        <v>1717</v>
      </c>
      <c r="F78">
        <v>-0.53366999999999998</v>
      </c>
      <c r="G78">
        <f t="shared" si="6"/>
        <v>0.85764999999999991</v>
      </c>
      <c r="H78">
        <f t="shared" si="7"/>
        <v>0.85764999999999991</v>
      </c>
      <c r="I78" s="5">
        <f t="shared" ref="I78:I141" si="8">+E78</f>
        <v>1717</v>
      </c>
      <c r="J78">
        <f>+H78+CF*F78*(1+($I78-1850)*slope/1000)+F78*hQc*COS(2*PI()*$I78/qbo+$L78)+F78*hQs*SIN(2*PI()*$I78/qbo+$L78)+F78*hCs*SIN(2*PI()*$I78/cw)+F78*hCc*COS(2*PI()*$I78/cw) +mix*F78*(hQc*COS(2*PI()*$I78/qbo+$L78)+hQs*SIN(2*PI()*$I78/qbo+$L78))*(hCs*SIN(2*PI()*$I78/cw)+hCc*COS(2*PI()*$I78/cw))</f>
        <v>-6.7285310844663729E-2</v>
      </c>
      <c r="K78">
        <f>fQc*COS(2*PI()*$I78/qbo+$L78)+fQs*SIN(2*PI()*$I78/qbo+$L78)+fCs*SIN(2*PI()*$I78/cw)+fCc*COS(2*PI()*$I78/cw)</f>
        <v>4.142847524901045</v>
      </c>
      <c r="L78">
        <f>+QMA*COS(2*PI()*$I78/QM+QMP)</f>
        <v>-0.38093528680013511</v>
      </c>
      <c r="P78">
        <f t="shared" ref="P78:P141" si="9">+IF(J78*K78&gt;0,1, 0)</f>
        <v>0</v>
      </c>
    </row>
    <row r="79" spans="1:16" x14ac:dyDescent="0.25">
      <c r="A79" s="1"/>
      <c r="B79" t="s">
        <v>92</v>
      </c>
      <c r="C79" t="s">
        <v>24</v>
      </c>
      <c r="D79" s="3">
        <v>2.875</v>
      </c>
      <c r="E79" s="5">
        <f t="shared" si="5"/>
        <v>1718</v>
      </c>
      <c r="F79">
        <v>0.98624999999999996</v>
      </c>
      <c r="G79">
        <f t="shared" si="6"/>
        <v>-1.81474</v>
      </c>
      <c r="H79">
        <f t="shared" si="7"/>
        <v>-1.81474</v>
      </c>
      <c r="I79" s="5">
        <f t="shared" si="8"/>
        <v>1718</v>
      </c>
      <c r="J79">
        <f>+H79+CF*F79*(1+($I79-1850)*slope/1000)+F79*hQc*COS(2*PI()*$I79/qbo+$L79)+F79*hQs*SIN(2*PI()*$I79/qbo+$L79)+F79*hCs*SIN(2*PI()*$I79/cw)+F79*hCc*COS(2*PI()*$I79/cw) +mix*F79*(hQc*COS(2*PI()*$I79/qbo+$L79)+hQs*SIN(2*PI()*$I79/qbo+$L79))*(hCs*SIN(2*PI()*$I79/cw)+hCc*COS(2*PI()*$I79/cw))</f>
        <v>0.28157250387425159</v>
      </c>
      <c r="K79">
        <f>fQc*COS(2*PI()*$I79/qbo+$L79)+fQs*SIN(2*PI()*$I79/qbo+$L79)+fCs*SIN(2*PI()*$I79/cw)+fCc*COS(2*PI()*$I79/cw)</f>
        <v>-2.3840946703764199</v>
      </c>
      <c r="L79">
        <f>+QMA*COS(2*PI()*$I79/QM+QMP)</f>
        <v>-0.47863461428874554</v>
      </c>
      <c r="P79">
        <f t="shared" si="9"/>
        <v>0</v>
      </c>
    </row>
    <row r="80" spans="1:16" x14ac:dyDescent="0.25">
      <c r="A80" s="1"/>
      <c r="B80" t="s">
        <v>93</v>
      </c>
      <c r="C80" t="s">
        <v>24</v>
      </c>
      <c r="D80" s="3">
        <v>2.9166666666666665</v>
      </c>
      <c r="E80" s="5">
        <f t="shared" si="5"/>
        <v>1719</v>
      </c>
      <c r="F80">
        <v>0.69142999999999999</v>
      </c>
      <c r="G80">
        <f t="shared" si="6"/>
        <v>0.23932999999999993</v>
      </c>
      <c r="H80">
        <f t="shared" si="7"/>
        <v>0.23932999999999993</v>
      </c>
      <c r="I80" s="5">
        <f t="shared" si="8"/>
        <v>1719</v>
      </c>
      <c r="J80">
        <f>+H80+CF*F80*(1+($I80-1850)*slope/1000)+F80*hQc*COS(2*PI()*$I80/qbo+$L80)+F80*hQs*SIN(2*PI()*$I80/qbo+$L80)+F80*hCs*SIN(2*PI()*$I80/cw)+F80*hCc*COS(2*PI()*$I80/cw) +mix*F80*(hQc*COS(2*PI()*$I80/qbo+$L80)+hQs*SIN(2*PI()*$I80/qbo+$L80))*(hCs*SIN(2*PI()*$I80/cw)+hCc*COS(2*PI()*$I80/cw))</f>
        <v>1.6847079667218021</v>
      </c>
      <c r="K80">
        <f>fQc*COS(2*PI()*$I80/qbo+$L80)+fQs*SIN(2*PI()*$I80/qbo+$L80)+fCs*SIN(2*PI()*$I80/cw)+fCc*COS(2*PI()*$I80/cw)</f>
        <v>-0.13333830759090975</v>
      </c>
      <c r="L80">
        <f>+QMA*COS(2*PI()*$I80/QM+QMP)</f>
        <v>-0.56801722129417265</v>
      </c>
      <c r="P80">
        <f t="shared" si="9"/>
        <v>0</v>
      </c>
    </row>
    <row r="81" spans="1:16" x14ac:dyDescent="0.25">
      <c r="A81" s="1"/>
      <c r="B81" t="s">
        <v>94</v>
      </c>
      <c r="C81" t="s">
        <v>24</v>
      </c>
      <c r="D81" s="3">
        <v>2.9583333333333335</v>
      </c>
      <c r="E81" s="5">
        <f t="shared" si="5"/>
        <v>1720</v>
      </c>
      <c r="F81">
        <v>0.63593999999999995</v>
      </c>
      <c r="G81">
        <f t="shared" si="6"/>
        <v>0.26335000000000008</v>
      </c>
      <c r="H81">
        <f t="shared" si="7"/>
        <v>0.26335000000000008</v>
      </c>
      <c r="I81" s="5">
        <f t="shared" si="8"/>
        <v>1720</v>
      </c>
      <c r="J81">
        <f>+H81+CF*F81*(1+($I81-1850)*slope/1000)+F81*hQc*COS(2*PI()*$I81/qbo+$L81)+F81*hQs*SIN(2*PI()*$I81/qbo+$L81)+F81*hCs*SIN(2*PI()*$I81/cw)+F81*hCc*COS(2*PI()*$I81/cw) +mix*F81*(hQc*COS(2*PI()*$I81/qbo+$L81)+hQs*SIN(2*PI()*$I81/qbo+$L81))*(hCs*SIN(2*PI()*$I81/cw)+hCc*COS(2*PI()*$I81/cw))</f>
        <v>2.833979749179782</v>
      </c>
      <c r="K81">
        <f>fQc*COS(2*PI()*$I81/qbo+$L81)+fQs*SIN(2*PI()*$I81/qbo+$L81)+fCs*SIN(2*PI()*$I81/cw)+fCc*COS(2*PI()*$I81/cw)</f>
        <v>2.9639743323876671</v>
      </c>
      <c r="L81">
        <f>+QMA*COS(2*PI()*$I81/QM+QMP)</f>
        <v>-0.64753000209369915</v>
      </c>
      <c r="P81">
        <f t="shared" si="9"/>
        <v>1</v>
      </c>
    </row>
    <row r="82" spans="1:16" x14ac:dyDescent="0.25">
      <c r="A82" s="1"/>
      <c r="B82" t="s">
        <v>95</v>
      </c>
      <c r="C82" t="s">
        <v>24</v>
      </c>
      <c r="D82" s="3">
        <v>3</v>
      </c>
      <c r="E82" s="5">
        <f t="shared" si="5"/>
        <v>1721</v>
      </c>
      <c r="F82">
        <v>0.84379999999999999</v>
      </c>
      <c r="G82">
        <f t="shared" si="6"/>
        <v>-0.45996000000000004</v>
      </c>
      <c r="H82">
        <f t="shared" si="7"/>
        <v>-0.45996000000000004</v>
      </c>
      <c r="I82" s="5">
        <f t="shared" si="8"/>
        <v>1721</v>
      </c>
      <c r="J82">
        <f>+H82+CF*F82*(1+($I82-1850)*slope/1000)+F82*hQc*COS(2*PI()*$I82/qbo+$L82)+F82*hQs*SIN(2*PI()*$I82/qbo+$L82)+F82*hCs*SIN(2*PI()*$I82/cw)+F82*hCc*COS(2*PI()*$I82/cw) +mix*F82*(hQc*COS(2*PI()*$I82/qbo+$L82)+hQs*SIN(2*PI()*$I82/qbo+$L82))*(hCs*SIN(2*PI()*$I82/cw)+hCc*COS(2*PI()*$I82/cw))</f>
        <v>1.4307014417113848</v>
      </c>
      <c r="K82">
        <f>fQc*COS(2*PI()*$I82/qbo+$L82)+fQs*SIN(2*PI()*$I82/qbo+$L82)+fCs*SIN(2*PI()*$I82/cw)+fCc*COS(2*PI()*$I82/cw)</f>
        <v>-4.2563894595805785</v>
      </c>
      <c r="L82">
        <f>+QMA*COS(2*PI()*$I82/QM+QMP)</f>
        <v>-0.71579134835186276</v>
      </c>
      <c r="P82">
        <f t="shared" si="9"/>
        <v>0</v>
      </c>
    </row>
    <row r="83" spans="1:16" x14ac:dyDescent="0.25">
      <c r="A83" s="1"/>
      <c r="B83" t="s">
        <v>96</v>
      </c>
      <c r="C83" t="s">
        <v>24</v>
      </c>
      <c r="D83" s="3">
        <v>3.0416666666666665</v>
      </c>
      <c r="E83" s="5">
        <f t="shared" si="5"/>
        <v>1722</v>
      </c>
      <c r="F83">
        <v>0.5917</v>
      </c>
      <c r="G83">
        <f t="shared" si="6"/>
        <v>1.0697000000000001</v>
      </c>
      <c r="H83">
        <f t="shared" si="7"/>
        <v>1.0697000000000001</v>
      </c>
      <c r="I83" s="5">
        <f t="shared" si="8"/>
        <v>1722</v>
      </c>
      <c r="J83">
        <f>+H83+CF*F83*(1+($I83-1850)*slope/1000)+F83*hQc*COS(2*PI()*$I83/qbo+$L83)+F83*hQs*SIN(2*PI()*$I83/qbo+$L83)+F83*hCs*SIN(2*PI()*$I83/cw)+F83*hCc*COS(2*PI()*$I83/cw) +mix*F83*(hQc*COS(2*PI()*$I83/qbo+$L83)+hQs*SIN(2*PI()*$I83/qbo+$L83))*(hCs*SIN(2*PI()*$I83/cw)+hCc*COS(2*PI()*$I83/cw))</f>
        <v>0.43259705566901974</v>
      </c>
      <c r="K83">
        <f>fQc*COS(2*PI()*$I83/qbo+$L83)+fQs*SIN(2*PI()*$I83/qbo+$L83)+fCs*SIN(2*PI()*$I83/cw)+fCc*COS(2*PI()*$I83/cw)</f>
        <v>5.0884446028907631</v>
      </c>
      <c r="L83">
        <f>+QMA*COS(2*PI()*$I83/QM+QMP)</f>
        <v>-0.77161515584701246</v>
      </c>
      <c r="P83">
        <f t="shared" si="9"/>
        <v>1</v>
      </c>
    </row>
    <row r="84" spans="1:16" x14ac:dyDescent="0.25">
      <c r="A84" s="1"/>
      <c r="B84" t="s">
        <v>97</v>
      </c>
      <c r="C84" t="s">
        <v>24</v>
      </c>
      <c r="D84" s="3">
        <v>3.0833333333333335</v>
      </c>
      <c r="E84" s="5">
        <f t="shared" si="5"/>
        <v>1723</v>
      </c>
      <c r="F84">
        <v>1.4093</v>
      </c>
      <c r="G84">
        <f t="shared" si="6"/>
        <v>-2.00299</v>
      </c>
      <c r="H84">
        <f t="shared" si="7"/>
        <v>-2.00299</v>
      </c>
      <c r="I84" s="5">
        <f t="shared" si="8"/>
        <v>1723</v>
      </c>
      <c r="J84">
        <f>+H84+CF*F84*(1+($I84-1850)*slope/1000)+F84*hQc*COS(2*PI()*$I84/qbo+$L84)+F84*hQs*SIN(2*PI()*$I84/qbo+$L84)+F84*hCs*SIN(2*PI()*$I84/cw)+F84*hCc*COS(2*PI()*$I84/cw) +mix*F84*(hQc*COS(2*PI()*$I84/qbo+$L84)+hQs*SIN(2*PI()*$I84/qbo+$L84))*(hCs*SIN(2*PI()*$I84/cw)+hCc*COS(2*PI()*$I84/cw))</f>
        <v>3.7689771953586724</v>
      </c>
      <c r="K84">
        <f>fQc*COS(2*PI()*$I84/qbo+$L84)+fQs*SIN(2*PI()*$I84/qbo+$L84)+fCs*SIN(2*PI()*$I84/cw)+fCc*COS(2*PI()*$I84/cw)</f>
        <v>-4.3612904640760686</v>
      </c>
      <c r="L84">
        <f>+QMA*COS(2*PI()*$I84/QM+QMP)</f>
        <v>-0.81403143413261236</v>
      </c>
      <c r="P84">
        <f t="shared" si="9"/>
        <v>0</v>
      </c>
    </row>
    <row r="85" spans="1:16" x14ac:dyDescent="0.25">
      <c r="A85" s="1"/>
      <c r="B85" t="s">
        <v>98</v>
      </c>
      <c r="C85" t="s">
        <v>24</v>
      </c>
      <c r="D85" s="3">
        <v>3.125</v>
      </c>
      <c r="E85" s="5">
        <f t="shared" si="5"/>
        <v>1724</v>
      </c>
      <c r="F85">
        <v>0.22391</v>
      </c>
      <c r="G85">
        <f t="shared" si="6"/>
        <v>-0.26653000000000016</v>
      </c>
      <c r="H85">
        <f t="shared" si="7"/>
        <v>-0.26653000000000016</v>
      </c>
      <c r="I85" s="5">
        <f t="shared" si="8"/>
        <v>1724</v>
      </c>
      <c r="J85">
        <f>+H85+CF*F85*(1+($I85-1850)*slope/1000)+F85*hQc*COS(2*PI()*$I85/qbo+$L85)+F85*hQs*SIN(2*PI()*$I85/qbo+$L85)+F85*hCs*SIN(2*PI()*$I85/cw)+F85*hCc*COS(2*PI()*$I85/cw) +mix*F85*(hQc*COS(2*PI()*$I85/qbo+$L85)+hQs*SIN(2*PI()*$I85/qbo+$L85))*(hCs*SIN(2*PI()*$I85/cw)+hCc*COS(2*PI()*$I85/cw))</f>
        <v>-0.3380203914123755</v>
      </c>
      <c r="K85">
        <f>fQc*COS(2*PI()*$I85/qbo+$L85)+fQs*SIN(2*PI()*$I85/qbo+$L85)+fCs*SIN(2*PI()*$I85/cw)+fCc*COS(2*PI()*$I85/cw)</f>
        <v>2.4524981850223608</v>
      </c>
      <c r="L85">
        <f>+QMA*COS(2*PI()*$I85/QM+QMP)</f>
        <v>-0.84230316102113845</v>
      </c>
      <c r="P85">
        <f t="shared" si="9"/>
        <v>0</v>
      </c>
    </row>
    <row r="86" spans="1:16" x14ac:dyDescent="0.25">
      <c r="A86" s="1"/>
      <c r="B86" t="s">
        <v>99</v>
      </c>
      <c r="C86" t="s">
        <v>24</v>
      </c>
      <c r="D86" s="3">
        <v>3.1666666666666665</v>
      </c>
      <c r="E86" s="5">
        <f t="shared" si="5"/>
        <v>1725</v>
      </c>
      <c r="F86">
        <v>-1.22801</v>
      </c>
      <c r="G86">
        <f t="shared" si="6"/>
        <v>4.0070200000000007</v>
      </c>
      <c r="H86">
        <f t="shared" si="7"/>
        <v>4.0070200000000007</v>
      </c>
      <c r="I86" s="5">
        <f t="shared" si="8"/>
        <v>1725</v>
      </c>
      <c r="J86">
        <f>+H86+CF*F86*(1+($I86-1850)*slope/1000)+F86*hQc*COS(2*PI()*$I86/qbo+$L86)+F86*hQs*SIN(2*PI()*$I86/qbo+$L86)+F86*hCs*SIN(2*PI()*$I86/cw)+F86*hCc*COS(2*PI()*$I86/cw) +mix*F86*(hQc*COS(2*PI()*$I86/qbo+$L86)+hQs*SIN(2*PI()*$I86/qbo+$L86))*(hCs*SIN(2*PI()*$I86/cw)+hCc*COS(2*PI()*$I86/cw))</f>
        <v>2.629233857440664</v>
      </c>
      <c r="K86">
        <f>fQc*COS(2*PI()*$I86/qbo+$L86)+fQs*SIN(2*PI()*$I86/qbo+$L86)+fCs*SIN(2*PI()*$I86/cw)+fCc*COS(2*PI()*$I86/cw)</f>
        <v>-0.67389505049668197</v>
      </c>
      <c r="L86">
        <f>+QMA*COS(2*PI()*$I86/QM+QMP)</f>
        <v>-0.85593908902842453</v>
      </c>
      <c r="P86">
        <f t="shared" si="9"/>
        <v>0</v>
      </c>
    </row>
    <row r="87" spans="1:16" x14ac:dyDescent="0.25">
      <c r="A87" s="1"/>
      <c r="B87" t="s">
        <v>100</v>
      </c>
      <c r="C87" t="s">
        <v>24</v>
      </c>
      <c r="D87" s="3">
        <v>3.2083333333333335</v>
      </c>
      <c r="E87" s="5">
        <f t="shared" si="5"/>
        <v>1726</v>
      </c>
      <c r="F87">
        <v>1.3270900000000001</v>
      </c>
      <c r="G87">
        <f t="shared" si="6"/>
        <v>-2.7964900000000004</v>
      </c>
      <c r="H87">
        <f t="shared" si="7"/>
        <v>-2.7964900000000004</v>
      </c>
      <c r="I87" s="5">
        <f t="shared" si="8"/>
        <v>1726</v>
      </c>
      <c r="J87">
        <f>+H87+CF*F87*(1+($I87-1850)*slope/1000)+F87*hQc*COS(2*PI()*$I87/qbo+$L87)+F87*hQs*SIN(2*PI()*$I87/qbo+$L87)+F87*hCs*SIN(2*PI()*$I87/cw)+F87*hCc*COS(2*PI()*$I87/cw) +mix*F87*(hQc*COS(2*PI()*$I87/qbo+$L87)+hQs*SIN(2*PI()*$I87/qbo+$L87))*(hCs*SIN(2*PI()*$I87/cw)+hCc*COS(2*PI()*$I87/cw))</f>
        <v>-1.1959406772434455E-2</v>
      </c>
      <c r="K87">
        <f>fQc*COS(2*PI()*$I87/qbo+$L87)+fQs*SIN(2*PI()*$I87/qbo+$L87)+fCs*SIN(2*PI()*$I87/cw)+fCc*COS(2*PI()*$I87/cw)</f>
        <v>-1.9123325838897764</v>
      </c>
      <c r="L87">
        <f>+QMA*COS(2*PI()*$I87/QM+QMP)</f>
        <v>-0.85470228125441972</v>
      </c>
      <c r="P87">
        <f t="shared" si="9"/>
        <v>1</v>
      </c>
    </row>
    <row r="88" spans="1:16" x14ac:dyDescent="0.25">
      <c r="A88" s="1"/>
      <c r="B88" t="s">
        <v>101</v>
      </c>
      <c r="C88" t="s">
        <v>24</v>
      </c>
      <c r="D88" s="3">
        <v>3.25</v>
      </c>
      <c r="E88" s="5">
        <f t="shared" si="5"/>
        <v>1727</v>
      </c>
      <c r="F88">
        <v>1.0857000000000001</v>
      </c>
      <c r="G88">
        <f t="shared" si="6"/>
        <v>-1.32742</v>
      </c>
      <c r="H88">
        <f t="shared" si="7"/>
        <v>-1.32742</v>
      </c>
      <c r="I88" s="5">
        <f t="shared" si="8"/>
        <v>1727</v>
      </c>
      <c r="J88">
        <f>+H88+CF*F88*(1+($I88-1850)*slope/1000)+F88*hQc*COS(2*PI()*$I88/qbo+$L88)+F88*hQs*SIN(2*PI()*$I88/qbo+$L88)+F88*hCs*SIN(2*PI()*$I88/cw)+F88*hCc*COS(2*PI()*$I88/cw) +mix*F88*(hQc*COS(2*PI()*$I88/qbo+$L88)+hQs*SIN(2*PI()*$I88/qbo+$L88))*(hCs*SIN(2*PI()*$I88/cw)+hCc*COS(2*PI()*$I88/cw))</f>
        <v>3.3686626446233978</v>
      </c>
      <c r="K88">
        <f>fQc*COS(2*PI()*$I88/qbo+$L88)+fQs*SIN(2*PI()*$I88/qbo+$L88)+fCs*SIN(2*PI()*$I88/cw)+fCc*COS(2*PI()*$I88/cw)</f>
        <v>3.5652533764179073</v>
      </c>
      <c r="L88">
        <f>+QMA*COS(2*PI()*$I88/QM+QMP)</f>
        <v>-0.83861422838166366</v>
      </c>
      <c r="P88">
        <f t="shared" si="9"/>
        <v>1</v>
      </c>
    </row>
    <row r="89" spans="1:16" x14ac:dyDescent="0.25">
      <c r="A89" s="1"/>
      <c r="B89" t="s">
        <v>102</v>
      </c>
      <c r="C89" t="s">
        <v>24</v>
      </c>
      <c r="D89" s="3">
        <v>3.2916666666666665</v>
      </c>
      <c r="E89" s="5">
        <f t="shared" si="5"/>
        <v>1728</v>
      </c>
      <c r="F89">
        <v>-0.48310999999999998</v>
      </c>
      <c r="G89">
        <f t="shared" si="6"/>
        <v>1.4823</v>
      </c>
      <c r="H89">
        <f t="shared" si="7"/>
        <v>1.4823</v>
      </c>
      <c r="I89" s="5">
        <f t="shared" si="8"/>
        <v>1728</v>
      </c>
      <c r="J89">
        <f>+H89+CF*F89*(1+($I89-1850)*slope/1000)+F89*hQc*COS(2*PI()*$I89/qbo+$L89)+F89*hQs*SIN(2*PI()*$I89/qbo+$L89)+F89*hCs*SIN(2*PI()*$I89/cw)+F89*hCc*COS(2*PI()*$I89/cw) +mix*F89*(hQc*COS(2*PI()*$I89/qbo+$L89)+hQs*SIN(2*PI()*$I89/qbo+$L89))*(hCs*SIN(2*PI()*$I89/cw)+hCc*COS(2*PI()*$I89/cw))</f>
        <v>1.4575370722078349</v>
      </c>
      <c r="K89">
        <f>fQc*COS(2*PI()*$I89/qbo+$L89)+fQs*SIN(2*PI()*$I89/qbo+$L89)+fCs*SIN(2*PI()*$I89/cw)+fCc*COS(2*PI()*$I89/cw)</f>
        <v>-4.5482299772408155</v>
      </c>
      <c r="L89">
        <f>+QMA*COS(2*PI()*$I89/QM+QMP)</f>
        <v>-0.80795447525473729</v>
      </c>
      <c r="P89">
        <f t="shared" si="9"/>
        <v>0</v>
      </c>
    </row>
    <row r="90" spans="1:16" x14ac:dyDescent="0.25">
      <c r="A90" s="1"/>
      <c r="B90" t="s">
        <v>103</v>
      </c>
      <c r="C90" t="s">
        <v>24</v>
      </c>
      <c r="D90" s="3">
        <v>3.3333333333333335</v>
      </c>
      <c r="E90" s="5">
        <f t="shared" si="5"/>
        <v>1729</v>
      </c>
      <c r="F90">
        <v>-0.56962000000000002</v>
      </c>
      <c r="G90">
        <f t="shared" si="6"/>
        <v>5.3220000000000101E-2</v>
      </c>
      <c r="H90">
        <f t="shared" si="7"/>
        <v>5.3220000000000101E-2</v>
      </c>
      <c r="I90" s="5">
        <f t="shared" si="8"/>
        <v>1729</v>
      </c>
      <c r="J90">
        <f>+H90+CF*F90*(1+($I90-1850)*slope/1000)+F90*hQc*COS(2*PI()*$I90/qbo+$L90)+F90*hQs*SIN(2*PI()*$I90/qbo+$L90)+F90*hCs*SIN(2*PI()*$I90/cw)+F90*hCc*COS(2*PI()*$I90/cw) +mix*F90*(hQc*COS(2*PI()*$I90/qbo+$L90)+hQs*SIN(2*PI()*$I90/qbo+$L90))*(hCs*SIN(2*PI()*$I90/cw)+hCc*COS(2*PI()*$I90/cw))</f>
        <v>-2.3035059302749135</v>
      </c>
      <c r="K90">
        <f>fQc*COS(2*PI()*$I90/qbo+$L90)+fQs*SIN(2*PI()*$I90/qbo+$L90)+fCs*SIN(2*PI()*$I90/cw)+fCc*COS(2*PI()*$I90/cw)</f>
        <v>5.2104135246984278</v>
      </c>
      <c r="L90">
        <f>+QMA*COS(2*PI()*$I90/QM+QMP)</f>
        <v>-0.76325576352923385</v>
      </c>
      <c r="P90">
        <f t="shared" si="9"/>
        <v>0</v>
      </c>
    </row>
    <row r="91" spans="1:16" x14ac:dyDescent="0.25">
      <c r="A91" s="1"/>
      <c r="B91" t="s">
        <v>104</v>
      </c>
      <c r="C91" t="s">
        <v>24</v>
      </c>
      <c r="D91" s="3">
        <v>3.375</v>
      </c>
      <c r="E91" s="5">
        <f t="shared" si="5"/>
        <v>1730</v>
      </c>
      <c r="F91">
        <v>-0.60290999999999995</v>
      </c>
      <c r="G91">
        <f t="shared" si="6"/>
        <v>0.26333999999999985</v>
      </c>
      <c r="H91">
        <f t="shared" si="7"/>
        <v>0.26333999999999985</v>
      </c>
      <c r="I91" s="5">
        <f t="shared" si="8"/>
        <v>1730</v>
      </c>
      <c r="J91">
        <f>+H91+CF*F91*(1+($I91-1850)*slope/1000)+F91*hQc*COS(2*PI()*$I91/qbo+$L91)+F91*hQs*SIN(2*PI()*$I91/qbo+$L91)+F91*hCs*SIN(2*PI()*$I91/cw)+F91*hCc*COS(2*PI()*$I91/cw) +mix*F91*(hQc*COS(2*PI()*$I91/qbo+$L91)+hQs*SIN(2*PI()*$I91/qbo+$L91))*(hCs*SIN(2*PI()*$I91/cw)+hCc*COS(2*PI()*$I91/cw))</f>
        <v>-1.1484101811245195</v>
      </c>
      <c r="K91">
        <f>fQc*COS(2*PI()*$I91/qbo+$L91)+fQs*SIN(2*PI()*$I91/qbo+$L91)+fCs*SIN(2*PI()*$I91/cw)+fCc*COS(2*PI()*$I91/cw)</f>
        <v>-4.3112405332620529</v>
      </c>
      <c r="L91">
        <f>+QMA*COS(2*PI()*$I91/QM+QMP)</f>
        <v>-0.70529477479122327</v>
      </c>
      <c r="P91">
        <f t="shared" si="9"/>
        <v>1</v>
      </c>
    </row>
    <row r="92" spans="1:16" x14ac:dyDescent="0.25">
      <c r="A92" s="1"/>
      <c r="B92" t="s">
        <v>105</v>
      </c>
      <c r="C92" t="s">
        <v>24</v>
      </c>
      <c r="D92" s="3">
        <v>3.4166666666666665</v>
      </c>
      <c r="E92" s="5">
        <f t="shared" si="5"/>
        <v>1731</v>
      </c>
      <c r="F92">
        <v>-0.37286000000000002</v>
      </c>
      <c r="G92">
        <f t="shared" si="6"/>
        <v>-0.2749299999999999</v>
      </c>
      <c r="H92">
        <f t="shared" si="7"/>
        <v>-0.2749299999999999</v>
      </c>
      <c r="I92" s="5">
        <f t="shared" si="8"/>
        <v>1731</v>
      </c>
      <c r="J92">
        <f>+H92+CF*F92*(1+($I92-1850)*slope/1000)+F92*hQc*COS(2*PI()*$I92/qbo+$L92)+F92*hQs*SIN(2*PI()*$I92/qbo+$L92)+F92*hCs*SIN(2*PI()*$I92/cw)+F92*hCc*COS(2*PI()*$I92/cw) +mix*F92*(hQc*COS(2*PI()*$I92/qbo+$L92)+hQs*SIN(2*PI()*$I92/qbo+$L92))*(hCs*SIN(2*PI()*$I92/cw)+hCc*COS(2*PI()*$I92/cw))</f>
        <v>-0.21763273289733492</v>
      </c>
      <c r="K92">
        <f>fQc*COS(2*PI()*$I92/qbo+$L92)+fQs*SIN(2*PI()*$I92/qbo+$L92)+fCs*SIN(2*PI()*$I92/cw)+fCc*COS(2*PI()*$I92/cw)</f>
        <v>3.4456745139964697</v>
      </c>
      <c r="L92">
        <f>+QMA*COS(2*PI()*$I92/QM+QMP)</f>
        <v>-0.63507863499416839</v>
      </c>
      <c r="P92">
        <f t="shared" si="9"/>
        <v>0</v>
      </c>
    </row>
    <row r="93" spans="1:16" x14ac:dyDescent="0.25">
      <c r="A93" s="1"/>
      <c r="B93" t="s">
        <v>106</v>
      </c>
      <c r="C93" t="s">
        <v>24</v>
      </c>
      <c r="D93" s="3">
        <v>3.4583333333333335</v>
      </c>
      <c r="E93" s="5">
        <f t="shared" si="5"/>
        <v>1732</v>
      </c>
      <c r="F93">
        <v>-0.41774</v>
      </c>
      <c r="G93">
        <f t="shared" si="6"/>
        <v>-1.03712</v>
      </c>
      <c r="H93">
        <f t="shared" si="7"/>
        <v>-1.03712</v>
      </c>
      <c r="I93" s="5">
        <f t="shared" si="8"/>
        <v>1732</v>
      </c>
      <c r="J93">
        <f>+H93+CF*F93*(1+($I93-1850)*slope/1000)+F93*hQc*COS(2*PI()*$I93/qbo+$L93)+F93*hQs*SIN(2*PI()*$I93/qbo+$L93)+F93*hCs*SIN(2*PI()*$I93/cw)+F93*hCc*COS(2*PI()*$I93/cw) +mix*F93*(hQc*COS(2*PI()*$I93/qbo+$L93)+hQs*SIN(2*PI()*$I93/qbo+$L93))*(hCs*SIN(2*PI()*$I93/cw)+hCc*COS(2*PI()*$I93/cw))</f>
        <v>-1.6954810106691507</v>
      </c>
      <c r="K93">
        <f>fQc*COS(2*PI()*$I93/qbo+$L93)+fQs*SIN(2*PI()*$I93/qbo+$L93)+fCs*SIN(2*PI()*$I93/cw)+fCc*COS(2*PI()*$I93/cw)</f>
        <v>-1.8905567311940257</v>
      </c>
      <c r="L93">
        <f>+QMA*COS(2*PI()*$I93/QM+QMP)</f>
        <v>-0.55382741471103447</v>
      </c>
      <c r="P93">
        <f t="shared" si="9"/>
        <v>1</v>
      </c>
    </row>
    <row r="94" spans="1:16" x14ac:dyDescent="0.25">
      <c r="A94" s="1"/>
      <c r="B94" t="s">
        <v>107</v>
      </c>
      <c r="C94" t="s">
        <v>24</v>
      </c>
      <c r="D94" s="3">
        <v>3.5</v>
      </c>
      <c r="E94" s="5">
        <f t="shared" si="5"/>
        <v>1733</v>
      </c>
      <c r="F94">
        <v>-1.4997400000000001</v>
      </c>
      <c r="G94">
        <f t="shared" si="6"/>
        <v>2.6493099999999998</v>
      </c>
      <c r="H94">
        <f t="shared" si="7"/>
        <v>2.6493099999999998</v>
      </c>
      <c r="I94" s="5">
        <f t="shared" si="8"/>
        <v>1733</v>
      </c>
      <c r="J94">
        <f>+H94+CF*F94*(1+($I94-1850)*slope/1000)+F94*hQc*COS(2*PI()*$I94/qbo+$L94)+F94*hQs*SIN(2*PI()*$I94/qbo+$L94)+F94*hCs*SIN(2*PI()*$I94/cw)+F94*hCc*COS(2*PI()*$I94/cw) +mix*F94*(hQc*COS(2*PI()*$I94/qbo+$L94)+hQs*SIN(2*PI()*$I94/qbo+$L94))*(hCs*SIN(2*PI()*$I94/cw)+hCc*COS(2*PI()*$I94/cw))</f>
        <v>-0.14775140318032809</v>
      </c>
      <c r="K94">
        <f>fQc*COS(2*PI()*$I94/qbo+$L94)+fQs*SIN(2*PI()*$I94/qbo+$L94)+fCs*SIN(2*PI()*$I94/cw)+fCc*COS(2*PI()*$I94/cw)</f>
        <v>-0.15348950013135504</v>
      </c>
      <c r="L94">
        <f>+QMA*COS(2*PI()*$I94/QM+QMP)</f>
        <v>-0.46295292927619308</v>
      </c>
      <c r="P94">
        <f t="shared" si="9"/>
        <v>1</v>
      </c>
    </row>
    <row r="95" spans="1:16" x14ac:dyDescent="0.25">
      <c r="A95" s="1"/>
      <c r="B95" t="s">
        <v>108</v>
      </c>
      <c r="C95" t="s">
        <v>24</v>
      </c>
      <c r="D95" s="3">
        <v>3.5416666666666665</v>
      </c>
      <c r="E95" s="5">
        <f t="shared" si="5"/>
        <v>1734</v>
      </c>
      <c r="F95">
        <v>6.7570000000000005E-2</v>
      </c>
      <c r="G95">
        <f t="shared" si="6"/>
        <v>-1.6783299999999999</v>
      </c>
      <c r="H95">
        <f t="shared" si="7"/>
        <v>-1.6783299999999999</v>
      </c>
      <c r="I95" s="5">
        <f t="shared" si="8"/>
        <v>1734</v>
      </c>
      <c r="J95">
        <f>+H95+CF*F95*(1+($I95-1850)*slope/1000)+F95*hQc*COS(2*PI()*$I95/qbo+$L95)+F95*hQs*SIN(2*PI()*$I95/qbo+$L95)+F95*hCs*SIN(2*PI()*$I95/cw)+F95*hCc*COS(2*PI()*$I95/cw) +mix*F95*(hQc*COS(2*PI()*$I95/qbo+$L95)+hQs*SIN(2*PI()*$I95/qbo+$L95))*(hCs*SIN(2*PI()*$I95/cw)+hCc*COS(2*PI()*$I95/cw))</f>
        <v>-1.6574201506056911</v>
      </c>
      <c r="K95">
        <f>fQc*COS(2*PI()*$I95/qbo+$L95)+fQs*SIN(2*PI()*$I95/qbo+$L95)+fCs*SIN(2*PI()*$I95/cw)+fCc*COS(2*PI()*$I95/cw)</f>
        <v>1.4683169882385343</v>
      </c>
      <c r="L95">
        <f>+QMA*COS(2*PI()*$I95/QM+QMP)</f>
        <v>-0.36403420718412283</v>
      </c>
      <c r="P95">
        <f t="shared" si="9"/>
        <v>0</v>
      </c>
    </row>
    <row r="96" spans="1:16" x14ac:dyDescent="0.25">
      <c r="A96" s="1"/>
      <c r="B96" t="s">
        <v>109</v>
      </c>
      <c r="C96" t="s">
        <v>24</v>
      </c>
      <c r="D96" s="3">
        <v>3.5833333333333335</v>
      </c>
      <c r="E96" s="5">
        <f t="shared" si="5"/>
        <v>1735</v>
      </c>
      <c r="F96">
        <v>-4.3450000000000003E-2</v>
      </c>
      <c r="G96">
        <f t="shared" si="6"/>
        <v>0.40123999999999999</v>
      </c>
      <c r="H96">
        <f t="shared" si="7"/>
        <v>0.40123999999999999</v>
      </c>
      <c r="I96" s="5">
        <f t="shared" si="8"/>
        <v>1735</v>
      </c>
      <c r="J96">
        <f>+H96+CF*F96*(1+($I96-1850)*slope/1000)+F96*hQc*COS(2*PI()*$I96/qbo+$L96)+F96*hQs*SIN(2*PI()*$I96/qbo+$L96)+F96*hCs*SIN(2*PI()*$I96/cw)+F96*hCc*COS(2*PI()*$I96/cw) +mix*F96*(hQc*COS(2*PI()*$I96/qbo+$L96)+hQs*SIN(2*PI()*$I96/qbo+$L96))*(hCs*SIN(2*PI()*$I96/cw)+hCc*COS(2*PI()*$I96/cw))</f>
        <v>0.32113447514300691</v>
      </c>
      <c r="K96">
        <f>fQc*COS(2*PI()*$I96/qbo+$L96)+fQs*SIN(2*PI()*$I96/qbo+$L96)+fCs*SIN(2*PI()*$I96/cw)+fCc*COS(2*PI()*$I96/cw)</f>
        <v>-3.3168928769450807</v>
      </c>
      <c r="L96">
        <f>+QMA*COS(2*PI()*$I96/QM+QMP)</f>
        <v>-0.25879005300443941</v>
      </c>
      <c r="P96">
        <f t="shared" si="9"/>
        <v>0</v>
      </c>
    </row>
    <row r="97" spans="1:16" x14ac:dyDescent="0.25">
      <c r="A97" s="1"/>
      <c r="B97" t="s">
        <v>110</v>
      </c>
      <c r="C97" t="s">
        <v>24</v>
      </c>
      <c r="D97" s="3">
        <v>3.625</v>
      </c>
      <c r="E97" s="5">
        <f t="shared" si="5"/>
        <v>1736</v>
      </c>
      <c r="F97">
        <v>0.24676999999999999</v>
      </c>
      <c r="G97">
        <f t="shared" si="6"/>
        <v>0.38614000000000009</v>
      </c>
      <c r="H97">
        <f t="shared" si="7"/>
        <v>0.38614000000000009</v>
      </c>
      <c r="I97" s="5">
        <f t="shared" si="8"/>
        <v>1736</v>
      </c>
      <c r="J97">
        <f>+H97+CF*F97*(1+($I97-1850)*slope/1000)+F97*hQc*COS(2*PI()*$I97/qbo+$L97)+F97*hQs*SIN(2*PI()*$I97/qbo+$L97)+F97*hCs*SIN(2*PI()*$I97/cw)+F97*hCc*COS(2*PI()*$I97/cw) +mix*F97*(hQc*COS(2*PI()*$I97/qbo+$L97)+hQs*SIN(2*PI()*$I97/qbo+$L97))*(hCs*SIN(2*PI()*$I97/cw)+hCc*COS(2*PI()*$I97/cw))</f>
        <v>1.5493064852379321</v>
      </c>
      <c r="K97">
        <f>fQc*COS(2*PI()*$I97/qbo+$L97)+fQs*SIN(2*PI()*$I97/qbo+$L97)+fCs*SIN(2*PI()*$I97/cw)+fCc*COS(2*PI()*$I97/cw)</f>
        <v>4.3100995465986189</v>
      </c>
      <c r="L97">
        <f>+QMA*COS(2*PI()*$I97/QM+QMP)</f>
        <v>-0.14904918155772504</v>
      </c>
      <c r="P97">
        <f t="shared" si="9"/>
        <v>1</v>
      </c>
    </row>
    <row r="98" spans="1:16" x14ac:dyDescent="0.25">
      <c r="A98" s="1"/>
      <c r="B98" t="s">
        <v>111</v>
      </c>
      <c r="C98" t="s">
        <v>24</v>
      </c>
      <c r="D98" s="3">
        <v>3.6666666666666665</v>
      </c>
      <c r="E98" s="5">
        <f t="shared" si="5"/>
        <v>1737</v>
      </c>
      <c r="F98">
        <v>0.92313000000000001</v>
      </c>
      <c r="G98">
        <f t="shared" si="6"/>
        <v>-0.4811700000000001</v>
      </c>
      <c r="H98">
        <f t="shared" si="7"/>
        <v>-0.4811700000000001</v>
      </c>
      <c r="I98" s="5">
        <f t="shared" si="8"/>
        <v>1737</v>
      </c>
      <c r="J98">
        <f>+H98+CF*F98*(1+($I98-1850)*slope/1000)+F98*hQc*COS(2*PI()*$I98/qbo+$L98)+F98*hQs*SIN(2*PI()*$I98/qbo+$L98)+F98*hCs*SIN(2*PI()*$I98/cw)+F98*hCc*COS(2*PI()*$I98/cw) +mix*F98*(hQc*COS(2*PI()*$I98/qbo+$L98)+hQs*SIN(2*PI()*$I98/qbo+$L98))*(hCs*SIN(2*PI()*$I98/cw)+hCc*COS(2*PI()*$I98/cw))</f>
        <v>-0.48524878065117827</v>
      </c>
      <c r="K98">
        <f>fQc*COS(2*PI()*$I98/qbo+$L98)+fQs*SIN(2*PI()*$I98/qbo+$L98)+fCs*SIN(2*PI()*$I98/cw)+fCc*COS(2*PI()*$I98/cw)</f>
        <v>-4.7415427851963132</v>
      </c>
      <c r="L98">
        <f>+QMA*COS(2*PI()*$I98/QM+QMP)</f>
        <v>-3.6718442298965225E-2</v>
      </c>
      <c r="P98">
        <f t="shared" si="9"/>
        <v>1</v>
      </c>
    </row>
    <row r="99" spans="1:16" x14ac:dyDescent="0.25">
      <c r="A99" s="1"/>
      <c r="B99" t="s">
        <v>112</v>
      </c>
      <c r="C99" t="s">
        <v>24</v>
      </c>
      <c r="D99" s="3">
        <v>3.7083333333333335</v>
      </c>
      <c r="E99" s="5">
        <f t="shared" si="5"/>
        <v>1738</v>
      </c>
      <c r="F99">
        <v>1.11832</v>
      </c>
      <c r="G99">
        <f t="shared" si="6"/>
        <v>-1.9736899999999999</v>
      </c>
      <c r="H99">
        <f t="shared" si="7"/>
        <v>-1.9736899999999999</v>
      </c>
      <c r="I99" s="5">
        <f t="shared" si="8"/>
        <v>1738</v>
      </c>
      <c r="J99">
        <f>+H99+CF*F99*(1+($I99-1850)*slope/1000)+F99*hQc*COS(2*PI()*$I99/qbo+$L99)+F99*hQs*SIN(2*PI()*$I99/qbo+$L99)+F99*hCs*SIN(2*PI()*$I99/cw)+F99*hCc*COS(2*PI()*$I99/cw) +mix*F99*(hQc*COS(2*PI()*$I99/qbo+$L99)+hQs*SIN(2*PI()*$I99/qbo+$L99))*(hCs*SIN(2*PI()*$I99/cw)+hCc*COS(2*PI()*$I99/cw))</f>
        <v>2.1482484164847606</v>
      </c>
      <c r="K99">
        <f>fQc*COS(2*PI()*$I99/qbo+$L99)+fQs*SIN(2*PI()*$I99/qbo+$L99)+fCs*SIN(2*PI()*$I99/cw)+fCc*COS(2*PI()*$I99/cw)</f>
        <v>5.1710277093878148</v>
      </c>
      <c r="L99">
        <f>+QMA*COS(2*PI()*$I99/QM+QMP)</f>
        <v>7.6250313960761734E-2</v>
      </c>
      <c r="P99">
        <f t="shared" si="9"/>
        <v>1</v>
      </c>
    </row>
    <row r="100" spans="1:16" x14ac:dyDescent="0.25">
      <c r="A100" s="1"/>
      <c r="B100" t="s">
        <v>113</v>
      </c>
      <c r="C100" t="s">
        <v>24</v>
      </c>
      <c r="D100" s="3">
        <v>3.75</v>
      </c>
      <c r="E100" s="5">
        <f t="shared" si="5"/>
        <v>1739</v>
      </c>
      <c r="F100">
        <v>-0.66017999999999999</v>
      </c>
      <c r="G100">
        <f t="shared" si="6"/>
        <v>2.4390399999999999</v>
      </c>
      <c r="H100">
        <f t="shared" si="7"/>
        <v>2.4390399999999999</v>
      </c>
      <c r="I100" s="5">
        <f t="shared" si="8"/>
        <v>1739</v>
      </c>
      <c r="J100">
        <f>+H100+CF*F100*(1+($I100-1850)*slope/1000)+F100*hQc*COS(2*PI()*$I100/qbo+$L100)+F100*hQs*SIN(2*PI()*$I100/qbo+$L100)+F100*hCs*SIN(2*PI()*$I100/cw)+F100*hCc*COS(2*PI()*$I100/cw) +mix*F100*(hQc*COS(2*PI()*$I100/qbo+$L100)+hQs*SIN(2*PI()*$I100/qbo+$L100))*(hCs*SIN(2*PI()*$I100/cw)+hCc*COS(2*PI()*$I100/cw))</f>
        <v>0.81788138859324699</v>
      </c>
      <c r="K100">
        <f>fQc*COS(2*PI()*$I100/qbo+$L100)+fQs*SIN(2*PI()*$I100/qbo+$L100)+fCs*SIN(2*PI()*$I100/cw)+fCc*COS(2*PI()*$I100/cw)</f>
        <v>-4.2495884584268255</v>
      </c>
      <c r="L100">
        <f>+QMA*COS(2*PI()*$I100/QM+QMP)</f>
        <v>0.18789415027312892</v>
      </c>
      <c r="P100">
        <f t="shared" si="9"/>
        <v>0</v>
      </c>
    </row>
    <row r="101" spans="1:16" x14ac:dyDescent="0.25">
      <c r="A101" s="1"/>
      <c r="B101" t="s">
        <v>114</v>
      </c>
      <c r="C101" t="s">
        <v>24</v>
      </c>
      <c r="D101" s="3">
        <v>3.7916666666666665</v>
      </c>
      <c r="E101" s="5">
        <f t="shared" si="5"/>
        <v>1740</v>
      </c>
      <c r="F101">
        <v>3.6000000000000002E-4</v>
      </c>
      <c r="G101">
        <f t="shared" si="6"/>
        <v>-0.43651000000000001</v>
      </c>
      <c r="H101">
        <f t="shared" si="7"/>
        <v>-0.43651000000000001</v>
      </c>
      <c r="I101" s="5">
        <f t="shared" si="8"/>
        <v>1740</v>
      </c>
      <c r="J101">
        <f>+H101+CF*F101*(1+($I101-1850)*slope/1000)+F101*hQc*COS(2*PI()*$I101/qbo+$L101)+F101*hQs*SIN(2*PI()*$I101/qbo+$L101)+F101*hCs*SIN(2*PI()*$I101/cw)+F101*hCc*COS(2*PI()*$I101/cw) +mix*F101*(hQc*COS(2*PI()*$I101/qbo+$L101)+hQs*SIN(2*PI()*$I101/qbo+$L101))*(hCs*SIN(2*PI()*$I101/cw)+hCc*COS(2*PI()*$I101/cw))</f>
        <v>-0.43667470106104739</v>
      </c>
      <c r="K101">
        <f>fQc*COS(2*PI()*$I101/qbo+$L101)+fQs*SIN(2*PI()*$I101/qbo+$L101)+fCs*SIN(2*PI()*$I101/cw)+fCc*COS(2*PI()*$I101/cw)</f>
        <v>3.4401955913344291</v>
      </c>
      <c r="L101">
        <f>+QMA*COS(2*PI()*$I101/QM+QMP)</f>
        <v>0.2962731514031065</v>
      </c>
      <c r="P101">
        <f t="shared" si="9"/>
        <v>0</v>
      </c>
    </row>
    <row r="102" spans="1:16" x14ac:dyDescent="0.25">
      <c r="A102" s="1"/>
      <c r="B102" t="s">
        <v>115</v>
      </c>
      <c r="C102" t="s">
        <v>24</v>
      </c>
      <c r="D102" s="3">
        <v>3.8333333333333335</v>
      </c>
      <c r="E102" s="5">
        <f t="shared" si="5"/>
        <v>1741</v>
      </c>
      <c r="F102">
        <v>0.22439000000000001</v>
      </c>
      <c r="G102">
        <f t="shared" si="6"/>
        <v>-2.0484300000000002</v>
      </c>
      <c r="H102">
        <f t="shared" si="7"/>
        <v>-2.0484300000000002</v>
      </c>
      <c r="I102" s="5">
        <f t="shared" si="8"/>
        <v>1741</v>
      </c>
      <c r="J102">
        <f>+H102+CF*F102*(1+($I102-1850)*slope/1000)+F102*hQc*COS(2*PI()*$I102/qbo+$L102)+F102*hQs*SIN(2*PI()*$I102/qbo+$L102)+F102*hCs*SIN(2*PI()*$I102/cw)+F102*hCc*COS(2*PI()*$I102/cw) +mix*F102*(hQc*COS(2*PI()*$I102/qbo+$L102)+hQs*SIN(2*PI()*$I102/qbo+$L102))*(hCs*SIN(2*PI()*$I102/cw)+hCc*COS(2*PI()*$I102/cw))</f>
        <v>-1.6858476314655741</v>
      </c>
      <c r="K102">
        <f>fQc*COS(2*PI()*$I102/qbo+$L102)+fQs*SIN(2*PI()*$I102/qbo+$L102)+fCs*SIN(2*PI()*$I102/cw)+fCc*COS(2*PI()*$I102/cw)</f>
        <v>-2.0361856841951798</v>
      </c>
      <c r="L102">
        <f>+QMA*COS(2*PI()*$I102/QM+QMP)</f>
        <v>0.39950413165588566</v>
      </c>
      <c r="P102">
        <f t="shared" si="9"/>
        <v>1</v>
      </c>
    </row>
    <row r="103" spans="1:16" x14ac:dyDescent="0.25">
      <c r="A103" s="1"/>
      <c r="B103" t="s">
        <v>116</v>
      </c>
      <c r="C103" t="s">
        <v>24</v>
      </c>
      <c r="D103" s="3">
        <v>3.875</v>
      </c>
      <c r="E103" s="5">
        <f t="shared" si="5"/>
        <v>1742</v>
      </c>
      <c r="F103">
        <v>-1.6000099999999999</v>
      </c>
      <c r="G103">
        <f t="shared" si="6"/>
        <v>2.9113899999999999</v>
      </c>
      <c r="H103">
        <f t="shared" si="7"/>
        <v>2.9113899999999999</v>
      </c>
      <c r="I103" s="5">
        <f t="shared" si="8"/>
        <v>1742</v>
      </c>
      <c r="J103">
        <f>+H103+CF*F103*(1+($I103-1850)*slope/1000)+F103*hQc*COS(2*PI()*$I103/qbo+$L103)+F103*hQs*SIN(2*PI()*$I103/qbo+$L103)+F103*hCs*SIN(2*PI()*$I103/cw)+F103*hCc*COS(2*PI()*$I103/cw) +mix*F103*(hQc*COS(2*PI()*$I103/qbo+$L103)+hQs*SIN(2*PI()*$I103/qbo+$L103))*(hCs*SIN(2*PI()*$I103/cw)+hCc*COS(2*PI()*$I103/cw))</f>
        <v>0.21647849552096321</v>
      </c>
      <c r="K103">
        <f>fQc*COS(2*PI()*$I103/qbo+$L103)+fQs*SIN(2*PI()*$I103/qbo+$L103)+fCs*SIN(2*PI()*$I103/cw)+fCc*COS(2*PI()*$I103/cw)</f>
        <v>-2.7684467144007824E-3</v>
      </c>
      <c r="L103">
        <f>+QMA*COS(2*PI()*$I103/QM+QMP)</f>
        <v>0.49579335697561738</v>
      </c>
      <c r="P103">
        <f t="shared" si="9"/>
        <v>0</v>
      </c>
    </row>
    <row r="104" spans="1:16" x14ac:dyDescent="0.25">
      <c r="A104" s="1"/>
      <c r="B104" t="s">
        <v>117</v>
      </c>
      <c r="C104" t="s">
        <v>24</v>
      </c>
      <c r="D104" s="3">
        <v>3.9166666666666665</v>
      </c>
      <c r="E104" s="5">
        <f t="shared" si="5"/>
        <v>1743</v>
      </c>
      <c r="F104">
        <v>-0.51302000000000003</v>
      </c>
      <c r="G104">
        <f t="shared" si="6"/>
        <v>-0.31160999999999994</v>
      </c>
      <c r="H104">
        <f t="shared" si="7"/>
        <v>-0.31160999999999994</v>
      </c>
      <c r="I104" s="5">
        <f t="shared" si="8"/>
        <v>1743</v>
      </c>
      <c r="J104">
        <f>+H104+CF*F104*(1+($I104-1850)*slope/1000)+F104*hQc*COS(2*PI()*$I104/qbo+$L104)+F104*hQs*SIN(2*PI()*$I104/qbo+$L104)+F104*hCs*SIN(2*PI()*$I104/cw)+F104*hCc*COS(2*PI()*$I104/cw) +mix*F104*(hQc*COS(2*PI()*$I104/qbo+$L104)+hQs*SIN(2*PI()*$I104/qbo+$L104))*(hCs*SIN(2*PI()*$I104/cw)+hCc*COS(2*PI()*$I104/cw))</f>
        <v>-0.59839080668008848</v>
      </c>
      <c r="K104">
        <f>fQc*COS(2*PI()*$I104/qbo+$L104)+fQs*SIN(2*PI()*$I104/qbo+$L104)+fCs*SIN(2*PI()*$I104/cw)+fCc*COS(2*PI()*$I104/cw)</f>
        <v>1.3762362661789955</v>
      </c>
      <c r="L104">
        <f>+QMA*COS(2*PI()*$I104/QM+QMP)</f>
        <v>0.58346771273870035</v>
      </c>
      <c r="P104">
        <f t="shared" si="9"/>
        <v>0</v>
      </c>
    </row>
    <row r="105" spans="1:16" x14ac:dyDescent="0.25">
      <c r="A105" s="1"/>
      <c r="B105" t="s">
        <v>118</v>
      </c>
      <c r="C105" t="s">
        <v>24</v>
      </c>
      <c r="D105" s="3">
        <v>3.9583333333333335</v>
      </c>
      <c r="E105" s="5">
        <f t="shared" si="5"/>
        <v>1744</v>
      </c>
      <c r="F105">
        <v>0.26235999999999998</v>
      </c>
      <c r="G105">
        <f t="shared" si="6"/>
        <v>9.7040000000000015E-2</v>
      </c>
      <c r="H105">
        <f t="shared" si="7"/>
        <v>9.7040000000000015E-2</v>
      </c>
      <c r="I105" s="5">
        <f t="shared" si="8"/>
        <v>1744</v>
      </c>
      <c r="J105">
        <f>+H105+CF*F105*(1+($I105-1850)*slope/1000)+F105*hQc*COS(2*PI()*$I105/qbo+$L105)+F105*hQs*SIN(2*PI()*$I105/qbo+$L105)+F105*hCs*SIN(2*PI()*$I105/cw)+F105*hCc*COS(2*PI()*$I105/cw) +mix*F105*(hQc*COS(2*PI()*$I105/qbo+$L105)+hQs*SIN(2*PI()*$I105/qbo+$L105))*(hCs*SIN(2*PI()*$I105/cw)+hCc*COS(2*PI()*$I105/cw))</f>
        <v>0.51193695824392504</v>
      </c>
      <c r="K105">
        <f>fQc*COS(2*PI()*$I105/qbo+$L105)+fQs*SIN(2*PI()*$I105/qbo+$L105)+fCs*SIN(2*PI()*$I105/cw)+fCc*COS(2*PI()*$I105/cw)</f>
        <v>-3.3229854796997227</v>
      </c>
      <c r="L105">
        <f>+QMA*COS(2*PI()*$I105/QM+QMP)</f>
        <v>0.66100377567264545</v>
      </c>
      <c r="P105">
        <f t="shared" si="9"/>
        <v>0</v>
      </c>
    </row>
    <row r="106" spans="1:16" x14ac:dyDescent="0.25">
      <c r="A106" s="1"/>
      <c r="B106" t="s">
        <v>119</v>
      </c>
      <c r="C106" t="s">
        <v>24</v>
      </c>
      <c r="D106" s="3">
        <v>4</v>
      </c>
      <c r="E106" s="5">
        <f t="shared" si="5"/>
        <v>1745</v>
      </c>
      <c r="F106">
        <v>1.1347799999999999</v>
      </c>
      <c r="G106">
        <f t="shared" si="6"/>
        <v>-0.42901999999999996</v>
      </c>
      <c r="H106">
        <f t="shared" si="7"/>
        <v>-0.42901999999999996</v>
      </c>
      <c r="I106" s="5">
        <f t="shared" si="8"/>
        <v>1745</v>
      </c>
      <c r="J106">
        <f>+H106+CF*F106*(1+($I106-1850)*slope/1000)+F106*hQc*COS(2*PI()*$I106/qbo+$L106)+F106*hQs*SIN(2*PI()*$I106/qbo+$L106)+F106*hCs*SIN(2*PI()*$I106/cw)+F106*hCc*COS(2*PI()*$I106/cw) +mix*F106*(hQc*COS(2*PI()*$I106/qbo+$L106)+hQs*SIN(2*PI()*$I106/qbo+$L106))*(hCs*SIN(2*PI()*$I106/cw)+hCc*COS(2*PI()*$I106/cw))</f>
        <v>5.1226442033603039</v>
      </c>
      <c r="K106">
        <f>fQc*COS(2*PI()*$I106/qbo+$L106)+fQs*SIN(2*PI()*$I106/qbo+$L106)+fCs*SIN(2*PI()*$I106/cw)+fCc*COS(2*PI()*$I106/cw)</f>
        <v>4.4574826112164203</v>
      </c>
      <c r="L106">
        <f>+QMA*COS(2*PI()*$I106/QM+QMP)</f>
        <v>0.72705428474882516</v>
      </c>
      <c r="P106">
        <f t="shared" si="9"/>
        <v>1</v>
      </c>
    </row>
    <row r="107" spans="1:16" x14ac:dyDescent="0.25">
      <c r="A107" s="1"/>
      <c r="B107" t="s">
        <v>120</v>
      </c>
      <c r="C107" t="s">
        <v>24</v>
      </c>
      <c r="D107" s="3">
        <v>4.041666666666667</v>
      </c>
      <c r="E107" s="5">
        <f t="shared" si="5"/>
        <v>1746</v>
      </c>
      <c r="F107">
        <v>1.5781799999999999</v>
      </c>
      <c r="G107">
        <f t="shared" si="6"/>
        <v>-0.21579999999999999</v>
      </c>
      <c r="H107">
        <f t="shared" si="7"/>
        <v>-0.21579999999999999</v>
      </c>
      <c r="I107" s="5">
        <f t="shared" si="8"/>
        <v>1746</v>
      </c>
      <c r="J107">
        <f>+H107+CF*F107*(1+($I107-1850)*slope/1000)+F107*hQc*COS(2*PI()*$I107/qbo+$L107)+F107*hQs*SIN(2*PI()*$I107/qbo+$L107)+F107*hCs*SIN(2*PI()*$I107/cw)+F107*hCc*COS(2*PI()*$I107/cw) +mix*F107*(hQc*COS(2*PI()*$I107/qbo+$L107)+hQs*SIN(2*PI()*$I107/qbo+$L107))*(hCs*SIN(2*PI()*$I107/cw)+hCc*COS(2*PI()*$I107/cw))</f>
        <v>-0.1923599839905048</v>
      </c>
      <c r="K107">
        <f>fQc*COS(2*PI()*$I107/qbo+$L107)+fQs*SIN(2*PI()*$I107/qbo+$L107)+fCs*SIN(2*PI()*$I107/cw)+fCc*COS(2*PI()*$I107/cw)</f>
        <v>-4.8036019945366473</v>
      </c>
      <c r="L107">
        <f>+QMA*COS(2*PI()*$I107/QM+QMP)</f>
        <v>0.78047155109273214</v>
      </c>
      <c r="P107">
        <f t="shared" si="9"/>
        <v>1</v>
      </c>
    </row>
    <row r="108" spans="1:16" x14ac:dyDescent="0.25">
      <c r="A108" s="1"/>
      <c r="B108" t="s">
        <v>121</v>
      </c>
      <c r="C108" t="s">
        <v>24</v>
      </c>
      <c r="D108" s="3">
        <v>4.083333333333333</v>
      </c>
      <c r="E108" s="5">
        <f t="shared" si="5"/>
        <v>1747</v>
      </c>
      <c r="F108">
        <v>1.8057799999999999</v>
      </c>
      <c r="G108">
        <f t="shared" si="6"/>
        <v>-3.0292000000000003</v>
      </c>
      <c r="H108">
        <f t="shared" si="7"/>
        <v>-3.0292000000000003</v>
      </c>
      <c r="I108" s="5">
        <f t="shared" si="8"/>
        <v>1747</v>
      </c>
      <c r="J108">
        <f>+H108+CF*F108*(1+($I108-1850)*slope/1000)+F108*hQc*COS(2*PI()*$I108/qbo+$L108)+F108*hQs*SIN(2*PI()*$I108/qbo+$L108)+F108*hCs*SIN(2*PI()*$I108/cw)+F108*hCc*COS(2*PI()*$I108/cw) +mix*F108*(hQc*COS(2*PI()*$I108/qbo+$L108)+hQs*SIN(2*PI()*$I108/qbo+$L108))*(hCs*SIN(2*PI()*$I108/cw)+hCc*COS(2*PI()*$I108/cw))</f>
        <v>2.678848850401558</v>
      </c>
      <c r="K108">
        <f>fQc*COS(2*PI()*$I108/qbo+$L108)+fQs*SIN(2*PI()*$I108/qbo+$L108)+fCs*SIN(2*PI()*$I108/cw)+fCc*COS(2*PI()*$I108/cw)</f>
        <v>4.9617015231498183</v>
      </c>
      <c r="L108">
        <f>+QMA*COS(2*PI()*$I108/QM+QMP)</f>
        <v>0.82032740014304295</v>
      </c>
      <c r="P108">
        <f t="shared" si="9"/>
        <v>1</v>
      </c>
    </row>
    <row r="109" spans="1:16" x14ac:dyDescent="0.25">
      <c r="A109" s="1"/>
      <c r="B109" t="s">
        <v>122</v>
      </c>
      <c r="C109" t="s">
        <v>24</v>
      </c>
      <c r="D109" s="3">
        <v>4.125</v>
      </c>
      <c r="E109" s="5">
        <f t="shared" si="5"/>
        <v>1748</v>
      </c>
      <c r="F109">
        <v>-0.99582000000000004</v>
      </c>
      <c r="G109">
        <f t="shared" si="6"/>
        <v>4.8936600000000006</v>
      </c>
      <c r="H109">
        <f t="shared" si="7"/>
        <v>4.8936600000000006</v>
      </c>
      <c r="I109" s="5">
        <f t="shared" si="8"/>
        <v>1748</v>
      </c>
      <c r="J109">
        <f>+H109+CF*F109*(1+($I109-1850)*slope/1000)+F109*hQc*COS(2*PI()*$I109/qbo+$L109)+F109*hQs*SIN(2*PI()*$I109/qbo+$L109)+F109*hCs*SIN(2*PI()*$I109/cw)+F109*hCc*COS(2*PI()*$I109/cw) +mix*F109*(hQc*COS(2*PI()*$I109/qbo+$L109)+hQs*SIN(2*PI()*$I109/qbo+$L109))*(hCs*SIN(2*PI()*$I109/cw)+hCc*COS(2*PI()*$I109/cw))</f>
        <v>2.5831099167653351</v>
      </c>
      <c r="K109">
        <f>fQc*COS(2*PI()*$I109/qbo+$L109)+fQs*SIN(2*PI()*$I109/qbo+$L109)+fCs*SIN(2*PI()*$I109/cw)+fCc*COS(2*PI()*$I109/cw)</f>
        <v>-3.4919024960893084</v>
      </c>
      <c r="L109">
        <f>+QMA*COS(2*PI()*$I109/QM+QMP)</f>
        <v>0.84592929954569318</v>
      </c>
      <c r="P109">
        <f t="shared" si="9"/>
        <v>0</v>
      </c>
    </row>
    <row r="110" spans="1:16" x14ac:dyDescent="0.25">
      <c r="A110" s="1"/>
      <c r="B110" t="s">
        <v>123</v>
      </c>
      <c r="C110" t="s">
        <v>24</v>
      </c>
      <c r="D110" s="3">
        <v>4.166666666666667</v>
      </c>
      <c r="E110" s="5">
        <f t="shared" si="5"/>
        <v>1749</v>
      </c>
      <c r="F110">
        <v>1.0962400000000001</v>
      </c>
      <c r="G110">
        <f t="shared" si="6"/>
        <v>-2.4696899999999999</v>
      </c>
      <c r="H110">
        <f t="shared" si="7"/>
        <v>-2.4696899999999999</v>
      </c>
      <c r="I110" s="5">
        <f t="shared" si="8"/>
        <v>1749</v>
      </c>
      <c r="J110">
        <f>+H110+CF*F110*(1+($I110-1850)*slope/1000)+F110*hQc*COS(2*PI()*$I110/qbo+$L110)+F110*hQs*SIN(2*PI()*$I110/qbo+$L110)+F110*hCs*SIN(2*PI()*$I110/cw)+F110*hCc*COS(2*PI()*$I110/cw) +mix*F110*(hQc*COS(2*PI()*$I110/qbo+$L110)+hQs*SIN(2*PI()*$I110/qbo+$L110))*(hCs*SIN(2*PI()*$I110/cw)+hCc*COS(2*PI()*$I110/cw))</f>
        <v>-1.9504871097647247</v>
      </c>
      <c r="K110">
        <f>fQc*COS(2*PI()*$I110/qbo+$L110)+fQs*SIN(2*PI()*$I110/qbo+$L110)+fCs*SIN(2*PI()*$I110/cw)+fCc*COS(2*PI()*$I110/cw)</f>
        <v>1.8779203998205232</v>
      </c>
      <c r="L110">
        <f>+QMA*COS(2*PI()*$I110/QM+QMP)</f>
        <v>0.85683239254603161</v>
      </c>
      <c r="P110">
        <f t="shared" si="9"/>
        <v>0</v>
      </c>
    </row>
    <row r="111" spans="1:16" x14ac:dyDescent="0.25">
      <c r="A111" s="1"/>
      <c r="B111" t="s">
        <v>124</v>
      </c>
      <c r="C111" t="s">
        <v>24</v>
      </c>
      <c r="D111" s="3">
        <v>4.208333333333333</v>
      </c>
      <c r="E111" s="5">
        <f t="shared" si="5"/>
        <v>1750</v>
      </c>
      <c r="F111">
        <v>0.71860999999999997</v>
      </c>
      <c r="G111">
        <f t="shared" si="6"/>
        <v>-5.4319999999999813E-2</v>
      </c>
      <c r="H111">
        <f t="shared" si="7"/>
        <v>-5.4319999999999813E-2</v>
      </c>
      <c r="I111" s="5">
        <f t="shared" si="8"/>
        <v>1750</v>
      </c>
      <c r="J111">
        <f>+H111+CF*F111*(1+($I111-1850)*slope/1000)+F111*hQc*COS(2*PI()*$I111/qbo+$L111)+F111*hQs*SIN(2*PI()*$I111/qbo+$L111)+F111*hCs*SIN(2*PI()*$I111/cw)+F111*hCc*COS(2*PI()*$I111/cw) +mix*F111*(hQc*COS(2*PI()*$I111/qbo+$L111)+hQs*SIN(2*PI()*$I111/qbo+$L111))*(hCs*SIN(2*PI()*$I111/cw)+hCc*COS(2*PI()*$I111/cw))</f>
        <v>-0.42598806656840393</v>
      </c>
      <c r="K111">
        <f>fQc*COS(2*PI()*$I111/qbo+$L111)+fQs*SIN(2*PI()*$I111/qbo+$L111)+fCs*SIN(2*PI()*$I111/cw)+fCc*COS(2*PI()*$I111/cw)</f>
        <v>0.25641859091257546</v>
      </c>
      <c r="L111">
        <f>+QMA*COS(2*PI()*$I111/QM+QMP)</f>
        <v>0.85284722778768784</v>
      </c>
      <c r="P111">
        <f t="shared" si="9"/>
        <v>0</v>
      </c>
    </row>
    <row r="112" spans="1:16" x14ac:dyDescent="0.25">
      <c r="A112" s="1"/>
      <c r="B112" t="s">
        <v>125</v>
      </c>
      <c r="C112" t="s">
        <v>24</v>
      </c>
      <c r="D112" s="3">
        <v>4.25</v>
      </c>
      <c r="E112" s="5">
        <f t="shared" si="5"/>
        <v>1751</v>
      </c>
      <c r="F112">
        <v>0.28666000000000003</v>
      </c>
      <c r="G112">
        <f t="shared" si="6"/>
        <v>-1.7390400000000001</v>
      </c>
      <c r="H112">
        <f t="shared" si="7"/>
        <v>-1.7390400000000001</v>
      </c>
      <c r="I112" s="5">
        <f t="shared" si="8"/>
        <v>1751</v>
      </c>
      <c r="J112">
        <f>+H112+CF*F112*(1+($I112-1850)*slope/1000)+F112*hQc*COS(2*PI()*$I112/qbo+$L112)+F112*hQs*SIN(2*PI()*$I112/qbo+$L112)+F112*hCs*SIN(2*PI()*$I112/cw)+F112*hCc*COS(2*PI()*$I112/cw) +mix*F112*(hQc*COS(2*PI()*$I112/qbo+$L112)+hQs*SIN(2*PI()*$I112/qbo+$L112))*(hCs*SIN(2*PI()*$I112/cw)+hCc*COS(2*PI()*$I112/cw))</f>
        <v>-0.74150162964241662</v>
      </c>
      <c r="K112">
        <f>fQc*COS(2*PI()*$I112/qbo+$L112)+fQs*SIN(2*PI()*$I112/qbo+$L112)+fCs*SIN(2*PI()*$I112/cw)+fCc*COS(2*PI()*$I112/cw)</f>
        <v>-2.8161113879756803</v>
      </c>
      <c r="L112">
        <f>+QMA*COS(2*PI()*$I112/QM+QMP)</f>
        <v>0.83404305120562472</v>
      </c>
      <c r="P112">
        <f t="shared" si="9"/>
        <v>1</v>
      </c>
    </row>
    <row r="113" spans="1:16" x14ac:dyDescent="0.25">
      <c r="A113" s="1"/>
      <c r="B113" t="s">
        <v>126</v>
      </c>
      <c r="C113" t="s">
        <v>24</v>
      </c>
      <c r="D113" s="3">
        <v>4.291666666666667</v>
      </c>
      <c r="E113" s="5">
        <f t="shared" si="5"/>
        <v>1752</v>
      </c>
      <c r="F113">
        <v>-1.8843300000000001</v>
      </c>
      <c r="G113">
        <f t="shared" si="6"/>
        <v>2.90266</v>
      </c>
      <c r="H113">
        <f t="shared" si="7"/>
        <v>2.90266</v>
      </c>
      <c r="I113" s="5">
        <f t="shared" si="8"/>
        <v>1752</v>
      </c>
      <c r="J113">
        <f>+H113+CF*F113*(1+($I113-1850)*slope/1000)+F113*hQc*COS(2*PI()*$I113/qbo+$L113)+F113*hQs*SIN(2*PI()*$I113/qbo+$L113)+F113*hCs*SIN(2*PI()*$I113/cw)+F113*hCc*COS(2*PI()*$I113/cw) +mix*F113*(hQc*COS(2*PI()*$I113/qbo+$L113)+hQs*SIN(2*PI()*$I113/qbo+$L113))*(hCs*SIN(2*PI()*$I113/cw)+hCc*COS(2*PI()*$I113/cw))</f>
        <v>2.5987543400345454</v>
      </c>
      <c r="K113">
        <f>fQc*COS(2*PI()*$I113/qbo+$L113)+fQs*SIN(2*PI()*$I113/qbo+$L113)+fCs*SIN(2*PI()*$I113/cw)+fCc*COS(2*PI()*$I113/cw)</f>
        <v>4.088896817432695</v>
      </c>
      <c r="L113">
        <f>+QMA*COS(2*PI()*$I113/QM+QMP)</f>
        <v>0.8007466028138005</v>
      </c>
      <c r="P113">
        <f t="shared" si="9"/>
        <v>1</v>
      </c>
    </row>
    <row r="114" spans="1:16" x14ac:dyDescent="0.25">
      <c r="A114" s="1"/>
      <c r="B114" t="s">
        <v>127</v>
      </c>
      <c r="C114" t="s">
        <v>24</v>
      </c>
      <c r="D114" s="3">
        <v>4.333333333333333</v>
      </c>
      <c r="E114" s="5">
        <f t="shared" si="5"/>
        <v>1753</v>
      </c>
      <c r="F114">
        <v>-1.15266</v>
      </c>
      <c r="G114">
        <f t="shared" si="6"/>
        <v>-0.31825000000000003</v>
      </c>
      <c r="H114">
        <f t="shared" si="7"/>
        <v>-0.31825000000000003</v>
      </c>
      <c r="I114" s="5">
        <f t="shared" si="8"/>
        <v>1753</v>
      </c>
      <c r="J114">
        <f>+H114+CF*F114*(1+($I114-1850)*slope/1000)+F114*hQc*COS(2*PI()*$I114/qbo+$L114)+F114*hQs*SIN(2*PI()*$I114/qbo+$L114)+F114*hCs*SIN(2*PI()*$I114/cw)+F114*hCc*COS(2*PI()*$I114/cw) +mix*F114*(hQc*COS(2*PI()*$I114/qbo+$L114)+hQs*SIN(2*PI()*$I114/qbo+$L114))*(hCs*SIN(2*PI()*$I114/cw)+hCc*COS(2*PI()*$I114/cw))</f>
        <v>-1.633167287594441</v>
      </c>
      <c r="K114">
        <f>fQc*COS(2*PI()*$I114/qbo+$L114)+fQs*SIN(2*PI()*$I114/qbo+$L114)+fCs*SIN(2*PI()*$I114/cw)+fCc*COS(2*PI()*$I114/cw)</f>
        <v>-5.084690956903076</v>
      </c>
      <c r="L114">
        <f>+QMA*COS(2*PI()*$I114/QM+QMP)</f>
        <v>0.75353643929426495</v>
      </c>
      <c r="P114">
        <f t="shared" si="9"/>
        <v>1</v>
      </c>
    </row>
    <row r="115" spans="1:16" x14ac:dyDescent="0.25">
      <c r="A115" s="1"/>
      <c r="B115" t="s">
        <v>128</v>
      </c>
      <c r="C115" t="s">
        <v>24</v>
      </c>
      <c r="D115" s="3">
        <v>4.375</v>
      </c>
      <c r="E115" s="5">
        <f t="shared" si="5"/>
        <v>1754</v>
      </c>
      <c r="F115">
        <v>-0.73924000000000001</v>
      </c>
      <c r="G115">
        <f t="shared" si="6"/>
        <v>-0.72632999999999992</v>
      </c>
      <c r="H115">
        <f t="shared" si="7"/>
        <v>-0.72632999999999992</v>
      </c>
      <c r="I115" s="5">
        <f t="shared" si="8"/>
        <v>1754</v>
      </c>
      <c r="J115">
        <f>+H115+CF*F115*(1+($I115-1850)*slope/1000)+F115*hQc*COS(2*PI()*$I115/qbo+$L115)+F115*hQs*SIN(2*PI()*$I115/qbo+$L115)+F115*hCs*SIN(2*PI()*$I115/cw)+F115*hCc*COS(2*PI()*$I115/cw) +mix*F115*(hQc*COS(2*PI()*$I115/qbo+$L115)+hQs*SIN(2*PI()*$I115/qbo+$L115))*(hCs*SIN(2*PI()*$I115/cw)+hCc*COS(2*PI()*$I115/cw))</f>
        <v>-4.042370877273834</v>
      </c>
      <c r="K115">
        <f>fQc*COS(2*PI()*$I115/qbo+$L115)+fQs*SIN(2*PI()*$I115/qbo+$L115)+fCs*SIN(2*PI()*$I115/cw)+fCc*COS(2*PI()*$I115/cw)</f>
        <v>4.5125810499197518</v>
      </c>
      <c r="L115">
        <f>+QMA*COS(2*PI()*$I115/QM+QMP)</f>
        <v>0.69323288103805714</v>
      </c>
      <c r="P115">
        <f t="shared" si="9"/>
        <v>0</v>
      </c>
    </row>
    <row r="116" spans="1:16" x14ac:dyDescent="0.25">
      <c r="A116" s="1"/>
      <c r="B116" t="s">
        <v>129</v>
      </c>
      <c r="C116" t="s">
        <v>24</v>
      </c>
      <c r="D116" s="3">
        <v>4.416666666666667</v>
      </c>
      <c r="E116" s="5">
        <f t="shared" si="5"/>
        <v>1755</v>
      </c>
      <c r="F116">
        <v>-1.0521499999999999</v>
      </c>
      <c r="G116">
        <f t="shared" si="6"/>
        <v>1.1541699999999997</v>
      </c>
      <c r="H116">
        <f t="shared" si="7"/>
        <v>1.1541699999999997</v>
      </c>
      <c r="I116" s="5">
        <f t="shared" si="8"/>
        <v>1755</v>
      </c>
      <c r="J116">
        <f>+H116+CF*F116*(1+($I116-1850)*slope/1000)+F116*hQc*COS(2*PI()*$I116/qbo+$L116)+F116*hQs*SIN(2*PI()*$I116/qbo+$L116)+F116*hCs*SIN(2*PI()*$I116/cw)+F116*hCc*COS(2*PI()*$I116/cw) +mix*F116*(hQc*COS(2*PI()*$I116/qbo+$L116)+hQs*SIN(2*PI()*$I116/qbo+$L116))*(hCs*SIN(2*PI()*$I116/cw)+hCc*COS(2*PI()*$I116/cw))</f>
        <v>-0.57324174235993519</v>
      </c>
      <c r="K116">
        <f>fQc*COS(2*PI()*$I116/qbo+$L116)+fQs*SIN(2*PI()*$I116/qbo+$L116)+fCs*SIN(2*PI()*$I116/cw)+fCc*COS(2*PI()*$I116/cw)</f>
        <v>-2.5215874704189405</v>
      </c>
      <c r="L116">
        <f>+QMA*COS(2*PI()*$I116/QM+QMP)</f>
        <v>0.62088375831734521</v>
      </c>
      <c r="P116">
        <f t="shared" si="9"/>
        <v>1</v>
      </c>
    </row>
    <row r="117" spans="1:16" x14ac:dyDescent="0.25">
      <c r="A117" s="1"/>
      <c r="B117" t="s">
        <v>130</v>
      </c>
      <c r="C117" t="s">
        <v>24</v>
      </c>
      <c r="D117" s="3">
        <v>4.458333333333333</v>
      </c>
      <c r="E117" s="5">
        <f t="shared" si="5"/>
        <v>1756</v>
      </c>
      <c r="F117">
        <v>-0.21088999999999999</v>
      </c>
      <c r="G117">
        <f t="shared" si="6"/>
        <v>-2.3304299999999998</v>
      </c>
      <c r="H117">
        <f t="shared" si="7"/>
        <v>-2.3304299999999998</v>
      </c>
      <c r="I117" s="5">
        <f t="shared" si="8"/>
        <v>1756</v>
      </c>
      <c r="J117">
        <f>+H117+CF*F117*(1+($I117-1850)*slope/1000)+F117*hQc*COS(2*PI()*$I117/qbo+$L117)+F117*hQs*SIN(2*PI()*$I117/qbo+$L117)+F117*hCs*SIN(2*PI()*$I117/cw)+F117*hCc*COS(2*PI()*$I117/cw) +mix*F117*(hQc*COS(2*PI()*$I117/qbo+$L117)+hQs*SIN(2*PI()*$I117/qbo+$L117))*(hCs*SIN(2*PI()*$I117/cw)+hCc*COS(2*PI()*$I117/cw))</f>
        <v>-2.7331993889600894</v>
      </c>
      <c r="K117">
        <f>fQc*COS(2*PI()*$I117/qbo+$L117)+fQs*SIN(2*PI()*$I117/qbo+$L117)+fCs*SIN(2*PI()*$I117/cw)+fCc*COS(2*PI()*$I117/cw)</f>
        <v>0.41113374766902516</v>
      </c>
      <c r="L117">
        <f>+QMA*COS(2*PI()*$I117/QM+QMP)</f>
        <v>0.53774620426228981</v>
      </c>
      <c r="P117">
        <f t="shared" si="9"/>
        <v>0</v>
      </c>
    </row>
    <row r="118" spans="1:16" x14ac:dyDescent="0.25">
      <c r="A118" s="1"/>
      <c r="B118" t="s">
        <v>131</v>
      </c>
      <c r="C118" t="s">
        <v>24</v>
      </c>
      <c r="D118" s="3">
        <v>4.5</v>
      </c>
      <c r="E118" s="5">
        <f t="shared" si="5"/>
        <v>1757</v>
      </c>
      <c r="F118">
        <v>-1.7000599999999999</v>
      </c>
      <c r="G118">
        <f t="shared" si="6"/>
        <v>2.5641400000000001</v>
      </c>
      <c r="H118">
        <f t="shared" si="7"/>
        <v>2.5641400000000001</v>
      </c>
      <c r="I118" s="5">
        <f t="shared" si="8"/>
        <v>1757</v>
      </c>
      <c r="J118">
        <f>+H118+CF*F118*(1+($I118-1850)*slope/1000)+F118*hQc*COS(2*PI()*$I118/qbo+$L118)+F118*hQs*SIN(2*PI()*$I118/qbo+$L118)+F118*hCs*SIN(2*PI()*$I118/cw)+F118*hCc*COS(2*PI()*$I118/cw) +mix*F118*(hQc*COS(2*PI()*$I118/qbo+$L118)+hQs*SIN(2*PI()*$I118/qbo+$L118))*(hCs*SIN(2*PI()*$I118/cw)+hCc*COS(2*PI()*$I118/cw))</f>
        <v>2.0565284655795044</v>
      </c>
      <c r="K118">
        <f>fQc*COS(2*PI()*$I118/qbo+$L118)+fQs*SIN(2*PI()*$I118/qbo+$L118)+fCs*SIN(2*PI()*$I118/cw)+fCc*COS(2*PI()*$I118/cw)</f>
        <v>2.5720722246600825</v>
      </c>
      <c r="L118">
        <f>+QMA*COS(2*PI()*$I118/QM+QMP)</f>
        <v>0.44526481100665766</v>
      </c>
      <c r="P118">
        <f t="shared" si="9"/>
        <v>1</v>
      </c>
    </row>
    <row r="119" spans="1:16" x14ac:dyDescent="0.25">
      <c r="A119" s="1"/>
      <c r="B119" t="s">
        <v>132</v>
      </c>
      <c r="C119" t="s">
        <v>24</v>
      </c>
      <c r="D119" s="3">
        <v>4.541666666666667</v>
      </c>
      <c r="E119" s="5">
        <f t="shared" si="5"/>
        <v>1758</v>
      </c>
      <c r="F119">
        <v>-0.62509000000000003</v>
      </c>
      <c r="G119">
        <f t="shared" si="6"/>
        <v>-2.9079999999999995E-2</v>
      </c>
      <c r="H119">
        <f t="shared" si="7"/>
        <v>-2.9079999999999995E-2</v>
      </c>
      <c r="I119" s="5">
        <f t="shared" si="8"/>
        <v>1758</v>
      </c>
      <c r="J119">
        <f>+H119+CF*F119*(1+($I119-1850)*slope/1000)+F119*hQc*COS(2*PI()*$I119/qbo+$L119)+F119*hQs*SIN(2*PI()*$I119/qbo+$L119)+F119*hCs*SIN(2*PI()*$I119/cw)+F119*hCc*COS(2*PI()*$I119/cw) +mix*F119*(hQc*COS(2*PI()*$I119/qbo+$L119)+hQs*SIN(2*PI()*$I119/qbo+$L119))*(hCs*SIN(2*PI()*$I119/cw)+hCc*COS(2*PI()*$I119/cw))</f>
        <v>-2.8276305391006238</v>
      </c>
      <c r="K119">
        <f>fQc*COS(2*PI()*$I119/qbo+$L119)+fQs*SIN(2*PI()*$I119/qbo+$L119)+fCs*SIN(2*PI()*$I119/cw)+fCc*COS(2*PI()*$I119/cw)</f>
        <v>-4.3545520903868917</v>
      </c>
      <c r="L119">
        <f>+QMA*COS(2*PI()*$I119/QM+QMP)</f>
        <v>0.34504652855915036</v>
      </c>
      <c r="P119">
        <f t="shared" si="9"/>
        <v>1</v>
      </c>
    </row>
    <row r="120" spans="1:16" x14ac:dyDescent="0.25">
      <c r="A120" s="1"/>
      <c r="B120" t="s">
        <v>133</v>
      </c>
      <c r="C120" t="s">
        <v>24</v>
      </c>
      <c r="D120" s="3">
        <v>4.583333333333333</v>
      </c>
      <c r="E120" s="5">
        <f t="shared" si="5"/>
        <v>1759</v>
      </c>
      <c r="F120">
        <v>0.42080000000000001</v>
      </c>
      <c r="G120">
        <f t="shared" si="6"/>
        <v>-1.4132500000000001</v>
      </c>
      <c r="H120">
        <f t="shared" si="7"/>
        <v>-1.4132500000000001</v>
      </c>
      <c r="I120" s="5">
        <f t="shared" si="8"/>
        <v>1759</v>
      </c>
      <c r="J120">
        <f>+H120+CF*F120*(1+($I120-1850)*slope/1000)+F120*hQc*COS(2*PI()*$I120/qbo+$L120)+F120*hQs*SIN(2*PI()*$I120/qbo+$L120)+F120*hCs*SIN(2*PI()*$I120/cw)+F120*hCc*COS(2*PI()*$I120/cw) +mix*F120*(hQc*COS(2*PI()*$I120/qbo+$L120)+hQs*SIN(2*PI()*$I120/qbo+$L120))*(hCs*SIN(2*PI()*$I120/cw)+hCc*COS(2*PI()*$I120/cw))</f>
        <v>-2.8934978345558138</v>
      </c>
      <c r="K120">
        <f>fQc*COS(2*PI()*$I120/qbo+$L120)+fQs*SIN(2*PI()*$I120/qbo+$L120)+fCs*SIN(2*PI()*$I120/cw)+fCc*COS(2*PI()*$I120/cw)</f>
        <v>4.8481806237125129</v>
      </c>
      <c r="L120">
        <f>+QMA*COS(2*PI()*$I120/QM+QMP)</f>
        <v>0.23883274255617817</v>
      </c>
      <c r="P120">
        <f t="shared" si="9"/>
        <v>0</v>
      </c>
    </row>
    <row r="121" spans="1:16" x14ac:dyDescent="0.25">
      <c r="A121" s="1"/>
      <c r="B121" t="s">
        <v>134</v>
      </c>
      <c r="C121" t="s">
        <v>24</v>
      </c>
      <c r="D121" s="3">
        <v>4.625</v>
      </c>
      <c r="E121" s="5">
        <f t="shared" si="5"/>
        <v>1760</v>
      </c>
      <c r="F121">
        <v>5.3440000000000001E-2</v>
      </c>
      <c r="G121">
        <f t="shared" si="6"/>
        <v>-0.51621000000000006</v>
      </c>
      <c r="H121">
        <f t="shared" si="7"/>
        <v>-0.51621000000000006</v>
      </c>
      <c r="I121" s="5">
        <f t="shared" si="8"/>
        <v>1760</v>
      </c>
      <c r="J121">
        <f>+H121+CF*F121*(1+($I121-1850)*slope/1000)+F121*hQc*COS(2*PI()*$I121/qbo+$L121)+F121*hQs*SIN(2*PI()*$I121/qbo+$L121)+F121*hCs*SIN(2*PI()*$I121/cw)+F121*hCc*COS(2*PI()*$I121/cw) +mix*F121*(hQc*COS(2*PI()*$I121/qbo+$L121)+hQs*SIN(2*PI()*$I121/qbo+$L121))*(hCs*SIN(2*PI()*$I121/cw)+hCc*COS(2*PI()*$I121/cw))</f>
        <v>-0.34406159722718321</v>
      </c>
      <c r="K121">
        <f>fQc*COS(2*PI()*$I121/qbo+$L121)+fQs*SIN(2*PI()*$I121/qbo+$L121)+fCs*SIN(2*PI()*$I121/cw)+fCc*COS(2*PI()*$I121/cw)</f>
        <v>-4.3211152439533143</v>
      </c>
      <c r="L121">
        <f>+QMA*COS(2*PI()*$I121/QM+QMP)</f>
        <v>0.12846901607090896</v>
      </c>
      <c r="P121">
        <f t="shared" si="9"/>
        <v>1</v>
      </c>
    </row>
    <row r="122" spans="1:16" x14ac:dyDescent="0.25">
      <c r="A122" s="1"/>
      <c r="B122" t="s">
        <v>135</v>
      </c>
      <c r="C122" t="s">
        <v>24</v>
      </c>
      <c r="D122" s="3">
        <v>4.666666666666667</v>
      </c>
      <c r="E122" s="5">
        <f t="shared" si="5"/>
        <v>1761</v>
      </c>
      <c r="F122">
        <v>-0.83013000000000003</v>
      </c>
      <c r="G122">
        <f t="shared" si="6"/>
        <v>2.25312</v>
      </c>
      <c r="H122">
        <f t="shared" si="7"/>
        <v>2.25312</v>
      </c>
      <c r="I122" s="5">
        <f t="shared" si="8"/>
        <v>1761</v>
      </c>
      <c r="J122">
        <f>+H122+CF*F122*(1+($I122-1850)*slope/1000)+F122*hQc*COS(2*PI()*$I122/qbo+$L122)+F122*hQs*SIN(2*PI()*$I122/qbo+$L122)+F122*hCs*SIN(2*PI()*$I122/cw)+F122*hCc*COS(2*PI()*$I122/cw) +mix*F122*(hQc*COS(2*PI()*$I122/qbo+$L122)+hQs*SIN(2*PI()*$I122/qbo+$L122))*(hCs*SIN(2*PI()*$I122/cw)+hCc*COS(2*PI()*$I122/cw))</f>
        <v>1.1179635879331002</v>
      </c>
      <c r="K122">
        <f>fQc*COS(2*PI()*$I122/qbo+$L122)+fQs*SIN(2*PI()*$I122/qbo+$L122)+fCs*SIN(2*PI()*$I122/cw)+fCc*COS(2*PI()*$I122/cw)</f>
        <v>1.7442911118956204</v>
      </c>
      <c r="L122">
        <f>+QMA*COS(2*PI()*$I122/QM+QMP)</f>
        <v>1.587302124248741E-2</v>
      </c>
      <c r="P122">
        <f t="shared" si="9"/>
        <v>1</v>
      </c>
    </row>
    <row r="123" spans="1:16" x14ac:dyDescent="0.25">
      <c r="A123" s="1"/>
      <c r="B123" t="s">
        <v>136</v>
      </c>
      <c r="C123" t="s">
        <v>24</v>
      </c>
      <c r="D123" s="3">
        <v>4.708333333333333</v>
      </c>
      <c r="E123" s="5">
        <f t="shared" si="5"/>
        <v>1762</v>
      </c>
      <c r="F123">
        <v>0.53942000000000001</v>
      </c>
      <c r="G123">
        <f t="shared" si="6"/>
        <v>-2.6812800000000001</v>
      </c>
      <c r="H123">
        <f t="shared" si="7"/>
        <v>-2.6812800000000001</v>
      </c>
      <c r="I123" s="5">
        <f t="shared" si="8"/>
        <v>1762</v>
      </c>
      <c r="J123">
        <f>+H123+CF*F123*(1+($I123-1850)*slope/1000)+F123*hQc*COS(2*PI()*$I123/qbo+$L123)+F123*hQs*SIN(2*PI()*$I123/qbo+$L123)+F123*hCs*SIN(2*PI()*$I123/cw)+F123*hCc*COS(2*PI()*$I123/cw) +mix*F123*(hQc*COS(2*PI()*$I123/qbo+$L123)+hQs*SIN(2*PI()*$I123/qbo+$L123))*(hCs*SIN(2*PI()*$I123/cw)+hCc*COS(2*PI()*$I123/cw))</f>
        <v>-1.2513162086285827</v>
      </c>
      <c r="K123">
        <f>fQc*COS(2*PI()*$I123/qbo+$L123)+fQs*SIN(2*PI()*$I123/qbo+$L123)+fCs*SIN(2*PI()*$I123/cw)+fCc*COS(2*PI()*$I123/cw)</f>
        <v>0.76375789045477793</v>
      </c>
      <c r="L123">
        <f>+QMA*COS(2*PI()*$I123/QM+QMP)</f>
        <v>-9.699878205646327E-2</v>
      </c>
      <c r="P123">
        <f t="shared" si="9"/>
        <v>0</v>
      </c>
    </row>
    <row r="124" spans="1:16" x14ac:dyDescent="0.25">
      <c r="A124" s="1"/>
      <c r="B124" t="s">
        <v>137</v>
      </c>
      <c r="C124" t="s">
        <v>24</v>
      </c>
      <c r="D124" s="3">
        <v>4.75</v>
      </c>
      <c r="E124" s="5">
        <f t="shared" si="5"/>
        <v>1763</v>
      </c>
      <c r="F124">
        <v>-0.77231000000000005</v>
      </c>
      <c r="G124">
        <f t="shared" si="6"/>
        <v>2.0208200000000001</v>
      </c>
      <c r="H124">
        <f t="shared" si="7"/>
        <v>2.0208200000000001</v>
      </c>
      <c r="I124" s="5">
        <f t="shared" si="8"/>
        <v>1763</v>
      </c>
      <c r="J124">
        <f>+H124+CF*F124*(1+($I124-1850)*slope/1000)+F124*hQc*COS(2*PI()*$I124/qbo+$L124)+F124*hQs*SIN(2*PI()*$I124/qbo+$L124)+F124*hCs*SIN(2*PI()*$I124/cw)+F124*hCc*COS(2*PI()*$I124/cw) +mix*F124*(hQc*COS(2*PI()*$I124/qbo+$L124)+hQs*SIN(2*PI()*$I124/qbo+$L124))*(hCs*SIN(2*PI()*$I124/cw)+hCc*COS(2*PI()*$I124/cw))</f>
        <v>1.7843822511214549</v>
      </c>
      <c r="K124">
        <f>fQc*COS(2*PI()*$I124/qbo+$L124)+fQs*SIN(2*PI()*$I124/qbo+$L124)+fCs*SIN(2*PI()*$I124/cw)+fCc*COS(2*PI()*$I124/cw)</f>
        <v>-3.2478760523509274</v>
      </c>
      <c r="L124">
        <f>+QMA*COS(2*PI()*$I124/QM+QMP)</f>
        <v>-0.2081851415251865</v>
      </c>
      <c r="P124">
        <f t="shared" si="9"/>
        <v>0</v>
      </c>
    </row>
    <row r="125" spans="1:16" x14ac:dyDescent="0.25">
      <c r="A125" s="1"/>
      <c r="B125" t="s">
        <v>138</v>
      </c>
      <c r="C125" t="s">
        <v>24</v>
      </c>
      <c r="D125" s="3">
        <v>4.791666666666667</v>
      </c>
      <c r="E125" s="5">
        <f t="shared" si="5"/>
        <v>1764</v>
      </c>
      <c r="F125">
        <v>-6.3219999999999998E-2</v>
      </c>
      <c r="G125">
        <f t="shared" si="6"/>
        <v>-0.91364000000000001</v>
      </c>
      <c r="H125">
        <f t="shared" si="7"/>
        <v>-0.91364000000000001</v>
      </c>
      <c r="I125" s="5">
        <f t="shared" si="8"/>
        <v>1764</v>
      </c>
      <c r="J125">
        <f>+H125+CF*F125*(1+($I125-1850)*slope/1000)+F125*hQc*COS(2*PI()*$I125/qbo+$L125)+F125*hQs*SIN(2*PI()*$I125/qbo+$L125)+F125*hCs*SIN(2*PI()*$I125/cw)+F125*hCc*COS(2*PI()*$I125/cw) +mix*F125*(hQc*COS(2*PI()*$I125/qbo+$L125)+hQs*SIN(2*PI()*$I125/qbo+$L125))*(hCs*SIN(2*PI()*$I125/cw)+hCc*COS(2*PI()*$I125/cw))</f>
        <v>-1.2097770595162372</v>
      </c>
      <c r="K125">
        <f>fQc*COS(2*PI()*$I125/qbo+$L125)+fQs*SIN(2*PI()*$I125/qbo+$L125)+fCs*SIN(2*PI()*$I125/cw)+fCc*COS(2*PI()*$I125/cw)</f>
        <v>5.0022803318164222</v>
      </c>
      <c r="L125">
        <f>+QMA*COS(2*PI()*$I125/QM+QMP)</f>
        <v>-0.31575409101324287</v>
      </c>
      <c r="P125">
        <f t="shared" si="9"/>
        <v>0</v>
      </c>
    </row>
    <row r="126" spans="1:16" x14ac:dyDescent="0.25">
      <c r="A126" s="1"/>
      <c r="B126" t="s">
        <v>139</v>
      </c>
      <c r="C126" t="s">
        <v>24</v>
      </c>
      <c r="D126" s="3">
        <v>4.833333333333333</v>
      </c>
      <c r="E126" s="5">
        <f t="shared" si="5"/>
        <v>1765</v>
      </c>
      <c r="F126">
        <v>-0.26777000000000001</v>
      </c>
      <c r="G126">
        <f t="shared" si="6"/>
        <v>1.14693</v>
      </c>
      <c r="H126">
        <f t="shared" si="7"/>
        <v>1.14693</v>
      </c>
      <c r="I126" s="5">
        <f t="shared" si="8"/>
        <v>1765</v>
      </c>
      <c r="J126">
        <f>+H126+CF*F126*(1+($I126-1850)*slope/1000)+F126*hQc*COS(2*PI()*$I126/qbo+$L126)+F126*hQs*SIN(2*PI()*$I126/qbo+$L126)+F126*hCs*SIN(2*PI()*$I126/cw)+F126*hCc*COS(2*PI()*$I126/cw) +mix*F126*(hQc*COS(2*PI()*$I126/qbo+$L126)+hQs*SIN(2*PI()*$I126/qbo+$L126))*(hCs*SIN(2*PI()*$I126/cw)+hCc*COS(2*PI()*$I126/cw))</f>
        <v>0.74163677149853147</v>
      </c>
      <c r="K126">
        <f>fQc*COS(2*PI()*$I126/qbo+$L126)+fQs*SIN(2*PI()*$I126/qbo+$L126)+fCs*SIN(2*PI()*$I126/cw)+fCc*COS(2*PI()*$I126/cw)</f>
        <v>-4.5951814680701766</v>
      </c>
      <c r="L126">
        <f>+QMA*COS(2*PI()*$I126/QM+QMP)</f>
        <v>-0.41783652022470646</v>
      </c>
      <c r="P126">
        <f t="shared" si="9"/>
        <v>0</v>
      </c>
    </row>
    <row r="127" spans="1:16" x14ac:dyDescent="0.25">
      <c r="A127" s="1"/>
      <c r="B127" t="s">
        <v>140</v>
      </c>
      <c r="C127" t="s">
        <v>24</v>
      </c>
      <c r="D127" s="3">
        <v>4.875</v>
      </c>
      <c r="E127" s="5">
        <f t="shared" si="5"/>
        <v>1766</v>
      </c>
      <c r="F127">
        <v>0.67461000000000004</v>
      </c>
      <c r="G127">
        <f t="shared" si="6"/>
        <v>-1.22204</v>
      </c>
      <c r="H127">
        <f t="shared" si="7"/>
        <v>-1.22204</v>
      </c>
      <c r="I127" s="5">
        <f t="shared" si="8"/>
        <v>1766</v>
      </c>
      <c r="J127">
        <f>+H127+CF*F127*(1+($I127-1850)*slope/1000)+F127*hQc*COS(2*PI()*$I127/qbo+$L127)+F127*hQs*SIN(2*PI()*$I127/qbo+$L127)+F127*hCs*SIN(2*PI()*$I127/cw)+F127*hCc*COS(2*PI()*$I127/cw) +mix*F127*(hQc*COS(2*PI()*$I127/qbo+$L127)+hQs*SIN(2*PI()*$I127/qbo+$L127))*(hCs*SIN(2*PI()*$I127/cw)+hCc*COS(2*PI()*$I127/cw))</f>
        <v>-1.0684131198453422</v>
      </c>
      <c r="K127">
        <f>fQc*COS(2*PI()*$I127/qbo+$L127)+fQs*SIN(2*PI()*$I127/qbo+$L127)+fCs*SIN(2*PI()*$I127/cw)+fCc*COS(2*PI()*$I127/cw)</f>
        <v>3.5372188257305601</v>
      </c>
      <c r="L127">
        <f>+QMA*COS(2*PI()*$I127/QM+QMP)</f>
        <v>-0.5126586522435681</v>
      </c>
      <c r="P127">
        <f t="shared" si="9"/>
        <v>0</v>
      </c>
    </row>
    <row r="128" spans="1:16" x14ac:dyDescent="0.25">
      <c r="A128" s="1"/>
      <c r="B128" t="s">
        <v>141</v>
      </c>
      <c r="C128" t="s">
        <v>24</v>
      </c>
      <c r="D128" s="3">
        <v>4.916666666666667</v>
      </c>
      <c r="E128" s="5">
        <f t="shared" si="5"/>
        <v>1767</v>
      </c>
      <c r="F128">
        <v>0.39495000000000002</v>
      </c>
      <c r="G128">
        <f t="shared" si="6"/>
        <v>-0.18498999999999999</v>
      </c>
      <c r="H128">
        <f t="shared" si="7"/>
        <v>-0.18498999999999999</v>
      </c>
      <c r="I128" s="5">
        <f t="shared" si="8"/>
        <v>1767</v>
      </c>
      <c r="J128">
        <f>+H128+CF*F128*(1+($I128-1850)*slope/1000)+F128*hQc*COS(2*PI()*$I128/qbo+$L128)+F128*hQs*SIN(2*PI()*$I128/qbo+$L128)+F128*hCs*SIN(2*PI()*$I128/cw)+F128*hCc*COS(2*PI()*$I128/cw) +mix*F128*(hQc*COS(2*PI()*$I128/qbo+$L128)+hQs*SIN(2*PI()*$I128/qbo+$L128))*(hCs*SIN(2*PI()*$I128/cw)+hCc*COS(2*PI()*$I128/cw))</f>
        <v>0.10301454239281624</v>
      </c>
      <c r="K128">
        <f>fQc*COS(2*PI()*$I128/qbo+$L128)+fQs*SIN(2*PI()*$I128/qbo+$L128)+fCs*SIN(2*PI()*$I128/cw)+fCc*COS(2*PI()*$I128/cw)</f>
        <v>-1.076238234542952</v>
      </c>
      <c r="L128">
        <f>+QMA*COS(2*PI()*$I128/QM+QMP)</f>
        <v>-0.59857286455352632</v>
      </c>
      <c r="P128">
        <f t="shared" si="9"/>
        <v>0</v>
      </c>
    </row>
    <row r="129" spans="1:16" x14ac:dyDescent="0.25">
      <c r="A129" s="1"/>
      <c r="B129" t="s">
        <v>142</v>
      </c>
      <c r="C129" t="s">
        <v>24</v>
      </c>
      <c r="D129" s="3">
        <v>4.958333333333333</v>
      </c>
      <c r="E129" s="5">
        <f t="shared" si="5"/>
        <v>1768</v>
      </c>
      <c r="F129">
        <v>-6.9699999999999998E-2</v>
      </c>
      <c r="G129">
        <f t="shared" si="6"/>
        <v>0.86162000000000005</v>
      </c>
      <c r="H129">
        <f t="shared" si="7"/>
        <v>0.86162000000000005</v>
      </c>
      <c r="I129" s="5">
        <f t="shared" si="8"/>
        <v>1768</v>
      </c>
      <c r="J129">
        <f>+H129+CF*F129*(1+($I129-1850)*slope/1000)+F129*hQc*COS(2*PI()*$I129/qbo+$L129)+F129*hQs*SIN(2*PI()*$I129/qbo+$L129)+F129*hCs*SIN(2*PI()*$I129/cw)+F129*hCc*COS(2*PI()*$I129/cw) +mix*F129*(hQc*COS(2*PI()*$I129/qbo+$L129)+hQs*SIN(2*PI()*$I129/qbo+$L129))*(hCs*SIN(2*PI()*$I129/cw)+hCc*COS(2*PI()*$I129/cw))</f>
        <v>0.66044054268185937</v>
      </c>
      <c r="K129">
        <f>fQc*COS(2*PI()*$I129/qbo+$L129)+fQs*SIN(2*PI()*$I129/qbo+$L129)+fCs*SIN(2*PI()*$I129/cw)+fCc*COS(2*PI()*$I129/cw)</f>
        <v>-1.7095832165405467</v>
      </c>
      <c r="L129">
        <f>+QMA*COS(2*PI()*$I129/QM+QMP)</f>
        <v>-0.67408631800752949</v>
      </c>
      <c r="P129">
        <f t="shared" si="9"/>
        <v>0</v>
      </c>
    </row>
    <row r="130" spans="1:16" x14ac:dyDescent="0.25">
      <c r="A130" s="1"/>
      <c r="B130" t="s">
        <v>143</v>
      </c>
      <c r="C130" t="s">
        <v>24</v>
      </c>
      <c r="D130" s="3">
        <v>5</v>
      </c>
      <c r="E130" s="5">
        <f t="shared" si="5"/>
        <v>1769</v>
      </c>
      <c r="F130">
        <v>0.32727000000000001</v>
      </c>
      <c r="G130">
        <f t="shared" si="6"/>
        <v>0.12131999999999993</v>
      </c>
      <c r="H130">
        <f t="shared" si="7"/>
        <v>0.12131999999999993</v>
      </c>
      <c r="I130" s="5">
        <f t="shared" si="8"/>
        <v>1769</v>
      </c>
      <c r="J130">
        <f>+H130+CF*F130*(1+($I130-1850)*slope/1000)+F130*hQc*COS(2*PI()*$I130/qbo+$L130)+F130*hQs*SIN(2*PI()*$I130/qbo+$L130)+F130*hCs*SIN(2*PI()*$I130/cw)+F130*hCc*COS(2*PI()*$I130/cw) +mix*F130*(hQc*COS(2*PI()*$I130/qbo+$L130)+hQs*SIN(2*PI()*$I130/qbo+$L130))*(hCs*SIN(2*PI()*$I130/cw)+hCc*COS(2*PI()*$I130/cw))</f>
        <v>-0.42019749827955866</v>
      </c>
      <c r="K130">
        <f>fQc*COS(2*PI()*$I130/qbo+$L130)+fQs*SIN(2*PI()*$I130/qbo+$L130)+fCs*SIN(2*PI()*$I130/cw)+fCc*COS(2*PI()*$I130/cw)</f>
        <v>3.4671039265780901</v>
      </c>
      <c r="L130">
        <f>+QMA*COS(2*PI()*$I130/QM+QMP)</f>
        <v>-0.73788689629317472</v>
      </c>
      <c r="P130">
        <f t="shared" si="9"/>
        <v>0</v>
      </c>
    </row>
    <row r="131" spans="1:16" x14ac:dyDescent="0.25">
      <c r="A131" s="1"/>
      <c r="B131" t="s">
        <v>144</v>
      </c>
      <c r="C131" t="s">
        <v>24</v>
      </c>
      <c r="D131" s="3">
        <v>5.041666666666667</v>
      </c>
      <c r="E131" s="5">
        <f t="shared" si="5"/>
        <v>1770</v>
      </c>
      <c r="F131">
        <v>0.84555999999999998</v>
      </c>
      <c r="G131">
        <f t="shared" si="6"/>
        <v>-0.67840999999999985</v>
      </c>
      <c r="H131">
        <f t="shared" si="7"/>
        <v>-0.67840999999999985</v>
      </c>
      <c r="I131" s="5">
        <f t="shared" si="8"/>
        <v>1770</v>
      </c>
      <c r="J131">
        <f>+H131+CF*F131*(1+($I131-1850)*slope/1000)+F131*hQc*COS(2*PI()*$I131/qbo+$L131)+F131*hQs*SIN(2*PI()*$I131/qbo+$L131)+F131*hCs*SIN(2*PI()*$I131/cw)+F131*hCc*COS(2*PI()*$I131/cw) +mix*F131*(hQc*COS(2*PI()*$I131/qbo+$L131)+hQs*SIN(2*PI()*$I131/qbo+$L131))*(hCs*SIN(2*PI()*$I131/cw)+hCc*COS(2*PI()*$I131/cw))</f>
        <v>1.2227909098714345</v>
      </c>
      <c r="K131">
        <f>fQc*COS(2*PI()*$I131/qbo+$L131)+fQs*SIN(2*PI()*$I131/qbo+$L131)+fCs*SIN(2*PI()*$I131/cw)+fCc*COS(2*PI()*$I131/cw)</f>
        <v>-5.0350831033731591</v>
      </c>
      <c r="L131">
        <f>+QMA*COS(2*PI()*$I131/QM+QMP)</f>
        <v>-0.7888660051708829</v>
      </c>
      <c r="P131">
        <f t="shared" si="9"/>
        <v>0</v>
      </c>
    </row>
    <row r="132" spans="1:16" x14ac:dyDescent="0.25">
      <c r="A132" s="1"/>
      <c r="B132" t="s">
        <v>145</v>
      </c>
      <c r="C132" t="s">
        <v>24</v>
      </c>
      <c r="D132" s="3">
        <v>5.083333333333333</v>
      </c>
      <c r="E132" s="5">
        <f t="shared" si="5"/>
        <v>1771</v>
      </c>
      <c r="F132">
        <v>0.68544000000000005</v>
      </c>
      <c r="G132">
        <f t="shared" si="6"/>
        <v>-1.19834</v>
      </c>
      <c r="H132">
        <f t="shared" si="7"/>
        <v>-1.19834</v>
      </c>
      <c r="I132" s="5">
        <f t="shared" si="8"/>
        <v>1771</v>
      </c>
      <c r="J132">
        <f>+H132+CF*F132*(1+($I132-1850)*slope/1000)+F132*hQc*COS(2*PI()*$I132/qbo+$L132)+F132*hQs*SIN(2*PI()*$I132/qbo+$L132)+F132*hCs*SIN(2*PI()*$I132/cw)+F132*hCc*COS(2*PI()*$I132/cw) +mix*F132*(hQc*COS(2*PI()*$I132/qbo+$L132)+hQs*SIN(2*PI()*$I132/qbo+$L132))*(hCs*SIN(2*PI()*$I132/cw)+hCc*COS(2*PI()*$I132/cw))</f>
        <v>1.2629809085332515</v>
      </c>
      <c r="K132">
        <f>fQc*COS(2*PI()*$I132/qbo+$L132)+fQs*SIN(2*PI()*$I132/qbo+$L132)+fCs*SIN(2*PI()*$I132/cw)+fCc*COS(2*PI()*$I132/cw)</f>
        <v>4.7941035696994314</v>
      </c>
      <c r="L132">
        <f>+QMA*COS(2*PI()*$I132/QM+QMP)</f>
        <v>-0.82613783532730289</v>
      </c>
      <c r="P132">
        <f t="shared" si="9"/>
        <v>1</v>
      </c>
    </row>
    <row r="133" spans="1:16" x14ac:dyDescent="0.25">
      <c r="A133" s="1"/>
      <c r="B133" t="s">
        <v>146</v>
      </c>
      <c r="C133" t="s">
        <v>24</v>
      </c>
      <c r="D133" s="3">
        <v>5.125</v>
      </c>
      <c r="E133" s="5">
        <f t="shared" si="5"/>
        <v>1772</v>
      </c>
      <c r="F133">
        <v>-0.67301999999999995</v>
      </c>
      <c r="G133">
        <f t="shared" si="6"/>
        <v>0.61890999999999985</v>
      </c>
      <c r="H133">
        <f t="shared" si="7"/>
        <v>0.61890999999999985</v>
      </c>
      <c r="I133" s="5">
        <f t="shared" si="8"/>
        <v>1772</v>
      </c>
      <c r="J133">
        <f>+H133+CF*F133*(1+($I133-1850)*slope/1000)+F133*hQc*COS(2*PI()*$I133/qbo+$L133)+F133*hQs*SIN(2*PI()*$I133/qbo+$L133)+F133*hCs*SIN(2*PI()*$I133/cw)+F133*hCc*COS(2*PI()*$I133/cw) +mix*F133*(hQc*COS(2*PI()*$I133/qbo+$L133)+hQs*SIN(2*PI()*$I133/qbo+$L133))*(hCs*SIN(2*PI()*$I133/cw)+hCc*COS(2*PI()*$I133/cw))</f>
        <v>5.3165940383955057E-2</v>
      </c>
      <c r="K133">
        <f>fQc*COS(2*PI()*$I133/qbo+$L133)+fQs*SIN(2*PI()*$I133/qbo+$L133)+fCs*SIN(2*PI()*$I133/cw)+fCc*COS(2*PI()*$I133/cw)</f>
        <v>-3.6251560532461267</v>
      </c>
      <c r="L133">
        <f>+QMA*COS(2*PI()*$I133/QM+QMP)</f>
        <v>-0.84905475413401943</v>
      </c>
      <c r="P133">
        <f t="shared" si="9"/>
        <v>0</v>
      </c>
    </row>
    <row r="134" spans="1:16" x14ac:dyDescent="0.25">
      <c r="A134" s="1"/>
      <c r="B134" t="s">
        <v>147</v>
      </c>
      <c r="C134" t="s">
        <v>24</v>
      </c>
      <c r="D134" s="3">
        <v>5.166666666666667</v>
      </c>
      <c r="E134" s="5">
        <f t="shared" si="5"/>
        <v>1773</v>
      </c>
      <c r="F134">
        <v>-1.4125700000000001</v>
      </c>
      <c r="G134">
        <f t="shared" si="6"/>
        <v>1.9438000000000002</v>
      </c>
      <c r="H134">
        <f t="shared" si="7"/>
        <v>1.9438000000000002</v>
      </c>
      <c r="I134" s="5">
        <f t="shared" si="8"/>
        <v>1773</v>
      </c>
      <c r="J134">
        <f>+H134+CF*F134*(1+($I134-1850)*slope/1000)+F134*hQc*COS(2*PI()*$I134/qbo+$L134)+F134*hQs*SIN(2*PI()*$I134/qbo+$L134)+F134*hCs*SIN(2*PI()*$I134/cw)+F134*hCc*COS(2*PI()*$I134/cw) +mix*F134*(hQc*COS(2*PI()*$I134/qbo+$L134)+hQs*SIN(2*PI()*$I134/qbo+$L134))*(hCs*SIN(2*PI()*$I134/cw)+hCc*COS(2*PI()*$I134/cw))</f>
        <v>-1.7248780524625622</v>
      </c>
      <c r="K134">
        <f>fQc*COS(2*PI()*$I134/qbo+$L134)+fQs*SIN(2*PI()*$I134/qbo+$L134)+fCs*SIN(2*PI()*$I134/cw)+fCc*COS(2*PI()*$I134/cw)</f>
        <v>2.0793468394773371</v>
      </c>
      <c r="L134">
        <f>+QMA*COS(2*PI()*$I134/QM+QMP)</f>
        <v>-0.8572185588652752</v>
      </c>
      <c r="P134">
        <f t="shared" si="9"/>
        <v>0</v>
      </c>
    </row>
    <row r="135" spans="1:16" x14ac:dyDescent="0.25">
      <c r="A135" s="1"/>
      <c r="B135" t="s">
        <v>148</v>
      </c>
      <c r="C135" t="s">
        <v>24</v>
      </c>
      <c r="D135" s="3">
        <v>5.208333333333333</v>
      </c>
      <c r="E135" s="5">
        <f t="shared" si="5"/>
        <v>1774</v>
      </c>
      <c r="F135">
        <v>-0.20832000000000001</v>
      </c>
      <c r="G135">
        <f t="shared" si="6"/>
        <v>-1.0641700000000001</v>
      </c>
      <c r="H135">
        <f t="shared" si="7"/>
        <v>-1.0641700000000001</v>
      </c>
      <c r="I135" s="5">
        <f t="shared" si="8"/>
        <v>1774</v>
      </c>
      <c r="J135">
        <f>+H135+CF*F135*(1+($I135-1850)*slope/1000)+F135*hQc*COS(2*PI()*$I135/qbo+$L135)+F135*hQs*SIN(2*PI()*$I135/qbo+$L135)+F135*hCs*SIN(2*PI()*$I135/cw)+F135*hCc*COS(2*PI()*$I135/cw) +mix*F135*(hQc*COS(2*PI()*$I135/qbo+$L135)+hQs*SIN(2*PI()*$I135/qbo+$L135))*(hCs*SIN(2*PI()*$I135/cw)+hCc*COS(2*PI()*$I135/cw))</f>
        <v>-1.4301345820744775</v>
      </c>
      <c r="K135">
        <f>fQc*COS(2*PI()*$I135/qbo+$L135)+fQs*SIN(2*PI()*$I135/qbo+$L135)+fCs*SIN(2*PI()*$I135/cw)+fCc*COS(2*PI()*$I135/cw)</f>
        <v>0.51869146768618202</v>
      </c>
      <c r="L135">
        <f>+QMA*COS(2*PI()*$I135/QM+QMP)</f>
        <v>-0.85048739583977739</v>
      </c>
      <c r="P135">
        <f t="shared" si="9"/>
        <v>0</v>
      </c>
    </row>
    <row r="136" spans="1:16" x14ac:dyDescent="0.25">
      <c r="A136" s="1"/>
      <c r="B136" t="s">
        <v>149</v>
      </c>
      <c r="C136" t="s">
        <v>24</v>
      </c>
      <c r="D136" s="3">
        <v>5.25</v>
      </c>
      <c r="E136" s="5">
        <f t="shared" si="5"/>
        <v>1775</v>
      </c>
      <c r="F136">
        <v>-6.8239999999999995E-2</v>
      </c>
      <c r="G136">
        <f t="shared" si="6"/>
        <v>-0.52205999999999997</v>
      </c>
      <c r="H136">
        <f t="shared" si="7"/>
        <v>-0.52205999999999997</v>
      </c>
      <c r="I136" s="5">
        <f t="shared" si="8"/>
        <v>1775</v>
      </c>
      <c r="J136">
        <f>+H136+CF*F136*(1+($I136-1850)*slope/1000)+F136*hQc*COS(2*PI()*$I136/qbo+$L136)+F136*hQs*SIN(2*PI()*$I136/qbo+$L136)+F136*hCs*SIN(2*PI()*$I136/cw)+F136*hCc*COS(2*PI()*$I136/cw) +mix*F136*(hQc*COS(2*PI()*$I136/qbo+$L136)+hQs*SIN(2*PI()*$I136/qbo+$L136))*(hCs*SIN(2*PI()*$I136/cw)+hCc*COS(2*PI()*$I136/cw))</f>
        <v>-0.70468408338869626</v>
      </c>
      <c r="K136">
        <f>fQc*COS(2*PI()*$I136/qbo+$L136)+fQs*SIN(2*PI()*$I136/qbo+$L136)+fCs*SIN(2*PI()*$I136/cw)+fCc*COS(2*PI()*$I136/cw)</f>
        <v>-2.2540841639093201</v>
      </c>
      <c r="L136">
        <f>+QMA*COS(2*PI()*$I136/QM+QMP)</f>
        <v>-0.82897822526002785</v>
      </c>
      <c r="P136">
        <f t="shared" si="9"/>
        <v>1</v>
      </c>
    </row>
    <row r="137" spans="1:16" x14ac:dyDescent="0.25">
      <c r="A137" s="1"/>
      <c r="B137" t="s">
        <v>150</v>
      </c>
      <c r="C137" t="s">
        <v>24</v>
      </c>
      <c r="D137" s="3">
        <v>5.291666666666667</v>
      </c>
      <c r="E137" s="5">
        <f t="shared" si="5"/>
        <v>1776</v>
      </c>
      <c r="F137">
        <v>-0.45022000000000001</v>
      </c>
      <c r="G137">
        <f t="shared" si="6"/>
        <v>0.28513000000000005</v>
      </c>
      <c r="H137">
        <f t="shared" si="7"/>
        <v>0.28513000000000005</v>
      </c>
      <c r="I137" s="5">
        <f t="shared" si="8"/>
        <v>1776</v>
      </c>
      <c r="J137">
        <f>+H137+CF*F137*(1+($I137-1850)*slope/1000)+F137*hQc*COS(2*PI()*$I137/qbo+$L137)+F137*hQs*SIN(2*PI()*$I137/qbo+$L137)+F137*hCs*SIN(2*PI()*$I137/cw)+F137*hCc*COS(2*PI()*$I137/cw) +mix*F137*(hQc*COS(2*PI()*$I137/qbo+$L137)+hQs*SIN(2*PI()*$I137/qbo+$L137))*(hCs*SIN(2*PI()*$I137/cw)+hCc*COS(2*PI()*$I137/cw))</f>
        <v>1.6658574046216552</v>
      </c>
      <c r="K137">
        <f>fQc*COS(2*PI()*$I137/qbo+$L137)+fQs*SIN(2*PI()*$I137/qbo+$L137)+fCs*SIN(2*PI()*$I137/cw)+fCc*COS(2*PI()*$I137/cw)</f>
        <v>3.8956570308545655</v>
      </c>
      <c r="L137">
        <f>+QMA*COS(2*PI()*$I137/QM+QMP)</f>
        <v>-0.79306478892027321</v>
      </c>
      <c r="P137">
        <f t="shared" si="9"/>
        <v>1</v>
      </c>
    </row>
    <row r="138" spans="1:16" x14ac:dyDescent="0.25">
      <c r="A138" s="1"/>
      <c r="B138" t="s">
        <v>151</v>
      </c>
      <c r="C138" t="s">
        <v>24</v>
      </c>
      <c r="D138" s="3">
        <v>5.333333333333333</v>
      </c>
      <c r="E138" s="5">
        <f t="shared" si="5"/>
        <v>1777</v>
      </c>
      <c r="F138">
        <v>-0.54706999999999995</v>
      </c>
      <c r="G138">
        <f t="shared" si="6"/>
        <v>-0.23581000000000013</v>
      </c>
      <c r="H138">
        <f t="shared" si="7"/>
        <v>-0.23581000000000013</v>
      </c>
      <c r="I138" s="5">
        <f t="shared" si="8"/>
        <v>1777</v>
      </c>
      <c r="J138">
        <f>+H138+CF*F138*(1+($I138-1850)*slope/1000)+F138*hQc*COS(2*PI()*$I138/qbo+$L138)+F138*hQs*SIN(2*PI()*$I138/qbo+$L138)+F138*hCs*SIN(2*PI()*$I138/cw)+F138*hCc*COS(2*PI()*$I138/cw) +mix*F138*(hQc*COS(2*PI()*$I138/qbo+$L138)+hQs*SIN(2*PI()*$I138/qbo+$L138))*(hCs*SIN(2*PI()*$I138/cw)+hCc*COS(2*PI()*$I138/cw))</f>
        <v>-2.8948077279465458</v>
      </c>
      <c r="K138">
        <f>fQc*COS(2*PI()*$I138/qbo+$L138)+fQs*SIN(2*PI()*$I138/qbo+$L138)+fCs*SIN(2*PI()*$I138/cw)+fCc*COS(2*PI()*$I138/cw)</f>
        <v>-5.0068430967187521</v>
      </c>
      <c r="L138">
        <f>+QMA*COS(2*PI()*$I138/QM+QMP)</f>
        <v>-0.74337111609613538</v>
      </c>
      <c r="P138">
        <f t="shared" si="9"/>
        <v>1</v>
      </c>
    </row>
    <row r="139" spans="1:16" x14ac:dyDescent="0.25">
      <c r="A139" s="1"/>
      <c r="B139" t="s">
        <v>152</v>
      </c>
      <c r="C139" t="s">
        <v>24</v>
      </c>
      <c r="D139" s="3">
        <v>5.375</v>
      </c>
      <c r="E139" s="5">
        <f t="shared" si="5"/>
        <v>1778</v>
      </c>
      <c r="F139">
        <v>-0.87973000000000001</v>
      </c>
      <c r="G139">
        <f t="shared" si="6"/>
        <v>0.59026000000000012</v>
      </c>
      <c r="H139">
        <f t="shared" si="7"/>
        <v>0.59026000000000012</v>
      </c>
      <c r="I139" s="5">
        <f t="shared" si="8"/>
        <v>1778</v>
      </c>
      <c r="J139">
        <f>+H139+CF*F139*(1+($I139-1850)*slope/1000)+F139*hQc*COS(2*PI()*$I139/qbo+$L139)+F139*hQs*SIN(2*PI()*$I139/qbo+$L139)+F139*hCs*SIN(2*PI()*$I139/cw)+F139*hCc*COS(2*PI()*$I139/cw) +mix*F139*(hQc*COS(2*PI()*$I139/qbo+$L139)+hQs*SIN(2*PI()*$I139/qbo+$L139))*(hCs*SIN(2*PI()*$I139/cw)+hCc*COS(2*PI()*$I139/cw))</f>
        <v>1.9629564363195988</v>
      </c>
      <c r="K139">
        <f>fQc*COS(2*PI()*$I139/qbo+$L139)+fQs*SIN(2*PI()*$I139/qbo+$L139)+fCs*SIN(2*PI()*$I139/cw)+fCc*COS(2*PI()*$I139/cw)</f>
        <v>4.7325042462090368</v>
      </c>
      <c r="L139">
        <f>+QMA*COS(2*PI()*$I139/QM+QMP)</f>
        <v>-0.68076068045688898</v>
      </c>
      <c r="P139">
        <f t="shared" si="9"/>
        <v>1</v>
      </c>
    </row>
    <row r="140" spans="1:16" x14ac:dyDescent="0.25">
      <c r="A140" s="1"/>
      <c r="B140" t="s">
        <v>153</v>
      </c>
      <c r="C140" t="s">
        <v>24</v>
      </c>
      <c r="D140" s="3">
        <v>5.416666666666667</v>
      </c>
      <c r="E140" s="5">
        <f t="shared" si="5"/>
        <v>1779</v>
      </c>
      <c r="F140">
        <v>-0.62212999999999996</v>
      </c>
      <c r="G140">
        <f t="shared" si="6"/>
        <v>0.30409999999999993</v>
      </c>
      <c r="H140">
        <f t="shared" si="7"/>
        <v>0.30409999999999993</v>
      </c>
      <c r="I140" s="5">
        <f t="shared" si="8"/>
        <v>1779</v>
      </c>
      <c r="J140">
        <f>+H140+CF*F140*(1+($I140-1850)*slope/1000)+F140*hQc*COS(2*PI()*$I140/qbo+$L140)+F140*hQs*SIN(2*PI()*$I140/qbo+$L140)+F140*hCs*SIN(2*PI()*$I140/cw)+F140*hCc*COS(2*PI()*$I140/cw) +mix*F140*(hQc*COS(2*PI()*$I140/qbo+$L140)+hQs*SIN(2*PI()*$I140/qbo+$L140))*(hCs*SIN(2*PI()*$I140/cw)+hCc*COS(2*PI()*$I140/cw))</f>
        <v>-0.82964709737954623</v>
      </c>
      <c r="K140">
        <f>fQc*COS(2*PI()*$I140/qbo+$L140)+fQs*SIN(2*PI()*$I140/qbo+$L140)+fCs*SIN(2*PI()*$I140/cw)+fCc*COS(2*PI()*$I140/cw)</f>
        <v>-4.5305779289875607</v>
      </c>
      <c r="L140">
        <f>+QMA*COS(2*PI()*$I140/QM+QMP)</f>
        <v>-0.60632139640950644</v>
      </c>
      <c r="P140">
        <f t="shared" si="9"/>
        <v>1</v>
      </c>
    </row>
    <row r="141" spans="1:16" x14ac:dyDescent="0.25">
      <c r="A141" s="1"/>
      <c r="B141" t="s">
        <v>154</v>
      </c>
      <c r="C141" t="s">
        <v>24</v>
      </c>
      <c r="D141" s="3">
        <v>5.458333333333333</v>
      </c>
      <c r="E141" s="5">
        <f t="shared" ref="E141:E204" si="10">+E140+1</f>
        <v>1780</v>
      </c>
      <c r="F141">
        <v>-6.0429999999999998E-2</v>
      </c>
      <c r="G141">
        <f t="shared" ref="G141:G204" si="11">+(F142-F141)-(F141-F140)</f>
        <v>-1.3107199999999999</v>
      </c>
      <c r="H141">
        <f t="shared" ref="H141:H204" si="12">+G141</f>
        <v>-1.3107199999999999</v>
      </c>
      <c r="I141" s="5">
        <f t="shared" si="8"/>
        <v>1780</v>
      </c>
      <c r="J141">
        <f>+H141+CF*F141*(1+($I141-1850)*slope/1000)+F141*hQc*COS(2*PI()*$I141/qbo+$L141)+F141*hQs*SIN(2*PI()*$I141/qbo+$L141)+F141*hCs*SIN(2*PI()*$I141/cw)+F141*hCc*COS(2*PI()*$I141/cw) +mix*F141*(hQc*COS(2*PI()*$I141/qbo+$L141)+hQs*SIN(2*PI()*$I141/qbo+$L141))*(hCs*SIN(2*PI()*$I141/cw)+hCc*COS(2*PI()*$I141/cw))</f>
        <v>-1.4925362391028929</v>
      </c>
      <c r="K141">
        <f>fQc*COS(2*PI()*$I141/qbo+$L141)+fQs*SIN(2*PI()*$I141/qbo+$L141)+fCs*SIN(2*PI()*$I141/cw)+fCc*COS(2*PI()*$I141/cw)</f>
        <v>3.1853778383714673</v>
      </c>
      <c r="L141">
        <f>+QMA*COS(2*PI()*$I141/QM+QMP)</f>
        <v>-0.52134671557638224</v>
      </c>
      <c r="P141">
        <f t="shared" si="9"/>
        <v>0</v>
      </c>
    </row>
    <row r="142" spans="1:16" x14ac:dyDescent="0.25">
      <c r="A142" s="1"/>
      <c r="B142" t="s">
        <v>155</v>
      </c>
      <c r="C142" t="s">
        <v>24</v>
      </c>
      <c r="D142" s="3">
        <v>5.5</v>
      </c>
      <c r="E142" s="5">
        <f t="shared" si="10"/>
        <v>1781</v>
      </c>
      <c r="F142">
        <v>-0.80945</v>
      </c>
      <c r="G142">
        <f t="shared" si="11"/>
        <v>0.48418000000000005</v>
      </c>
      <c r="H142">
        <f t="shared" si="12"/>
        <v>0.48418000000000005</v>
      </c>
      <c r="I142" s="5">
        <f t="shared" ref="I142:I205" si="13">+E142</f>
        <v>1781</v>
      </c>
      <c r="J142">
        <f>+H142+CF*F142*(1+($I142-1850)*slope/1000)+F142*hQc*COS(2*PI()*$I142/qbo+$L142)+F142*hQs*SIN(2*PI()*$I142/qbo+$L142)+F142*hCs*SIN(2*PI()*$I142/cw)+F142*hCc*COS(2*PI()*$I142/cw) +mix*F142*(hQc*COS(2*PI()*$I142/qbo+$L142)+hQs*SIN(2*PI()*$I142/qbo+$L142))*(hCs*SIN(2*PI()*$I142/cw)+hCc*COS(2*PI()*$I142/cw))</f>
        <v>-1.170039001249543</v>
      </c>
      <c r="K142">
        <f>fQc*COS(2*PI()*$I142/qbo+$L142)+fQs*SIN(2*PI()*$I142/qbo+$L142)+fCs*SIN(2*PI()*$I142/cw)+fCc*COS(2*PI()*$I142/cw)</f>
        <v>-1.5322188375576073</v>
      </c>
      <c r="L142">
        <f>+QMA*COS(2*PI()*$I142/QM+QMP)</f>
        <v>-0.42731315187341529</v>
      </c>
      <c r="P142">
        <f t="shared" ref="P142:P205" si="14">+IF(J142*K142&gt;0,1, 0)</f>
        <v>1</v>
      </c>
    </row>
    <row r="143" spans="1:16" x14ac:dyDescent="0.25">
      <c r="A143" s="1"/>
      <c r="B143" t="s">
        <v>156</v>
      </c>
      <c r="C143" t="s">
        <v>24</v>
      </c>
      <c r="D143" s="3">
        <v>5.541666666666667</v>
      </c>
      <c r="E143" s="5">
        <f t="shared" si="10"/>
        <v>1782</v>
      </c>
      <c r="F143">
        <v>-1.07429</v>
      </c>
      <c r="G143">
        <f t="shared" si="11"/>
        <v>2.16337</v>
      </c>
      <c r="H143">
        <f t="shared" si="12"/>
        <v>2.16337</v>
      </c>
      <c r="I143" s="5">
        <f t="shared" si="13"/>
        <v>1782</v>
      </c>
      <c r="J143">
        <f>+H143+CF*F143*(1+($I143-1850)*slope/1000)+F143*hQc*COS(2*PI()*$I143/qbo+$L143)+F143*hQs*SIN(2*PI()*$I143/qbo+$L143)+F143*hCs*SIN(2*PI()*$I143/cw)+F143*hCc*COS(2*PI()*$I143/cw) +mix*F143*(hQc*COS(2*PI()*$I143/qbo+$L143)+hQs*SIN(2*PI()*$I143/qbo+$L143))*(hCs*SIN(2*PI()*$I143/cw)+hCc*COS(2*PI()*$I143/cw))</f>
        <v>0.34083260700348017</v>
      </c>
      <c r="K143">
        <f>fQc*COS(2*PI()*$I143/qbo+$L143)+fQs*SIN(2*PI()*$I143/qbo+$L143)+fCs*SIN(2*PI()*$I143/cw)+fCc*COS(2*PI()*$I143/cw)</f>
        <v>0.15785145880813106</v>
      </c>
      <c r="L143">
        <f>+QMA*COS(2*PI()*$I143/QM+QMP)</f>
        <v>-0.32585462571093454</v>
      </c>
      <c r="P143">
        <f t="shared" si="14"/>
        <v>1</v>
      </c>
    </row>
    <row r="144" spans="1:16" x14ac:dyDescent="0.25">
      <c r="A144" s="1"/>
      <c r="B144" t="s">
        <v>157</v>
      </c>
      <c r="C144" t="s">
        <v>24</v>
      </c>
      <c r="D144" s="3">
        <v>5.583333333333333</v>
      </c>
      <c r="E144" s="5">
        <f t="shared" si="10"/>
        <v>1783</v>
      </c>
      <c r="F144">
        <v>0.82423999999999997</v>
      </c>
      <c r="G144">
        <f t="shared" si="11"/>
        <v>-1.2054200000000002</v>
      </c>
      <c r="H144">
        <f t="shared" si="12"/>
        <v>-1.2054200000000002</v>
      </c>
      <c r="I144" s="5">
        <f t="shared" si="13"/>
        <v>1783</v>
      </c>
      <c r="J144">
        <f>+H144+CF*F144*(1+($I144-1850)*slope/1000)+F144*hQc*COS(2*PI()*$I144/qbo+$L144)+F144*hQs*SIN(2*PI()*$I144/qbo+$L144)+F144*hCs*SIN(2*PI()*$I144/cw)+F144*hCc*COS(2*PI()*$I144/cw) +mix*F144*(hQc*COS(2*PI()*$I144/qbo+$L144)+hQs*SIN(2*PI()*$I144/qbo+$L144))*(hCs*SIN(2*PI()*$I144/cw)+hCc*COS(2*PI()*$I144/cw))</f>
        <v>-4.5287028122983325E-2</v>
      </c>
      <c r="K144">
        <f>fQc*COS(2*PI()*$I144/qbo+$L144)+fQs*SIN(2*PI()*$I144/qbo+$L144)+fCs*SIN(2*PI()*$I144/cw)+fCc*COS(2*PI()*$I144/cw)</f>
        <v>1.9453313839675208</v>
      </c>
      <c r="L144">
        <f>+QMA*COS(2*PI()*$I144/QM+QMP)</f>
        <v>-0.21873407311055543</v>
      </c>
      <c r="P144">
        <f t="shared" si="14"/>
        <v>0</v>
      </c>
    </row>
    <row r="145" spans="1:16" x14ac:dyDescent="0.25">
      <c r="A145" s="1"/>
      <c r="B145" t="s">
        <v>158</v>
      </c>
      <c r="C145" t="s">
        <v>24</v>
      </c>
      <c r="D145" s="3">
        <v>5.625</v>
      </c>
      <c r="E145" s="5">
        <f t="shared" si="10"/>
        <v>1784</v>
      </c>
      <c r="F145">
        <v>1.51735</v>
      </c>
      <c r="G145">
        <f t="shared" si="11"/>
        <v>-2.7677499999999999</v>
      </c>
      <c r="H145">
        <f t="shared" si="12"/>
        <v>-2.7677499999999999</v>
      </c>
      <c r="I145" s="5">
        <f t="shared" si="13"/>
        <v>1784</v>
      </c>
      <c r="J145">
        <f>+H145+CF*F145*(1+($I145-1850)*slope/1000)+F145*hQc*COS(2*PI()*$I145/qbo+$L145)+F145*hQs*SIN(2*PI()*$I145/qbo+$L145)+F145*hCs*SIN(2*PI()*$I145/cw)+F145*hCc*COS(2*PI()*$I145/cw) +mix*F145*(hQc*COS(2*PI()*$I145/qbo+$L145)+hQs*SIN(2*PI()*$I145/qbo+$L145))*(hCs*SIN(2*PI()*$I145/cw)+hCc*COS(2*PI()*$I145/cw))</f>
        <v>1.9745829686317093</v>
      </c>
      <c r="K145">
        <f>fQc*COS(2*PI()*$I145/qbo+$L145)+fQs*SIN(2*PI()*$I145/qbo+$L145)+fCs*SIN(2*PI()*$I145/cw)+fCc*COS(2*PI()*$I145/cw)</f>
        <v>-3.1242598429780379</v>
      </c>
      <c r="L145">
        <f>+QMA*COS(2*PI()*$I145/QM+QMP)</f>
        <v>-0.10781281305627123</v>
      </c>
      <c r="P145">
        <f t="shared" si="14"/>
        <v>0</v>
      </c>
    </row>
    <row r="146" spans="1:16" x14ac:dyDescent="0.25">
      <c r="A146" s="1"/>
      <c r="B146" t="s">
        <v>159</v>
      </c>
      <c r="C146" t="s">
        <v>24</v>
      </c>
      <c r="D146" s="3">
        <v>5.666666666666667</v>
      </c>
      <c r="E146" s="5">
        <f t="shared" si="10"/>
        <v>1785</v>
      </c>
      <c r="F146">
        <v>-0.55728999999999995</v>
      </c>
      <c r="G146">
        <f t="shared" si="11"/>
        <v>1.5596000000000001</v>
      </c>
      <c r="H146">
        <f t="shared" si="12"/>
        <v>1.5596000000000001</v>
      </c>
      <c r="I146" s="5">
        <f t="shared" si="13"/>
        <v>1785</v>
      </c>
      <c r="J146">
        <f>+H146+CF*F146*(1+($I146-1850)*slope/1000)+F146*hQc*COS(2*PI()*$I146/qbo+$L146)+F146*hQs*SIN(2*PI()*$I146/qbo+$L146)+F146*hCs*SIN(2*PI()*$I146/cw)+F146*hCc*COS(2*PI()*$I146/cw) +mix*F146*(hQc*COS(2*PI()*$I146/qbo+$L146)+hQs*SIN(2*PI()*$I146/qbo+$L146))*(hCs*SIN(2*PI()*$I146/cw)+hCc*COS(2*PI()*$I146/cw))</f>
        <v>3.5036576785989411</v>
      </c>
      <c r="K146">
        <f>fQc*COS(2*PI()*$I146/qbo+$L146)+fQs*SIN(2*PI()*$I146/qbo+$L146)+fCs*SIN(2*PI()*$I146/cw)+fCc*COS(2*PI()*$I146/cw)</f>
        <v>4.2339919633346099</v>
      </c>
      <c r="L146">
        <f>+QMA*COS(2*PI()*$I146/QM+QMP)</f>
        <v>4.9817946496821539E-3</v>
      </c>
      <c r="P146">
        <f t="shared" si="14"/>
        <v>1</v>
      </c>
    </row>
    <row r="147" spans="1:16" x14ac:dyDescent="0.25">
      <c r="A147" s="1"/>
      <c r="B147" t="s">
        <v>160</v>
      </c>
      <c r="C147" t="s">
        <v>24</v>
      </c>
      <c r="D147" s="3">
        <v>5.708333333333333</v>
      </c>
      <c r="E147" s="5">
        <f t="shared" si="10"/>
        <v>1786</v>
      </c>
      <c r="F147">
        <v>-1.07233</v>
      </c>
      <c r="G147">
        <f t="shared" si="11"/>
        <v>1.5132400000000001</v>
      </c>
      <c r="H147">
        <f t="shared" si="12"/>
        <v>1.5132400000000001</v>
      </c>
      <c r="I147" s="5">
        <f t="shared" si="13"/>
        <v>1786</v>
      </c>
      <c r="J147">
        <f>+H147+CF*F147*(1+($I147-1850)*slope/1000)+F147*hQc*COS(2*PI()*$I147/qbo+$L147)+F147*hQs*SIN(2*PI()*$I147/qbo+$L147)+F147*hCs*SIN(2*PI()*$I147/cw)+F147*hCc*COS(2*PI()*$I147/cw) +mix*F147*(hQc*COS(2*PI()*$I147/qbo+$L147)+hQs*SIN(2*PI()*$I147/qbo+$L147))*(hCs*SIN(2*PI()*$I147/cw)+hCc*COS(2*PI()*$I147/cw))</f>
        <v>-3.519776234995255</v>
      </c>
      <c r="K147">
        <f>fQc*COS(2*PI()*$I147/qbo+$L147)+fQs*SIN(2*PI()*$I147/qbo+$L147)+fCs*SIN(2*PI()*$I147/cw)+fCc*COS(2*PI()*$I147/cw)</f>
        <v>-5.094169430984663</v>
      </c>
      <c r="L147">
        <f>+QMA*COS(2*PI()*$I147/QM+QMP)</f>
        <v>0.11768983905166788</v>
      </c>
      <c r="P147">
        <f t="shared" si="14"/>
        <v>1</v>
      </c>
    </row>
    <row r="148" spans="1:16" x14ac:dyDescent="0.25">
      <c r="A148" s="1"/>
      <c r="B148" t="s">
        <v>161</v>
      </c>
      <c r="C148" t="s">
        <v>24</v>
      </c>
      <c r="D148" s="3">
        <v>5.75</v>
      </c>
      <c r="E148" s="5">
        <f t="shared" si="10"/>
        <v>1787</v>
      </c>
      <c r="F148">
        <v>-7.4130000000000001E-2</v>
      </c>
      <c r="G148">
        <f t="shared" si="11"/>
        <v>-0.81238999999999995</v>
      </c>
      <c r="H148">
        <f t="shared" si="12"/>
        <v>-0.81238999999999995</v>
      </c>
      <c r="I148" s="5">
        <f t="shared" si="13"/>
        <v>1787</v>
      </c>
      <c r="J148">
        <f>+H148+CF*F148*(1+($I148-1850)*slope/1000)+F148*hQc*COS(2*PI()*$I148/qbo+$L148)+F148*hQs*SIN(2*PI()*$I148/qbo+$L148)+F148*hCs*SIN(2*PI()*$I148/cw)+F148*hCc*COS(2*PI()*$I148/cw) +mix*F148*(hQc*COS(2*PI()*$I148/qbo+$L148)+hQs*SIN(2*PI()*$I148/qbo+$L148))*(hCs*SIN(2*PI()*$I148/cw)+hCc*COS(2*PI()*$I148/cw))</f>
        <v>-0.72230664392597965</v>
      </c>
      <c r="K148">
        <f>fQc*COS(2*PI()*$I148/qbo+$L148)+fQs*SIN(2*PI()*$I148/qbo+$L148)+fCs*SIN(2*PI()*$I148/cw)+fCc*COS(2*PI()*$I148/cw)</f>
        <v>4.7230233162062794</v>
      </c>
      <c r="L148">
        <f>+QMA*COS(2*PI()*$I148/QM+QMP)</f>
        <v>0.22835291331176585</v>
      </c>
      <c r="P148">
        <f t="shared" si="14"/>
        <v>0</v>
      </c>
    </row>
    <row r="149" spans="1:16" x14ac:dyDescent="0.25">
      <c r="A149" s="1"/>
      <c r="B149" t="s">
        <v>162</v>
      </c>
      <c r="C149" t="s">
        <v>24</v>
      </c>
      <c r="D149" s="3">
        <v>5.791666666666667</v>
      </c>
      <c r="E149" s="5">
        <f t="shared" si="10"/>
        <v>1788</v>
      </c>
      <c r="F149">
        <v>0.11168</v>
      </c>
      <c r="G149">
        <f t="shared" si="11"/>
        <v>-1.2239200000000001</v>
      </c>
      <c r="H149">
        <f t="shared" si="12"/>
        <v>-1.2239200000000001</v>
      </c>
      <c r="I149" s="5">
        <f t="shared" si="13"/>
        <v>1788</v>
      </c>
      <c r="J149">
        <f>+H149+CF*F149*(1+($I149-1850)*slope/1000)+F149*hQc*COS(2*PI()*$I149/qbo+$L149)+F149*hQs*SIN(2*PI()*$I149/qbo+$L149)+F149*hCs*SIN(2*PI()*$I149/cw)+F149*hCc*COS(2*PI()*$I149/cw) +mix*F149*(hQc*COS(2*PI()*$I149/qbo+$L149)+hQs*SIN(2*PI()*$I149/qbo+$L149))*(hCs*SIN(2*PI()*$I149/cw)+hCc*COS(2*PI()*$I149/cw))</f>
        <v>-1.0486766158854288</v>
      </c>
      <c r="K149">
        <f>fQc*COS(2*PI()*$I149/qbo+$L149)+fQs*SIN(2*PI()*$I149/qbo+$L149)+fCs*SIN(2*PI()*$I149/cw)+fCc*COS(2*PI()*$I149/cw)</f>
        <v>-4.5485331269153058</v>
      </c>
      <c r="L149">
        <f>+QMA*COS(2*PI()*$I149/QM+QMP)</f>
        <v>0.33504814384542714</v>
      </c>
      <c r="P149">
        <f t="shared" si="14"/>
        <v>1</v>
      </c>
    </row>
    <row r="150" spans="1:16" x14ac:dyDescent="0.25">
      <c r="A150" s="1"/>
      <c r="B150" t="s">
        <v>163</v>
      </c>
      <c r="C150" t="s">
        <v>24</v>
      </c>
      <c r="D150" s="3">
        <v>5.833333333333333</v>
      </c>
      <c r="E150" s="5">
        <f t="shared" si="10"/>
        <v>1789</v>
      </c>
      <c r="F150">
        <v>-0.92642999999999998</v>
      </c>
      <c r="G150">
        <f t="shared" si="11"/>
        <v>0.5069800000000001</v>
      </c>
      <c r="H150">
        <f t="shared" si="12"/>
        <v>0.5069800000000001</v>
      </c>
      <c r="I150" s="5">
        <f t="shared" si="13"/>
        <v>1789</v>
      </c>
      <c r="J150">
        <f>+H150+CF*F150*(1+($I150-1850)*slope/1000)+F150*hQc*COS(2*PI()*$I150/qbo+$L150)+F150*hQs*SIN(2*PI()*$I150/qbo+$L150)+F150*hCs*SIN(2*PI()*$I150/cw)+F150*hCc*COS(2*PI()*$I150/cw) +mix*F150*(hQc*COS(2*PI()*$I150/qbo+$L150)+hQs*SIN(2*PI()*$I150/qbo+$L150))*(hCs*SIN(2*PI()*$I150/cw)+hCc*COS(2*PI()*$I150/cw))</f>
        <v>-2.4230057902458024</v>
      </c>
      <c r="K150">
        <f>fQc*COS(2*PI()*$I150/qbo+$L150)+fQs*SIN(2*PI()*$I150/qbo+$L150)+fCs*SIN(2*PI()*$I150/cw)+fCc*COS(2*PI()*$I150/cw)</f>
        <v>3.3253138759719003</v>
      </c>
      <c r="L150">
        <f>+QMA*COS(2*PI()*$I150/QM+QMP)</f>
        <v>0.43592160203423325</v>
      </c>
      <c r="P150">
        <f t="shared" si="14"/>
        <v>0</v>
      </c>
    </row>
    <row r="151" spans="1:16" x14ac:dyDescent="0.25">
      <c r="A151" s="1"/>
      <c r="B151" t="s">
        <v>164</v>
      </c>
      <c r="C151" t="s">
        <v>24</v>
      </c>
      <c r="D151" s="3">
        <v>5.875</v>
      </c>
      <c r="E151" s="5">
        <f t="shared" si="10"/>
        <v>1790</v>
      </c>
      <c r="F151">
        <v>-1.45756</v>
      </c>
      <c r="G151">
        <f t="shared" si="11"/>
        <v>3.2947699999999998</v>
      </c>
      <c r="H151">
        <f t="shared" si="12"/>
        <v>3.2947699999999998</v>
      </c>
      <c r="I151" s="5">
        <f t="shared" si="13"/>
        <v>1790</v>
      </c>
      <c r="J151">
        <f>+H151+CF*F151*(1+($I151-1850)*slope/1000)+F151*hQc*COS(2*PI()*$I151/qbo+$L151)+F151*hQs*SIN(2*PI()*$I151/qbo+$L151)+F151*hCs*SIN(2*PI()*$I151/cw)+F151*hCc*COS(2*PI()*$I151/cw) +mix*F151*(hQc*COS(2*PI()*$I151/qbo+$L151)+hQs*SIN(2*PI()*$I151/qbo+$L151))*(hCs*SIN(2*PI()*$I151/cw)+hCc*COS(2*PI()*$I151/cw))</f>
        <v>0.53792822363359816</v>
      </c>
      <c r="K151">
        <f>fQc*COS(2*PI()*$I151/qbo+$L151)+fQs*SIN(2*PI()*$I151/qbo+$L151)+fCs*SIN(2*PI()*$I151/cw)+fCc*COS(2*PI()*$I151/cw)</f>
        <v>-1.6537917788967391</v>
      </c>
      <c r="L151">
        <f>+QMA*COS(2*PI()*$I151/QM+QMP)</f>
        <v>0.52922051795534908</v>
      </c>
      <c r="P151">
        <f t="shared" si="14"/>
        <v>0</v>
      </c>
    </row>
    <row r="152" spans="1:16" x14ac:dyDescent="0.25">
      <c r="A152" s="1"/>
      <c r="B152" t="s">
        <v>165</v>
      </c>
      <c r="C152" t="s">
        <v>24</v>
      </c>
      <c r="D152" s="3">
        <v>5.916666666666667</v>
      </c>
      <c r="E152" s="5">
        <f t="shared" si="10"/>
        <v>1791</v>
      </c>
      <c r="F152">
        <v>1.3060799999999999</v>
      </c>
      <c r="G152">
        <f t="shared" si="11"/>
        <v>-1.8857299999999995</v>
      </c>
      <c r="H152">
        <f t="shared" si="12"/>
        <v>-1.8857299999999995</v>
      </c>
      <c r="I152" s="5">
        <f t="shared" si="13"/>
        <v>1791</v>
      </c>
      <c r="J152">
        <f>+H152+CF*F152*(1+($I152-1850)*slope/1000)+F152*hQc*COS(2*PI()*$I152/qbo+$L152)+F152*hQs*SIN(2*PI()*$I152/qbo+$L152)+F152*hCs*SIN(2*PI()*$I152/cw)+F152*hCc*COS(2*PI()*$I152/cw) +mix*F152*(hQc*COS(2*PI()*$I152/qbo+$L152)+hQs*SIN(2*PI()*$I152/qbo+$L152))*(hCs*SIN(2*PI()*$I152/cw)+hCc*COS(2*PI()*$I152/cw))</f>
        <v>0.25905033012277223</v>
      </c>
      <c r="K152">
        <f>fQc*COS(2*PI()*$I152/qbo+$L152)+fQs*SIN(2*PI()*$I152/qbo+$L152)+fCs*SIN(2*PI()*$I152/cw)+fCc*COS(2*PI()*$I152/cw)</f>
        <v>0.22538075475886352</v>
      </c>
      <c r="L152">
        <f>+QMA*COS(2*PI()*$I152/QM+QMP)</f>
        <v>0.61332373638524074</v>
      </c>
      <c r="P152">
        <f t="shared" si="14"/>
        <v>1</v>
      </c>
    </row>
    <row r="153" spans="1:16" x14ac:dyDescent="0.25">
      <c r="A153" s="1"/>
      <c r="B153" t="s">
        <v>166</v>
      </c>
      <c r="C153" t="s">
        <v>24</v>
      </c>
      <c r="D153" s="3">
        <v>5.958333333333333</v>
      </c>
      <c r="E153" s="5">
        <f t="shared" si="10"/>
        <v>1792</v>
      </c>
      <c r="F153">
        <v>2.1839900000000001</v>
      </c>
      <c r="G153">
        <f t="shared" si="11"/>
        <v>-1.3871000000000002</v>
      </c>
      <c r="H153">
        <f t="shared" si="12"/>
        <v>-1.3871000000000002</v>
      </c>
      <c r="I153" s="5">
        <f t="shared" si="13"/>
        <v>1792</v>
      </c>
      <c r="J153">
        <f>+H153+CF*F153*(1+($I153-1850)*slope/1000)+F153*hQc*COS(2*PI()*$I153/qbo+$L153)+F153*hQs*SIN(2*PI()*$I153/qbo+$L153)+F153*hCs*SIN(2*PI()*$I153/cw)+F153*hCc*COS(2*PI()*$I153/cw) +mix*F153*(hQc*COS(2*PI()*$I153/qbo+$L153)+hQs*SIN(2*PI()*$I153/qbo+$L153))*(hCs*SIN(2*PI()*$I153/cw)+hCc*COS(2*PI()*$I153/cw))</f>
        <v>0.84532618283754535</v>
      </c>
      <c r="K153">
        <f>fQc*COS(2*PI()*$I153/qbo+$L153)+fQs*SIN(2*PI()*$I153/qbo+$L153)+fCs*SIN(2*PI()*$I153/cw)+fCc*COS(2*PI()*$I153/cw)</f>
        <v>2.0319100135801991</v>
      </c>
      <c r="L153">
        <f>+QMA*COS(2*PI()*$I153/QM+QMP)</f>
        <v>0.68676988587582766</v>
      </c>
      <c r="P153">
        <f t="shared" si="14"/>
        <v>1</v>
      </c>
    </row>
    <row r="154" spans="1:16" x14ac:dyDescent="0.25">
      <c r="A154" s="1"/>
      <c r="B154" t="s">
        <v>167</v>
      </c>
      <c r="C154" t="s">
        <v>24</v>
      </c>
      <c r="D154" s="3">
        <v>6</v>
      </c>
      <c r="E154" s="5">
        <f t="shared" si="10"/>
        <v>1793</v>
      </c>
      <c r="F154">
        <v>1.6748000000000001</v>
      </c>
      <c r="G154">
        <f t="shared" si="11"/>
        <v>-0.90332000000000012</v>
      </c>
      <c r="H154">
        <f t="shared" si="12"/>
        <v>-0.90332000000000012</v>
      </c>
      <c r="I154" s="5">
        <f t="shared" si="13"/>
        <v>1793</v>
      </c>
      <c r="J154">
        <f>+H154+CF*F154*(1+($I154-1850)*slope/1000)+F154*hQc*COS(2*PI()*$I154/qbo+$L154)+F154*hQs*SIN(2*PI()*$I154/qbo+$L154)+F154*hCs*SIN(2*PI()*$I154/cw)+F154*hCc*COS(2*PI()*$I154/cw) +mix*F154*(hQc*COS(2*PI()*$I154/qbo+$L154)+hQs*SIN(2*PI()*$I154/qbo+$L154))*(hCs*SIN(2*PI()*$I154/cw)+hCc*COS(2*PI()*$I154/cw))</f>
        <v>4.7074461822565592</v>
      </c>
      <c r="K154">
        <f>fQc*COS(2*PI()*$I154/qbo+$L154)+fQs*SIN(2*PI()*$I154/qbo+$L154)+fCs*SIN(2*PI()*$I154/cw)+fCc*COS(2*PI()*$I154/cw)</f>
        <v>-3.4085184112897093</v>
      </c>
      <c r="L154">
        <f>+QMA*COS(2*PI()*$I154/QM+QMP)</f>
        <v>0.74828277143897115</v>
      </c>
      <c r="P154">
        <f t="shared" si="14"/>
        <v>0</v>
      </c>
    </row>
    <row r="155" spans="1:16" x14ac:dyDescent="0.25">
      <c r="A155" s="1"/>
      <c r="B155" t="s">
        <v>168</v>
      </c>
      <c r="C155" t="s">
        <v>24</v>
      </c>
      <c r="D155" s="3">
        <v>6.041666666666667</v>
      </c>
      <c r="E155" s="5">
        <f t="shared" si="10"/>
        <v>1794</v>
      </c>
      <c r="F155">
        <v>0.26229000000000002</v>
      </c>
      <c r="G155">
        <f t="shared" si="11"/>
        <v>1.7649700000000001</v>
      </c>
      <c r="H155">
        <f t="shared" si="12"/>
        <v>1.7649700000000001</v>
      </c>
      <c r="I155" s="5">
        <f t="shared" si="13"/>
        <v>1794</v>
      </c>
      <c r="J155">
        <f>+H155+CF*F155*(1+($I155-1850)*slope/1000)+F155*hQc*COS(2*PI()*$I155/qbo+$L155)+F155*hQs*SIN(2*PI()*$I155/qbo+$L155)+F155*hCs*SIN(2*PI()*$I155/cw)+F155*hCc*COS(2*PI()*$I155/cw) +mix*F155*(hQc*COS(2*PI()*$I155/qbo+$L155)+hQs*SIN(2*PI()*$I155/qbo+$L155))*(hCs*SIN(2*PI()*$I155/cw)+hCc*COS(2*PI()*$I155/cw))</f>
        <v>0.76559075482487615</v>
      </c>
      <c r="K155">
        <f>fQc*COS(2*PI()*$I155/qbo+$L155)+fQs*SIN(2*PI()*$I155/qbo+$L155)+fCs*SIN(2*PI()*$I155/cw)+fCc*COS(2*PI()*$I155/cw)</f>
        <v>4.514308593397649</v>
      </c>
      <c r="L155">
        <f>+QMA*COS(2*PI()*$I155/QM+QMP)</f>
        <v>0.79679354961859172</v>
      </c>
      <c r="P155">
        <f t="shared" si="14"/>
        <v>1</v>
      </c>
    </row>
    <row r="156" spans="1:16" x14ac:dyDescent="0.25">
      <c r="A156" s="1"/>
      <c r="B156" t="s">
        <v>169</v>
      </c>
      <c r="C156" t="s">
        <v>24</v>
      </c>
      <c r="D156" s="3">
        <v>6.083333333333333</v>
      </c>
      <c r="E156" s="5">
        <f t="shared" si="10"/>
        <v>1795</v>
      </c>
      <c r="F156">
        <v>0.61475000000000002</v>
      </c>
      <c r="G156">
        <f t="shared" si="11"/>
        <v>-0.77715000000000001</v>
      </c>
      <c r="H156">
        <f t="shared" si="12"/>
        <v>-0.77715000000000001</v>
      </c>
      <c r="I156" s="5">
        <f t="shared" si="13"/>
        <v>1795</v>
      </c>
      <c r="J156">
        <f>+H156+CF*F156*(1+($I156-1850)*slope/1000)+F156*hQc*COS(2*PI()*$I156/qbo+$L156)+F156*hQs*SIN(2*PI()*$I156/qbo+$L156)+F156*hCs*SIN(2*PI()*$I156/cw)+F156*hCc*COS(2*PI()*$I156/cw) +mix*F156*(hQc*COS(2*PI()*$I156/qbo+$L156)+hQs*SIN(2*PI()*$I156/qbo+$L156))*(hCs*SIN(2*PI()*$I156/cw)+hCc*COS(2*PI()*$I156/cw))</f>
        <v>1.9184648765837884</v>
      </c>
      <c r="K156">
        <f>fQc*COS(2*PI()*$I156/qbo+$L156)+fQs*SIN(2*PI()*$I156/qbo+$L156)+fCs*SIN(2*PI()*$I156/cw)+fCc*COS(2*PI()*$I156/cw)</f>
        <v>-5.1989055377569589</v>
      </c>
      <c r="L156">
        <f>+QMA*COS(2*PI()*$I156/QM+QMP)</f>
        <v>0.83145930063727369</v>
      </c>
      <c r="P156">
        <f t="shared" si="14"/>
        <v>0</v>
      </c>
    </row>
    <row r="157" spans="1:16" x14ac:dyDescent="0.25">
      <c r="A157" s="1"/>
      <c r="B157" t="s">
        <v>170</v>
      </c>
      <c r="C157" t="s">
        <v>24</v>
      </c>
      <c r="D157" s="3">
        <v>6.125</v>
      </c>
      <c r="E157" s="5">
        <f t="shared" si="10"/>
        <v>1796</v>
      </c>
      <c r="F157">
        <v>0.19006000000000001</v>
      </c>
      <c r="G157">
        <f t="shared" si="11"/>
        <v>-0.57364000000000004</v>
      </c>
      <c r="H157">
        <f t="shared" si="12"/>
        <v>-0.57364000000000004</v>
      </c>
      <c r="I157" s="5">
        <f t="shared" si="13"/>
        <v>1796</v>
      </c>
      <c r="J157">
        <f>+H157+CF*F157*(1+($I157-1850)*slope/1000)+F157*hQc*COS(2*PI()*$I157/qbo+$L157)+F157*hQs*SIN(2*PI()*$I157/qbo+$L157)+F157*hCs*SIN(2*PI()*$I157/cw)+F157*hCc*COS(2*PI()*$I157/cw) +mix*F157*(hQc*COS(2*PI()*$I157/qbo+$L157)+hQs*SIN(2*PI()*$I157/qbo+$L157))*(hCs*SIN(2*PI()*$I157/cw)+hCc*COS(2*PI()*$I157/cw))</f>
        <v>-0.67990966975180456</v>
      </c>
      <c r="K157">
        <f>fQc*COS(2*PI()*$I157/qbo+$L157)+fQs*SIN(2*PI()*$I157/qbo+$L157)+fCs*SIN(2*PI()*$I157/cw)+fCc*COS(2*PI()*$I157/cw)</f>
        <v>4.2840321547337883</v>
      </c>
      <c r="L157">
        <f>+QMA*COS(2*PI()*$I157/QM+QMP)</f>
        <v>0.85167767490941881</v>
      </c>
      <c r="P157">
        <f t="shared" si="14"/>
        <v>0</v>
      </c>
    </row>
    <row r="158" spans="1:16" x14ac:dyDescent="0.25">
      <c r="A158" s="1"/>
      <c r="B158" t="s">
        <v>171</v>
      </c>
      <c r="C158" t="s">
        <v>24</v>
      </c>
      <c r="D158" s="3">
        <v>6.166666666666667</v>
      </c>
      <c r="E158" s="5">
        <f t="shared" si="10"/>
        <v>1797</v>
      </c>
      <c r="F158">
        <v>-0.80827000000000004</v>
      </c>
      <c r="G158">
        <f t="shared" si="11"/>
        <v>0.9987100000000001</v>
      </c>
      <c r="H158">
        <f t="shared" si="12"/>
        <v>0.9987100000000001</v>
      </c>
      <c r="I158" s="5">
        <f t="shared" si="13"/>
        <v>1797</v>
      </c>
      <c r="J158">
        <f>+H158+CF*F158*(1+($I158-1850)*slope/1000)+F158*hQc*COS(2*PI()*$I158/qbo+$L158)+F158*hQs*SIN(2*PI()*$I158/qbo+$L158)+F158*hCs*SIN(2*PI()*$I158/cw)+F158*hCc*COS(2*PI()*$I158/cw) +mix*F158*(hQc*COS(2*PI()*$I158/qbo+$L158)+hQs*SIN(2*PI()*$I158/qbo+$L158))*(hCs*SIN(2*PI()*$I158/cw)+hCc*COS(2*PI()*$I158/cw))</f>
        <v>-0.18240921588377207</v>
      </c>
      <c r="K158">
        <f>fQc*COS(2*PI()*$I158/qbo+$L158)+fQs*SIN(2*PI()*$I158/qbo+$L158)+fCs*SIN(2*PI()*$I158/cw)+fCc*COS(2*PI()*$I158/cw)</f>
        <v>-3.2443439927914581</v>
      </c>
      <c r="L158">
        <f>+QMA*COS(2*PI()*$I158/QM+QMP)</f>
        <v>0.85709735942417919</v>
      </c>
      <c r="P158">
        <f t="shared" si="14"/>
        <v>1</v>
      </c>
    </row>
    <row r="159" spans="1:16" x14ac:dyDescent="0.25">
      <c r="A159" s="1"/>
      <c r="B159" t="s">
        <v>172</v>
      </c>
      <c r="C159" t="s">
        <v>24</v>
      </c>
      <c r="D159" s="3">
        <v>6.208333333333333</v>
      </c>
      <c r="E159" s="5">
        <f t="shared" si="10"/>
        <v>1798</v>
      </c>
      <c r="F159">
        <v>-0.80789</v>
      </c>
      <c r="G159">
        <f t="shared" si="11"/>
        <v>1.6793199999999999</v>
      </c>
      <c r="H159">
        <f t="shared" si="12"/>
        <v>1.6793199999999999</v>
      </c>
      <c r="I159" s="5">
        <f t="shared" si="13"/>
        <v>1798</v>
      </c>
      <c r="J159">
        <f>+H159+CF*F159*(1+($I159-1850)*slope/1000)+F159*hQc*COS(2*PI()*$I159/qbo+$L159)+F159*hQs*SIN(2*PI()*$I159/qbo+$L159)+F159*hCs*SIN(2*PI()*$I159/cw)+F159*hCc*COS(2*PI()*$I159/cw) +mix*F159*(hQc*COS(2*PI()*$I159/qbo+$L159)+hQs*SIN(2*PI()*$I159/qbo+$L159))*(hCs*SIN(2*PI()*$I159/cw)+hCc*COS(2*PI()*$I159/cw))</f>
        <v>-1.572159416669601E-2</v>
      </c>
      <c r="K159">
        <f>fQc*COS(2*PI()*$I159/qbo+$L159)+fQs*SIN(2*PI()*$I159/qbo+$L159)+fCs*SIN(2*PI()*$I159/cw)+fCc*COS(2*PI()*$I159/cw)</f>
        <v>1.080196978137818</v>
      </c>
      <c r="L159">
        <f>+QMA*COS(2*PI()*$I159/QM+QMP)</f>
        <v>0.84762418213491919</v>
      </c>
      <c r="P159">
        <f t="shared" si="14"/>
        <v>0</v>
      </c>
    </row>
    <row r="160" spans="1:16" x14ac:dyDescent="0.25">
      <c r="A160" s="1"/>
      <c r="B160" t="s">
        <v>173</v>
      </c>
      <c r="C160" t="s">
        <v>24</v>
      </c>
      <c r="D160" s="3">
        <v>6.25</v>
      </c>
      <c r="E160" s="5">
        <f t="shared" si="10"/>
        <v>1799</v>
      </c>
      <c r="F160">
        <v>0.87180999999999997</v>
      </c>
      <c r="G160">
        <f t="shared" si="11"/>
        <v>-1.5446</v>
      </c>
      <c r="H160">
        <f t="shared" si="12"/>
        <v>-1.5446</v>
      </c>
      <c r="I160" s="5">
        <f t="shared" si="13"/>
        <v>1799</v>
      </c>
      <c r="J160">
        <f>+H160+CF*F160*(1+($I160-1850)*slope/1000)+F160*hQc*COS(2*PI()*$I160/qbo+$L160)+F160*hQs*SIN(2*PI()*$I160/qbo+$L160)+F160*hCs*SIN(2*PI()*$I160/cw)+F160*hCc*COS(2*PI()*$I160/cw) +mix*F160*(hQc*COS(2*PI()*$I160/qbo+$L160)+hQs*SIN(2*PI()*$I160/qbo+$L160))*(hCs*SIN(2*PI()*$I160/cw)+hCc*COS(2*PI()*$I160/cw))</f>
        <v>1.459857910388386</v>
      </c>
      <c r="K160">
        <f>fQc*COS(2*PI()*$I160/qbo+$L160)+fQs*SIN(2*PI()*$I160/qbo+$L160)+fCs*SIN(2*PI()*$I160/cw)+fCc*COS(2*PI()*$I160/cw)</f>
        <v>1.4670976807523677</v>
      </c>
      <c r="L160">
        <f>+QMA*COS(2*PI()*$I160/QM+QMP)</f>
        <v>0.8234227482859231</v>
      </c>
      <c r="P160">
        <f t="shared" si="14"/>
        <v>1</v>
      </c>
    </row>
    <row r="161" spans="1:16" x14ac:dyDescent="0.25">
      <c r="A161" s="1"/>
      <c r="B161" t="s">
        <v>174</v>
      </c>
      <c r="C161" t="s">
        <v>24</v>
      </c>
      <c r="D161" s="3">
        <v>6.291666666666667</v>
      </c>
      <c r="E161" s="5">
        <f t="shared" si="10"/>
        <v>1800</v>
      </c>
      <c r="F161">
        <v>1.00691</v>
      </c>
      <c r="G161">
        <f t="shared" si="11"/>
        <v>-2.2700099999999996</v>
      </c>
      <c r="H161">
        <f t="shared" si="12"/>
        <v>-2.2700099999999996</v>
      </c>
      <c r="I161" s="5">
        <f t="shared" si="13"/>
        <v>1800</v>
      </c>
      <c r="J161">
        <f>+H161+CF*F161*(1+($I161-1850)*slope/1000)+F161*hQc*COS(2*PI()*$I161/qbo+$L161)+F161*hQs*SIN(2*PI()*$I161/qbo+$L161)+F161*hCs*SIN(2*PI()*$I161/cw)+F161*hCc*COS(2*PI()*$I161/cw) +mix*F161*(hQc*COS(2*PI()*$I161/qbo+$L161)+hQs*SIN(2*PI()*$I161/qbo+$L161))*(hCs*SIN(2*PI()*$I161/cw)+hCc*COS(2*PI()*$I161/cw))</f>
        <v>-1.5023684727875948</v>
      </c>
      <c r="K161">
        <f>fQc*COS(2*PI()*$I161/qbo+$L161)+fQs*SIN(2*PI()*$I161/qbo+$L161)+fCs*SIN(2*PI()*$I161/cw)+fCc*COS(2*PI()*$I161/cw)</f>
        <v>-3.1984319907523551</v>
      </c>
      <c r="L161">
        <f>+QMA*COS(2*PI()*$I161/QM+QMP)</f>
        <v>0.78491358024351376</v>
      </c>
      <c r="P161">
        <f t="shared" si="14"/>
        <v>1</v>
      </c>
    </row>
    <row r="162" spans="1:16" x14ac:dyDescent="0.25">
      <c r="A162" s="1"/>
      <c r="B162" t="s">
        <v>175</v>
      </c>
      <c r="C162" t="s">
        <v>24</v>
      </c>
      <c r="D162" s="3">
        <v>6.333333333333333</v>
      </c>
      <c r="E162" s="5">
        <f t="shared" si="10"/>
        <v>1801</v>
      </c>
      <c r="F162">
        <v>-1.1279999999999999</v>
      </c>
      <c r="G162">
        <f t="shared" si="11"/>
        <v>2.4182199999999994</v>
      </c>
      <c r="H162">
        <f t="shared" si="12"/>
        <v>2.4182199999999994</v>
      </c>
      <c r="I162" s="5">
        <f t="shared" si="13"/>
        <v>1801</v>
      </c>
      <c r="J162">
        <f>+H162+CF*F162*(1+($I162-1850)*slope/1000)+F162*hQc*COS(2*PI()*$I162/qbo+$L162)+F162*hQs*SIN(2*PI()*$I162/qbo+$L162)+F162*hCs*SIN(2*PI()*$I162/cw)+F162*hCc*COS(2*PI()*$I162/cw) +mix*F162*(hQc*COS(2*PI()*$I162/qbo+$L162)+hQs*SIN(2*PI()*$I162/qbo+$L162))*(hCs*SIN(2*PI()*$I162/cw)+hCc*COS(2*PI()*$I162/cw))</f>
        <v>2.2126488327149545</v>
      </c>
      <c r="K162">
        <f>fQc*COS(2*PI()*$I162/qbo+$L162)+fQs*SIN(2*PI()*$I162/qbo+$L162)+fCs*SIN(2*PI()*$I162/cw)+fCc*COS(2*PI()*$I162/cw)</f>
        <v>4.9302604673599166</v>
      </c>
      <c r="L162">
        <f>+QMA*COS(2*PI()*$I162/QM+QMP)</f>
        <v>0.73276581052985335</v>
      </c>
      <c r="P162">
        <f t="shared" si="14"/>
        <v>1</v>
      </c>
    </row>
    <row r="163" spans="1:16" x14ac:dyDescent="0.25">
      <c r="A163" s="1"/>
      <c r="B163" t="s">
        <v>176</v>
      </c>
      <c r="C163" t="s">
        <v>24</v>
      </c>
      <c r="D163" s="3">
        <v>6.375</v>
      </c>
      <c r="E163" s="5">
        <f t="shared" si="10"/>
        <v>1802</v>
      </c>
      <c r="F163">
        <v>-0.84469000000000005</v>
      </c>
      <c r="G163">
        <f t="shared" si="11"/>
        <v>0.33026000000000022</v>
      </c>
      <c r="H163">
        <f t="shared" si="12"/>
        <v>0.33026000000000022</v>
      </c>
      <c r="I163" s="5">
        <f t="shared" si="13"/>
        <v>1802</v>
      </c>
      <c r="J163">
        <f>+H163+CF*F163*(1+($I163-1850)*slope/1000)+F163*hQc*COS(2*PI()*$I163/qbo+$L163)+F163*hQs*SIN(2*PI()*$I163/qbo+$L163)+F163*hCs*SIN(2*PI()*$I163/cw)+F163*hCc*COS(2*PI()*$I163/cw) +mix*F163*(hQc*COS(2*PI()*$I163/qbo+$L163)+hQs*SIN(2*PI()*$I163/qbo+$L163))*(hCs*SIN(2*PI()*$I163/cw)+hCc*COS(2*PI()*$I163/cw))</f>
        <v>-2.7893306526456483</v>
      </c>
      <c r="K163">
        <f>fQc*COS(2*PI()*$I163/qbo+$L163)+fQs*SIN(2*PI()*$I163/qbo+$L163)+fCs*SIN(2*PI()*$I163/cw)+fCc*COS(2*PI()*$I163/cw)</f>
        <v>-4.8523616651513954</v>
      </c>
      <c r="L163">
        <f>+QMA*COS(2*PI()*$I163/QM+QMP)</f>
        <v>0.6678855550245677</v>
      </c>
      <c r="P163">
        <f t="shared" si="14"/>
        <v>1</v>
      </c>
    </row>
    <row r="164" spans="1:16" x14ac:dyDescent="0.25">
      <c r="A164" s="1"/>
      <c r="B164" t="s">
        <v>177</v>
      </c>
      <c r="C164" t="s">
        <v>24</v>
      </c>
      <c r="D164" s="3">
        <v>6.416666666666667</v>
      </c>
      <c r="E164" s="5">
        <f t="shared" si="10"/>
        <v>1803</v>
      </c>
      <c r="F164">
        <v>-0.23111999999999999</v>
      </c>
      <c r="G164">
        <f t="shared" si="11"/>
        <v>0.74812999999999985</v>
      </c>
      <c r="H164">
        <f t="shared" si="12"/>
        <v>0.74812999999999985</v>
      </c>
      <c r="I164" s="5">
        <f t="shared" si="13"/>
        <v>1803</v>
      </c>
      <c r="J164">
        <f>+H164+CF*F164*(1+($I164-1850)*slope/1000)+F164*hQc*COS(2*PI()*$I164/qbo+$L164)+F164*hQs*SIN(2*PI()*$I164/qbo+$L164)+F164*hCs*SIN(2*PI()*$I164/cw)+F164*hCc*COS(2*PI()*$I164/cw) +mix*F164*(hQc*COS(2*PI()*$I164/qbo+$L164)+hQs*SIN(2*PI()*$I164/qbo+$L164))*(hCs*SIN(2*PI()*$I164/cw)+hCc*COS(2*PI()*$I164/cw))</f>
        <v>1.2456017063991263</v>
      </c>
      <c r="K164">
        <f>fQc*COS(2*PI()*$I164/qbo+$L164)+fQs*SIN(2*PI()*$I164/qbo+$L164)+fCs*SIN(2*PI()*$I164/cw)+fCc*COS(2*PI()*$I164/cw)</f>
        <v>3.6020443217127642</v>
      </c>
      <c r="L164">
        <f>+QMA*COS(2*PI()*$I164/QM+QMP)</f>
        <v>0.59140016836056708</v>
      </c>
      <c r="P164">
        <f t="shared" si="14"/>
        <v>1</v>
      </c>
    </row>
    <row r="165" spans="1:16" x14ac:dyDescent="0.25">
      <c r="A165" s="1"/>
      <c r="B165" t="s">
        <v>178</v>
      </c>
      <c r="C165" t="s">
        <v>24</v>
      </c>
      <c r="D165" s="3">
        <v>6.458333333333333</v>
      </c>
      <c r="E165" s="5">
        <f t="shared" si="10"/>
        <v>1804</v>
      </c>
      <c r="F165">
        <v>1.1305799999999999</v>
      </c>
      <c r="G165">
        <f t="shared" si="11"/>
        <v>-3.59389</v>
      </c>
      <c r="H165">
        <f t="shared" si="12"/>
        <v>-3.59389</v>
      </c>
      <c r="I165" s="5">
        <f t="shared" si="13"/>
        <v>1804</v>
      </c>
      <c r="J165">
        <f>+H165+CF*F165*(1+($I165-1850)*slope/1000)+F165*hQc*COS(2*PI()*$I165/qbo+$L165)+F165*hQs*SIN(2*PI()*$I165/qbo+$L165)+F165*hCs*SIN(2*PI()*$I165/cw)+F165*hCc*COS(2*PI()*$I165/cw) +mix*F165*(hQc*COS(2*PI()*$I165/qbo+$L165)+hQs*SIN(2*PI()*$I165/qbo+$L165))*(hCs*SIN(2*PI()*$I165/cw)+hCc*COS(2*PI()*$I165/cw))</f>
        <v>-2.6599982856521094</v>
      </c>
      <c r="K165">
        <f>fQc*COS(2*PI()*$I165/qbo+$L165)+fQs*SIN(2*PI()*$I165/qbo+$L165)+fCs*SIN(2*PI()*$I165/cw)+fCc*COS(2*PI()*$I165/cw)</f>
        <v>-1.6834103342989564</v>
      </c>
      <c r="L165">
        <f>+QMA*COS(2*PI()*$I165/QM+QMP)</f>
        <v>0.50463865509156769</v>
      </c>
      <c r="P165">
        <f t="shared" si="14"/>
        <v>1</v>
      </c>
    </row>
    <row r="166" spans="1:16" x14ac:dyDescent="0.25">
      <c r="A166" s="1"/>
      <c r="B166" t="s">
        <v>179</v>
      </c>
      <c r="C166" t="s">
        <v>24</v>
      </c>
      <c r="D166" s="3">
        <v>6.5</v>
      </c>
      <c r="E166" s="5">
        <f t="shared" si="10"/>
        <v>1805</v>
      </c>
      <c r="F166">
        <v>-1.10161</v>
      </c>
      <c r="G166">
        <f t="shared" si="11"/>
        <v>2.3978600000000001</v>
      </c>
      <c r="H166">
        <f t="shared" si="12"/>
        <v>2.3978600000000001</v>
      </c>
      <c r="I166" s="5">
        <f t="shared" si="13"/>
        <v>1805</v>
      </c>
      <c r="J166">
        <f>+H166+CF*F166*(1+($I166-1850)*slope/1000)+F166*hQc*COS(2*PI()*$I166/qbo+$L166)+F166*hQs*SIN(2*PI()*$I166/qbo+$L166)+F166*hCs*SIN(2*PI()*$I166/cw)+F166*hCc*COS(2*PI()*$I166/cw) +mix*F166*(hQc*COS(2*PI()*$I166/qbo+$L166)+hQs*SIN(2*PI()*$I166/qbo+$L166))*(hCs*SIN(2*PI()*$I166/cw)+hCc*COS(2*PI()*$I166/cw))</f>
        <v>0.3959608461372669</v>
      </c>
      <c r="K166">
        <f>fQc*COS(2*PI()*$I166/qbo+$L166)+fQs*SIN(2*PI()*$I166/qbo+$L166)+fCs*SIN(2*PI()*$I166/cw)+fCc*COS(2*PI()*$I166/cw)</f>
        <v>-1.4375063294238195</v>
      </c>
      <c r="L166">
        <f>+QMA*COS(2*PI()*$I166/QM+QMP)</f>
        <v>0.40910857700480641</v>
      </c>
      <c r="P166">
        <f t="shared" si="14"/>
        <v>0</v>
      </c>
    </row>
    <row r="167" spans="1:16" x14ac:dyDescent="0.25">
      <c r="A167" s="1"/>
      <c r="B167" t="s">
        <v>180</v>
      </c>
      <c r="C167" t="s">
        <v>24</v>
      </c>
      <c r="D167" s="3">
        <v>6.541666666666667</v>
      </c>
      <c r="E167" s="5">
        <f t="shared" si="10"/>
        <v>1806</v>
      </c>
      <c r="F167">
        <v>-0.93593999999999999</v>
      </c>
      <c r="G167">
        <f t="shared" si="11"/>
        <v>1.1355599999999999</v>
      </c>
      <c r="H167">
        <f t="shared" si="12"/>
        <v>1.1355599999999999</v>
      </c>
      <c r="I167" s="5">
        <f t="shared" si="13"/>
        <v>1806</v>
      </c>
      <c r="J167">
        <f>+H167+CF*F167*(1+($I167-1850)*slope/1000)+F167*hQc*COS(2*PI()*$I167/qbo+$L167)+F167*hQs*SIN(2*PI()*$I167/qbo+$L167)+F167*hCs*SIN(2*PI()*$I167/cw)+F167*hCc*COS(2*PI()*$I167/cw) +mix*F167*(hQc*COS(2*PI()*$I167/qbo+$L167)+hQs*SIN(2*PI()*$I167/qbo+$L167))*(hCs*SIN(2*PI()*$I167/cw)+hCc*COS(2*PI()*$I167/cw))</f>
        <v>-1.0715291191357039</v>
      </c>
      <c r="K167">
        <f>fQc*COS(2*PI()*$I167/qbo+$L167)+fQs*SIN(2*PI()*$I167/qbo+$L167)+fCs*SIN(2*PI()*$I167/cw)+fCc*COS(2*PI()*$I167/cw)</f>
        <v>3.4915739555559844</v>
      </c>
      <c r="L167">
        <f>+QMA*COS(2*PI()*$I167/QM+QMP)</f>
        <v>0.30646985783637931</v>
      </c>
      <c r="P167">
        <f t="shared" si="14"/>
        <v>0</v>
      </c>
    </row>
    <row r="168" spans="1:16" x14ac:dyDescent="0.25">
      <c r="A168" s="1"/>
      <c r="B168" t="s">
        <v>181</v>
      </c>
      <c r="C168" t="s">
        <v>24</v>
      </c>
      <c r="D168" s="3">
        <v>6.583333333333333</v>
      </c>
      <c r="E168" s="5">
        <f t="shared" si="10"/>
        <v>1807</v>
      </c>
      <c r="F168">
        <v>0.36529</v>
      </c>
      <c r="G168">
        <f t="shared" si="11"/>
        <v>-2.5386899999999999</v>
      </c>
      <c r="H168">
        <f t="shared" si="12"/>
        <v>-2.5386899999999999</v>
      </c>
      <c r="I168" s="5">
        <f t="shared" si="13"/>
        <v>1807</v>
      </c>
      <c r="J168">
        <f>+H168+CF*F168*(1+($I168-1850)*slope/1000)+F168*hQc*COS(2*PI()*$I168/qbo+$L168)+F168*hQs*SIN(2*PI()*$I168/qbo+$L168)+F168*hCs*SIN(2*PI()*$I168/cw)+F168*hCc*COS(2*PI()*$I168/cw) +mix*F168*(hQc*COS(2*PI()*$I168/qbo+$L168)+hQs*SIN(2*PI()*$I168/qbo+$L168))*(hCs*SIN(2*PI()*$I168/cw)+hCc*COS(2*PI()*$I168/cw))</f>
        <v>-2.6781887494287471</v>
      </c>
      <c r="K168">
        <f>fQc*COS(2*PI()*$I168/qbo+$L168)+fQs*SIN(2*PI()*$I168/qbo+$L168)+fCs*SIN(2*PI()*$I168/cw)+fCc*COS(2*PI()*$I168/cw)</f>
        <v>-4.8407705672709813</v>
      </c>
      <c r="L168">
        <f>+QMA*COS(2*PI()*$I168/QM+QMP)</f>
        <v>0.19850594055638432</v>
      </c>
      <c r="P168">
        <f t="shared" si="14"/>
        <v>1</v>
      </c>
    </row>
    <row r="169" spans="1:16" x14ac:dyDescent="0.25">
      <c r="A169" s="1"/>
      <c r="B169" t="s">
        <v>182</v>
      </c>
      <c r="C169" t="s">
        <v>24</v>
      </c>
      <c r="D169" s="3">
        <v>6.625</v>
      </c>
      <c r="E169" s="5">
        <f t="shared" si="10"/>
        <v>1808</v>
      </c>
      <c r="F169">
        <v>-0.87217</v>
      </c>
      <c r="G169">
        <f t="shared" si="11"/>
        <v>1.8944000000000001</v>
      </c>
      <c r="H169">
        <f t="shared" si="12"/>
        <v>1.8944000000000001</v>
      </c>
      <c r="I169" s="5">
        <f t="shared" si="13"/>
        <v>1808</v>
      </c>
      <c r="J169">
        <f>+H169+CF*F169*(1+($I169-1850)*slope/1000)+F169*hQc*COS(2*PI()*$I169/qbo+$L169)+F169*hQs*SIN(2*PI()*$I169/qbo+$L169)+F169*hCs*SIN(2*PI()*$I169/cw)+F169*hCc*COS(2*PI()*$I169/cw) +mix*F169*(hQc*COS(2*PI()*$I169/qbo+$L169)+hQs*SIN(2*PI()*$I169/qbo+$L169))*(hCs*SIN(2*PI()*$I169/cw)+hCc*COS(2*PI()*$I169/cw))</f>
        <v>-1.8117766884108448</v>
      </c>
      <c r="K169">
        <f>fQc*COS(2*PI()*$I169/qbo+$L169)+fQs*SIN(2*PI()*$I169/qbo+$L169)+fCs*SIN(2*PI()*$I169/cw)+fCc*COS(2*PI()*$I169/cw)</f>
        <v>4.8643726580989917</v>
      </c>
      <c r="L169">
        <f>+QMA*COS(2*PI()*$I169/QM+QMP)</f>
        <v>8.7092798392568962E-2</v>
      </c>
      <c r="P169">
        <f t="shared" si="14"/>
        <v>0</v>
      </c>
    </row>
    <row r="170" spans="1:16" x14ac:dyDescent="0.25">
      <c r="A170" s="1"/>
      <c r="B170" t="s">
        <v>183</v>
      </c>
      <c r="C170" t="s">
        <v>24</v>
      </c>
      <c r="D170" s="3">
        <v>6.666666666666667</v>
      </c>
      <c r="E170" s="5">
        <f t="shared" si="10"/>
        <v>1809</v>
      </c>
      <c r="F170">
        <v>-0.21523</v>
      </c>
      <c r="G170">
        <f t="shared" si="11"/>
        <v>-0.44238</v>
      </c>
      <c r="H170">
        <f t="shared" si="12"/>
        <v>-0.44238</v>
      </c>
      <c r="I170" s="5">
        <f t="shared" si="13"/>
        <v>1809</v>
      </c>
      <c r="J170">
        <f>+H170+CF*F170*(1+($I170-1850)*slope/1000)+F170*hQc*COS(2*PI()*$I170/qbo+$L170)+F170*hQs*SIN(2*PI()*$I170/qbo+$L170)+F170*hCs*SIN(2*PI()*$I170/cw)+F170*hCc*COS(2*PI()*$I170/cw) +mix*F170*(hQc*COS(2*PI()*$I170/qbo+$L170)+hQs*SIN(2*PI()*$I170/qbo+$L170))*(hCs*SIN(2*PI()*$I170/cw)+hCc*COS(2*PI()*$I170/cw))</f>
        <v>-0.7202525946670344</v>
      </c>
      <c r="K170">
        <f>fQc*COS(2*PI()*$I170/qbo+$L170)+fQs*SIN(2*PI()*$I170/qbo+$L170)+fCs*SIN(2*PI()*$I170/cw)+fCc*COS(2*PI()*$I170/cw)</f>
        <v>-2.8015909621909549</v>
      </c>
      <c r="L170">
        <f>+QMA*COS(2*PI()*$I170/QM+QMP)</f>
        <v>-2.5833661944899219E-2</v>
      </c>
      <c r="P170">
        <f t="shared" si="14"/>
        <v>1</v>
      </c>
    </row>
    <row r="171" spans="1:16" x14ac:dyDescent="0.25">
      <c r="A171" s="1"/>
      <c r="B171" t="s">
        <v>184</v>
      </c>
      <c r="C171" t="s">
        <v>24</v>
      </c>
      <c r="D171" s="3">
        <v>6.708333333333333</v>
      </c>
      <c r="E171" s="5">
        <f t="shared" si="10"/>
        <v>1810</v>
      </c>
      <c r="F171">
        <v>-6.7000000000000002E-4</v>
      </c>
      <c r="G171">
        <f t="shared" si="11"/>
        <v>-0.71382000000000001</v>
      </c>
      <c r="H171">
        <f t="shared" si="12"/>
        <v>-0.71382000000000001</v>
      </c>
      <c r="I171" s="5">
        <f t="shared" si="13"/>
        <v>1810</v>
      </c>
      <c r="J171">
        <f>+H171+CF*F171*(1+($I171-1850)*slope/1000)+F171*hQc*COS(2*PI()*$I171/qbo+$L171)+F171*hQs*SIN(2*PI()*$I171/qbo+$L171)+F171*hCs*SIN(2*PI()*$I171/cw)+F171*hCc*COS(2*PI()*$I171/cw) +mix*F171*(hQc*COS(2*PI()*$I171/qbo+$L171)+hQs*SIN(2*PI()*$I171/qbo+$L171))*(hCs*SIN(2*PI()*$I171/cw)+hCc*COS(2*PI()*$I171/cw))</f>
        <v>-0.71467461423284417</v>
      </c>
      <c r="K171">
        <f>fQc*COS(2*PI()*$I171/qbo+$L171)+fQs*SIN(2*PI()*$I171/qbo+$L171)+fCs*SIN(2*PI()*$I171/cw)+fCc*COS(2*PI()*$I171/cw)</f>
        <v>0.58558715283873419</v>
      </c>
      <c r="L171">
        <f>+QMA*COS(2*PI()*$I171/QM+QMP)</f>
        <v>-0.13831123843848656</v>
      </c>
      <c r="P171">
        <f t="shared" si="14"/>
        <v>0</v>
      </c>
    </row>
    <row r="172" spans="1:16" x14ac:dyDescent="0.25">
      <c r="A172" s="1"/>
      <c r="B172" t="s">
        <v>185</v>
      </c>
      <c r="C172" t="s">
        <v>24</v>
      </c>
      <c r="D172" s="3">
        <v>6.75</v>
      </c>
      <c r="E172" s="5">
        <f t="shared" si="10"/>
        <v>1811</v>
      </c>
      <c r="F172">
        <v>-0.49992999999999999</v>
      </c>
      <c r="G172">
        <f t="shared" si="11"/>
        <v>0.46398</v>
      </c>
      <c r="H172">
        <f t="shared" si="12"/>
        <v>0.46398</v>
      </c>
      <c r="I172" s="5">
        <f t="shared" si="13"/>
        <v>1811</v>
      </c>
      <c r="J172">
        <f>+H172+CF*F172*(1+($I172-1850)*slope/1000)+F172*hQc*COS(2*PI()*$I172/qbo+$L172)+F172*hQs*SIN(2*PI()*$I172/qbo+$L172)+F172*hCs*SIN(2*PI()*$I172/cw)+F172*hCc*COS(2*PI()*$I172/cw) +mix*F172*(hQc*COS(2*PI()*$I172/qbo+$L172)+hQs*SIN(2*PI()*$I172/qbo+$L172))*(hCs*SIN(2*PI()*$I172/cw)+hCc*COS(2*PI()*$I172/cw))</f>
        <v>1.3578616398848089</v>
      </c>
      <c r="K172">
        <f>fQc*COS(2*PI()*$I172/qbo+$L172)+fQs*SIN(2*PI()*$I172/qbo+$L172)+fCs*SIN(2*PI()*$I172/cw)+fCc*COS(2*PI()*$I172/cw)</f>
        <v>2.3099799206790133</v>
      </c>
      <c r="L172">
        <f>+QMA*COS(2*PI()*$I172/QM+QMP)</f>
        <v>-0.24838552884407364</v>
      </c>
      <c r="P172">
        <f t="shared" si="14"/>
        <v>1</v>
      </c>
    </row>
    <row r="173" spans="1:16" x14ac:dyDescent="0.25">
      <c r="A173" s="1"/>
      <c r="B173" t="s">
        <v>186</v>
      </c>
      <c r="C173" t="s">
        <v>24</v>
      </c>
      <c r="D173" s="3">
        <v>6.791666666666667</v>
      </c>
      <c r="E173" s="5">
        <f t="shared" si="10"/>
        <v>1812</v>
      </c>
      <c r="F173">
        <v>-0.53520999999999996</v>
      </c>
      <c r="G173">
        <f t="shared" si="11"/>
        <v>-0.15298</v>
      </c>
      <c r="H173">
        <f t="shared" si="12"/>
        <v>-0.15298</v>
      </c>
      <c r="I173" s="5">
        <f t="shared" si="13"/>
        <v>1812</v>
      </c>
      <c r="J173">
        <f>+H173+CF*F173*(1+($I173-1850)*slope/1000)+F173*hQc*COS(2*PI()*$I173/qbo+$L173)+F173*hQs*SIN(2*PI()*$I173/qbo+$L173)+F173*hCs*SIN(2*PI()*$I173/cw)+F173*hCc*COS(2*PI()*$I173/cw) +mix*F173*(hQc*COS(2*PI()*$I173/qbo+$L173)+hQs*SIN(2*PI()*$I173/qbo+$L173))*(hCs*SIN(2*PI()*$I173/cw)+hCc*COS(2*PI()*$I173/cw))</f>
        <v>-2.5631766850715962</v>
      </c>
      <c r="K173">
        <f>fQc*COS(2*PI()*$I173/qbo+$L173)+fQs*SIN(2*PI()*$I173/qbo+$L173)+fCs*SIN(2*PI()*$I173/cw)+fCc*COS(2*PI()*$I173/cw)</f>
        <v>-4.4276919039789089</v>
      </c>
      <c r="L173">
        <f>+QMA*COS(2*PI()*$I173/QM+QMP)</f>
        <v>-0.35414389024285664</v>
      </c>
      <c r="P173">
        <f t="shared" si="14"/>
        <v>1</v>
      </c>
    </row>
    <row r="174" spans="1:16" x14ac:dyDescent="0.25">
      <c r="A174" s="1"/>
      <c r="B174" t="s">
        <v>187</v>
      </c>
      <c r="C174" t="s">
        <v>24</v>
      </c>
      <c r="D174" s="3">
        <v>6.833333333333333</v>
      </c>
      <c r="E174" s="5">
        <f t="shared" si="10"/>
        <v>1813</v>
      </c>
      <c r="F174">
        <v>-0.72346999999999995</v>
      </c>
      <c r="G174">
        <f t="shared" si="11"/>
        <v>1.4404699999999999</v>
      </c>
      <c r="H174">
        <f t="shared" si="12"/>
        <v>1.4404699999999999</v>
      </c>
      <c r="I174" s="5">
        <f t="shared" si="13"/>
        <v>1813</v>
      </c>
      <c r="J174">
        <f>+H174+CF*F174*(1+($I174-1850)*slope/1000)+F174*hQc*COS(2*PI()*$I174/qbo+$L174)+F174*hQs*SIN(2*PI()*$I174/qbo+$L174)+F174*hCs*SIN(2*PI()*$I174/cw)+F174*hCc*COS(2*PI()*$I174/cw) +mix*F174*(hQc*COS(2*PI()*$I174/qbo+$L174)+hQs*SIN(2*PI()*$I174/qbo+$L174))*(hCs*SIN(2*PI()*$I174/cw)+hCc*COS(2*PI()*$I174/cw))</f>
        <v>3.5104630585524346</v>
      </c>
      <c r="K174">
        <f>fQc*COS(2*PI()*$I174/qbo+$L174)+fQs*SIN(2*PI()*$I174/qbo+$L174)+fCs*SIN(2*PI()*$I174/cw)+fCc*COS(2*PI()*$I174/cw)</f>
        <v>4.7792429237800382</v>
      </c>
      <c r="L174">
        <f>+QMA*COS(2*PI()*$I174/QM+QMP)</f>
        <v>-0.45374867298669574</v>
      </c>
      <c r="P174">
        <f t="shared" si="14"/>
        <v>1</v>
      </c>
    </row>
    <row r="175" spans="1:16" x14ac:dyDescent="0.25">
      <c r="A175" s="1"/>
      <c r="B175" t="s">
        <v>188</v>
      </c>
      <c r="C175" t="s">
        <v>24</v>
      </c>
      <c r="D175" s="3">
        <v>6.875</v>
      </c>
      <c r="E175" s="5">
        <f t="shared" si="10"/>
        <v>1814</v>
      </c>
      <c r="F175">
        <v>0.52873999999999999</v>
      </c>
      <c r="G175">
        <f t="shared" si="11"/>
        <v>-0.60739999999999972</v>
      </c>
      <c r="H175">
        <f t="shared" si="12"/>
        <v>-0.60739999999999972</v>
      </c>
      <c r="I175" s="5">
        <f t="shared" si="13"/>
        <v>1814</v>
      </c>
      <c r="J175">
        <f>+H175+CF*F175*(1+($I175-1850)*slope/1000)+F175*hQc*COS(2*PI()*$I175/qbo+$L175)+F175*hQs*SIN(2*PI()*$I175/qbo+$L175)+F175*hCs*SIN(2*PI()*$I175/cw)+F175*hCc*COS(2*PI()*$I175/cw) +mix*F175*(hQc*COS(2*PI()*$I175/qbo+$L175)+hQs*SIN(2*PI()*$I175/qbo+$L175))*(hCs*SIN(2*PI()*$I175/cw)+hCc*COS(2*PI()*$I175/cw))</f>
        <v>0.4522455190222458</v>
      </c>
      <c r="K175">
        <f>fQc*COS(2*PI()*$I175/qbo+$L175)+fQs*SIN(2*PI()*$I175/qbo+$L175)+fCs*SIN(2*PI()*$I175/cw)+fCc*COS(2*PI()*$I175/cw)</f>
        <v>-4.4354821442050394</v>
      </c>
      <c r="L175">
        <f>+QMA*COS(2*PI()*$I175/QM+QMP)</f>
        <v>-0.54546915156577613</v>
      </c>
      <c r="P175">
        <f t="shared" si="14"/>
        <v>0</v>
      </c>
    </row>
    <row r="176" spans="1:16" x14ac:dyDescent="0.25">
      <c r="A176" s="1"/>
      <c r="B176" t="s">
        <v>189</v>
      </c>
      <c r="C176" t="s">
        <v>24</v>
      </c>
      <c r="D176" s="3">
        <v>6.916666666666667</v>
      </c>
      <c r="E176" s="5">
        <f t="shared" si="10"/>
        <v>1815</v>
      </c>
      <c r="F176">
        <v>1.1735500000000001</v>
      </c>
      <c r="G176">
        <f t="shared" si="11"/>
        <v>-0.10818000000000016</v>
      </c>
      <c r="H176">
        <f t="shared" si="12"/>
        <v>-0.10818000000000016</v>
      </c>
      <c r="I176" s="5">
        <f t="shared" si="13"/>
        <v>1815</v>
      </c>
      <c r="J176">
        <f>+H176+CF*F176*(1+($I176-1850)*slope/1000)+F176*hQc*COS(2*PI()*$I176/qbo+$L176)+F176*hQs*SIN(2*PI()*$I176/qbo+$L176)+F176*hCs*SIN(2*PI()*$I176/cw)+F176*hCc*COS(2*PI()*$I176/cw) +mix*F176*(hQc*COS(2*PI()*$I176/qbo+$L176)+hQs*SIN(2*PI()*$I176/qbo+$L176))*(hCs*SIN(2*PI()*$I176/cw)+hCc*COS(2*PI()*$I176/cw))</f>
        <v>2.2104341500283962</v>
      </c>
      <c r="K176">
        <f>fQc*COS(2*PI()*$I176/qbo+$L176)+fQs*SIN(2*PI()*$I176/qbo+$L176)+fCs*SIN(2*PI()*$I176/cw)+fCc*COS(2*PI()*$I176/cw)</f>
        <v>2.2144068576940286</v>
      </c>
      <c r="L176">
        <f>+QMA*COS(2*PI()*$I176/QM+QMP)</f>
        <v>-0.62771159756978911</v>
      </c>
      <c r="P176">
        <f t="shared" si="14"/>
        <v>1</v>
      </c>
    </row>
    <row r="177" spans="1:16" x14ac:dyDescent="0.25">
      <c r="A177" s="1"/>
      <c r="B177" t="s">
        <v>190</v>
      </c>
      <c r="C177" t="s">
        <v>24</v>
      </c>
      <c r="D177" s="3">
        <v>6.958333333333333</v>
      </c>
      <c r="E177" s="5">
        <f t="shared" si="10"/>
        <v>1816</v>
      </c>
      <c r="F177">
        <v>1.71018</v>
      </c>
      <c r="G177">
        <f t="shared" si="11"/>
        <v>-1.95078</v>
      </c>
      <c r="H177">
        <f t="shared" si="12"/>
        <v>-1.95078</v>
      </c>
      <c r="I177" s="5">
        <f t="shared" si="13"/>
        <v>1816</v>
      </c>
      <c r="J177">
        <f>+H177+CF*F177*(1+($I177-1850)*slope/1000)+F177*hQc*COS(2*PI()*$I177/qbo+$L177)+F177*hQs*SIN(2*PI()*$I177/qbo+$L177)+F177*hCs*SIN(2*PI()*$I177/cw)+F177*hCc*COS(2*PI()*$I177/cw) +mix*F177*(hQc*COS(2*PI()*$I177/qbo+$L177)+hQs*SIN(2*PI()*$I177/qbo+$L177))*(hCs*SIN(2*PI()*$I177/cw)+hCc*COS(2*PI()*$I177/cw))</f>
        <v>2.7512617687317604</v>
      </c>
      <c r="K177">
        <f>fQc*COS(2*PI()*$I177/qbo+$L177)+fQs*SIN(2*PI()*$I177/qbo+$L177)+fCs*SIN(2*PI()*$I177/cw)+fCc*COS(2*PI()*$I177/cw)</f>
        <v>0.30097435815052415</v>
      </c>
      <c r="L177">
        <f>+QMA*COS(2*PI()*$I177/QM+QMP)</f>
        <v>-0.6990469721978102</v>
      </c>
      <c r="P177">
        <f t="shared" si="14"/>
        <v>1</v>
      </c>
    </row>
    <row r="178" spans="1:16" x14ac:dyDescent="0.25">
      <c r="A178" s="1"/>
      <c r="B178" t="s">
        <v>191</v>
      </c>
      <c r="C178" t="s">
        <v>24</v>
      </c>
      <c r="D178" s="3">
        <v>7</v>
      </c>
      <c r="E178" s="5">
        <f t="shared" si="10"/>
        <v>1817</v>
      </c>
      <c r="F178">
        <v>0.29603000000000002</v>
      </c>
      <c r="G178">
        <f t="shared" si="11"/>
        <v>-8.0999999999999961E-3</v>
      </c>
      <c r="H178">
        <f t="shared" si="12"/>
        <v>-8.0999999999999961E-3</v>
      </c>
      <c r="I178" s="5">
        <f t="shared" si="13"/>
        <v>1817</v>
      </c>
      <c r="J178">
        <f>+H178+CF*F178*(1+($I178-1850)*slope/1000)+F178*hQc*COS(2*PI()*$I178/qbo+$L178)+F178*hQs*SIN(2*PI()*$I178/qbo+$L178)+F178*hCs*SIN(2*PI()*$I178/cw)+F178*hCc*COS(2*PI()*$I178/cw) +mix*F178*(hQc*COS(2*PI()*$I178/qbo+$L178)+hQs*SIN(2*PI()*$I178/qbo+$L178))*(hCs*SIN(2*PI()*$I178/cw)+hCc*COS(2*PI()*$I178/cw))</f>
        <v>8.1800947013983216E-2</v>
      </c>
      <c r="K178">
        <f>fQc*COS(2*PI()*$I178/qbo+$L178)+fQs*SIN(2*PI()*$I178/qbo+$L178)+fCs*SIN(2*PI()*$I178/cw)+fCc*COS(2*PI()*$I178/cw)</f>
        <v>-2.448753082512992</v>
      </c>
      <c r="L178">
        <f>+QMA*COS(2*PI()*$I178/QM+QMP)</f>
        <v>-0.75823575713335045</v>
      </c>
      <c r="P178">
        <f t="shared" si="14"/>
        <v>0</v>
      </c>
    </row>
    <row r="179" spans="1:16" x14ac:dyDescent="0.25">
      <c r="A179" s="1"/>
      <c r="B179" t="s">
        <v>192</v>
      </c>
      <c r="C179" t="s">
        <v>24</v>
      </c>
      <c r="D179" s="3">
        <v>7.041666666666667</v>
      </c>
      <c r="E179" s="5">
        <f t="shared" si="10"/>
        <v>1818</v>
      </c>
      <c r="F179">
        <v>-1.12622</v>
      </c>
      <c r="G179">
        <f t="shared" si="11"/>
        <v>1.1086400000000001</v>
      </c>
      <c r="H179">
        <f t="shared" si="12"/>
        <v>1.1086400000000001</v>
      </c>
      <c r="I179" s="5">
        <f t="shared" si="13"/>
        <v>1818</v>
      </c>
      <c r="J179">
        <f>+H179+CF*F179*(1+($I179-1850)*slope/1000)+F179*hQc*COS(2*PI()*$I179/qbo+$L179)+F179*hQs*SIN(2*PI()*$I179/qbo+$L179)+F179*hCs*SIN(2*PI()*$I179/cw)+F179*hCc*COS(2*PI()*$I179/cw) +mix*F179*(hQc*COS(2*PI()*$I179/qbo+$L179)+hQs*SIN(2*PI()*$I179/qbo+$L179))*(hCs*SIN(2*PI()*$I179/cw)+hCc*COS(2*PI()*$I179/cw))</f>
        <v>-1.3516352087794181</v>
      </c>
      <c r="K179">
        <f>fQc*COS(2*PI()*$I179/qbo+$L179)+fQs*SIN(2*PI()*$I179/qbo+$L179)+fCs*SIN(2*PI()*$I179/cw)+fCc*COS(2*PI()*$I179/cw)</f>
        <v>4.567450337973666</v>
      </c>
      <c r="L179">
        <f>+QMA*COS(2*PI()*$I179/QM+QMP)</f>
        <v>-0.80424949232489262</v>
      </c>
      <c r="P179">
        <f t="shared" si="14"/>
        <v>0</v>
      </c>
    </row>
    <row r="180" spans="1:16" x14ac:dyDescent="0.25">
      <c r="A180" s="1"/>
      <c r="B180" t="s">
        <v>193</v>
      </c>
      <c r="C180" t="s">
        <v>24</v>
      </c>
      <c r="D180" s="3">
        <v>7.083333333333333</v>
      </c>
      <c r="E180" s="5">
        <f t="shared" si="10"/>
        <v>1819</v>
      </c>
      <c r="F180">
        <v>-1.4398299999999999</v>
      </c>
      <c r="G180">
        <f t="shared" si="11"/>
        <v>-0.21862000000000004</v>
      </c>
      <c r="H180">
        <f t="shared" si="12"/>
        <v>-0.21862000000000004</v>
      </c>
      <c r="I180" s="5">
        <f t="shared" si="13"/>
        <v>1819</v>
      </c>
      <c r="J180">
        <f>+H180+CF*F180*(1+($I180-1850)*slope/1000)+F180*hQc*COS(2*PI()*$I180/qbo+$L180)+F180*hQs*SIN(2*PI()*$I180/qbo+$L180)+F180*hCs*SIN(2*PI()*$I180/cw)+F180*hCc*COS(2*PI()*$I180/cw) +mix*F180*(hQc*COS(2*PI()*$I180/qbo+$L180)+hQs*SIN(2*PI()*$I180/qbo+$L180))*(hCs*SIN(2*PI()*$I180/cw)+hCc*COS(2*PI()*$I180/cw))</f>
        <v>-4.1032355656697064</v>
      </c>
      <c r="K180">
        <f>fQc*COS(2*PI()*$I180/qbo+$L180)+fQs*SIN(2*PI()*$I180/qbo+$L180)+fCs*SIN(2*PI()*$I180/cw)+fCc*COS(2*PI()*$I180/cw)</f>
        <v>-4.8542709962913921</v>
      </c>
      <c r="L180">
        <f>+QMA*COS(2*PI()*$I180/QM+QMP)</f>
        <v>-0.83628864643361345</v>
      </c>
      <c r="P180">
        <f t="shared" si="14"/>
        <v>1</v>
      </c>
    </row>
    <row r="181" spans="1:16" x14ac:dyDescent="0.25">
      <c r="A181" s="1"/>
      <c r="B181" t="s">
        <v>194</v>
      </c>
      <c r="C181" t="s">
        <v>24</v>
      </c>
      <c r="D181" s="3">
        <v>7.125</v>
      </c>
      <c r="E181" s="5">
        <f t="shared" si="10"/>
        <v>1820</v>
      </c>
      <c r="F181">
        <v>-1.9720599999999999</v>
      </c>
      <c r="G181">
        <f t="shared" si="11"/>
        <v>2.8971200000000001</v>
      </c>
      <c r="H181">
        <f t="shared" si="12"/>
        <v>2.8971200000000001</v>
      </c>
      <c r="I181" s="5">
        <f t="shared" si="13"/>
        <v>1820</v>
      </c>
      <c r="J181">
        <f>+H181+CF*F181*(1+($I181-1850)*slope/1000)+F181*hQc*COS(2*PI()*$I181/qbo+$L181)+F181*hQs*SIN(2*PI()*$I181/qbo+$L181)+F181*hCs*SIN(2*PI()*$I181/cw)+F181*hCc*COS(2*PI()*$I181/cw) +mix*F181*(hQc*COS(2*PI()*$I181/qbo+$L181)+hQs*SIN(2*PI()*$I181/qbo+$L181))*(hCs*SIN(2*PI()*$I181/cw)+hCc*COS(2*PI()*$I181/cw))</f>
        <v>8.0567899552701778</v>
      </c>
      <c r="K181">
        <f>fQc*COS(2*PI()*$I181/qbo+$L181)+fQs*SIN(2*PI()*$I181/qbo+$L181)+fCs*SIN(2*PI()*$I181/cw)+fCc*COS(2*PI()*$I181/cw)</f>
        <v>4.5199587736622613</v>
      </c>
      <c r="L181">
        <f>+QMA*COS(2*PI()*$I181/QM+QMP)</f>
        <v>-0.85379650943210461</v>
      </c>
      <c r="P181">
        <f t="shared" si="14"/>
        <v>1</v>
      </c>
    </row>
    <row r="182" spans="1:16" x14ac:dyDescent="0.25">
      <c r="A182" s="1"/>
      <c r="B182" t="s">
        <v>195</v>
      </c>
      <c r="C182" t="s">
        <v>24</v>
      </c>
      <c r="D182" s="3">
        <v>7.166666666666667</v>
      </c>
      <c r="E182" s="5">
        <f t="shared" si="10"/>
        <v>1821</v>
      </c>
      <c r="F182">
        <v>0.39283000000000001</v>
      </c>
      <c r="G182">
        <f t="shared" si="11"/>
        <v>-3.3246099999999998</v>
      </c>
      <c r="H182">
        <f t="shared" si="12"/>
        <v>-3.3246099999999998</v>
      </c>
      <c r="I182" s="5">
        <f t="shared" si="13"/>
        <v>1821</v>
      </c>
      <c r="J182">
        <f>+H182+CF*F182*(1+($I182-1850)*slope/1000)+F182*hQc*COS(2*PI()*$I182/qbo+$L182)+F182*hQs*SIN(2*PI()*$I182/qbo+$L182)+F182*hCs*SIN(2*PI()*$I182/cw)+F182*hCc*COS(2*PI()*$I182/cw) +mix*F182*(hQc*COS(2*PI()*$I182/qbo+$L182)+hQs*SIN(2*PI()*$I182/qbo+$L182))*(hCs*SIN(2*PI()*$I182/cw)+hCc*COS(2*PI()*$I182/cw))</f>
        <v>-2.4701561922449358</v>
      </c>
      <c r="K182">
        <f>fQc*COS(2*PI()*$I182/qbo+$L182)+fQs*SIN(2*PI()*$I182/qbo+$L182)+fCs*SIN(2*PI()*$I182/cw)+fCc*COS(2*PI()*$I182/cw)</f>
        <v>-3.28666858443317</v>
      </c>
      <c r="L182">
        <f>+QMA*COS(2*PI()*$I182/QM+QMP)</f>
        <v>-0.85646886595759641</v>
      </c>
      <c r="P182">
        <f t="shared" si="14"/>
        <v>1</v>
      </c>
    </row>
    <row r="183" spans="1:16" x14ac:dyDescent="0.25">
      <c r="A183" s="1"/>
      <c r="B183" t="s">
        <v>196</v>
      </c>
      <c r="C183" t="s">
        <v>24</v>
      </c>
      <c r="D183" s="3">
        <v>7.208333333333333</v>
      </c>
      <c r="E183" s="5">
        <f t="shared" si="10"/>
        <v>1822</v>
      </c>
      <c r="F183">
        <v>-0.56689000000000001</v>
      </c>
      <c r="G183">
        <f t="shared" si="11"/>
        <v>0.88999000000000006</v>
      </c>
      <c r="H183">
        <f t="shared" si="12"/>
        <v>0.88999000000000006</v>
      </c>
      <c r="I183" s="5">
        <f t="shared" si="13"/>
        <v>1822</v>
      </c>
      <c r="J183">
        <f>+H183+CF*F183*(1+($I183-1850)*slope/1000)+F183*hQc*COS(2*PI()*$I183/qbo+$L183)+F183*hQs*SIN(2*PI()*$I183/qbo+$L183)+F183*hCs*SIN(2*PI()*$I183/cw)+F183*hCc*COS(2*PI()*$I183/cw) +mix*F183*(hQc*COS(2*PI()*$I183/qbo+$L183)+hQs*SIN(2*PI()*$I183/qbo+$L183))*(hCs*SIN(2*PI()*$I183/cw)+hCc*COS(2*PI()*$I183/cw))</f>
        <v>0.61529053587363025</v>
      </c>
      <c r="K183">
        <f>fQc*COS(2*PI()*$I183/qbo+$L183)+fQs*SIN(2*PI()*$I183/qbo+$L183)+fCs*SIN(2*PI()*$I183/cw)+fCc*COS(2*PI()*$I183/cw)</f>
        <v>0.9588301392850842</v>
      </c>
      <c r="L183">
        <f>+QMA*COS(2*PI()*$I183/QM+QMP)</f>
        <v>-0.84425928133614514</v>
      </c>
      <c r="P183">
        <f t="shared" si="14"/>
        <v>1</v>
      </c>
    </row>
    <row r="184" spans="1:16" x14ac:dyDescent="0.25">
      <c r="A184" s="1"/>
      <c r="B184" t="s">
        <v>197</v>
      </c>
      <c r="C184" t="s">
        <v>24</v>
      </c>
      <c r="D184" s="3">
        <v>7.25</v>
      </c>
      <c r="E184" s="5">
        <f t="shared" si="10"/>
        <v>1823</v>
      </c>
      <c r="F184">
        <v>-0.63661999999999996</v>
      </c>
      <c r="G184">
        <f t="shared" si="11"/>
        <v>0.91339999999999988</v>
      </c>
      <c r="H184">
        <f t="shared" si="12"/>
        <v>0.91339999999999988</v>
      </c>
      <c r="I184" s="5">
        <f t="shared" si="13"/>
        <v>1823</v>
      </c>
      <c r="J184">
        <f>+H184+CF*F184*(1+($I184-1850)*slope/1000)+F184*hQc*COS(2*PI()*$I184/qbo+$L184)+F184*hQs*SIN(2*PI()*$I184/qbo+$L184)+F184*hCs*SIN(2*PI()*$I184/cw)+F184*hCc*COS(2*PI()*$I184/cw) +mix*F184*(hQc*COS(2*PI()*$I184/qbo+$L184)+hQs*SIN(2*PI()*$I184/qbo+$L184))*(hCs*SIN(2*PI()*$I184/cw)+hCc*COS(2*PI()*$I184/cw))</f>
        <v>0.43667784430310341</v>
      </c>
      <c r="K184">
        <f>fQc*COS(2*PI()*$I184/qbo+$L184)+fQs*SIN(2*PI()*$I184/qbo+$L184)+fCs*SIN(2*PI()*$I184/cw)+fCc*COS(2*PI()*$I184/cw)</f>
        <v>0.74109092741182081</v>
      </c>
      <c r="L184">
        <f>+QMA*COS(2*PI()*$I184/QM+QMP)</f>
        <v>-0.81737990842815633</v>
      </c>
      <c r="P184">
        <f t="shared" si="14"/>
        <v>1</v>
      </c>
    </row>
    <row r="185" spans="1:16" x14ac:dyDescent="0.25">
      <c r="A185" s="1"/>
      <c r="B185" t="s">
        <v>198</v>
      </c>
      <c r="C185" t="s">
        <v>24</v>
      </c>
      <c r="D185" s="3">
        <v>7.291666666666667</v>
      </c>
      <c r="E185" s="5">
        <f t="shared" si="10"/>
        <v>1824</v>
      </c>
      <c r="F185">
        <v>0.20705000000000001</v>
      </c>
      <c r="G185">
        <f t="shared" si="11"/>
        <v>-0.43204999999999988</v>
      </c>
      <c r="H185">
        <f t="shared" si="12"/>
        <v>-0.43204999999999988</v>
      </c>
      <c r="I185" s="5">
        <f t="shared" si="13"/>
        <v>1824</v>
      </c>
      <c r="J185">
        <f>+H185+CF*F185*(1+($I185-1850)*slope/1000)+F185*hQc*COS(2*PI()*$I185/qbo+$L185)+F185*hQs*SIN(2*PI()*$I185/qbo+$L185)+F185*hCs*SIN(2*PI()*$I185/cw)+F185*hCc*COS(2*PI()*$I185/cw) +mix*F185*(hQc*COS(2*PI()*$I185/qbo+$L185)+hQs*SIN(2*PI()*$I185/qbo+$L185))*(hCs*SIN(2*PI()*$I185/cw)+hCc*COS(2*PI()*$I185/cw))</f>
        <v>-0.29715251786384156</v>
      </c>
      <c r="K185">
        <f>fQc*COS(2*PI()*$I185/qbo+$L185)+fQs*SIN(2*PI()*$I185/qbo+$L185)+fCs*SIN(2*PI()*$I185/cw)+fCc*COS(2*PI()*$I185/cw)</f>
        <v>-2.8720091910320971</v>
      </c>
      <c r="L185">
        <f>+QMA*COS(2*PI()*$I185/QM+QMP)</f>
        <v>-0.77629780127564019</v>
      </c>
      <c r="P185">
        <f t="shared" si="14"/>
        <v>1</v>
      </c>
    </row>
    <row r="186" spans="1:16" x14ac:dyDescent="0.25">
      <c r="A186" s="1"/>
      <c r="B186" t="s">
        <v>199</v>
      </c>
      <c r="C186" t="s">
        <v>24</v>
      </c>
      <c r="D186" s="3">
        <v>7.333333333333333</v>
      </c>
      <c r="E186" s="5">
        <f t="shared" si="10"/>
        <v>1825</v>
      </c>
      <c r="F186">
        <v>0.61867000000000005</v>
      </c>
      <c r="G186">
        <f t="shared" si="11"/>
        <v>-1.02498</v>
      </c>
      <c r="H186">
        <f t="shared" si="12"/>
        <v>-1.02498</v>
      </c>
      <c r="I186" s="5">
        <f t="shared" si="13"/>
        <v>1825</v>
      </c>
      <c r="J186">
        <f>+H186+CF*F186*(1+($I186-1850)*slope/1000)+F186*hQc*COS(2*PI()*$I186/qbo+$L186)+F186*hQs*SIN(2*PI()*$I186/qbo+$L186)+F186*hCs*SIN(2*PI()*$I186/cw)+F186*hCc*COS(2*PI()*$I186/cw) +mix*F186*(hQc*COS(2*PI()*$I186/qbo+$L186)+hQs*SIN(2*PI()*$I186/qbo+$L186))*(hCs*SIN(2*PI()*$I186/cw)+hCc*COS(2*PI()*$I186/cw))</f>
        <v>1.7805521489992981</v>
      </c>
      <c r="K186">
        <f>fQc*COS(2*PI()*$I186/qbo+$L186)+fQs*SIN(2*PI()*$I186/qbo+$L186)+fCs*SIN(2*PI()*$I186/cw)+fCc*COS(2*PI()*$I186/cw)</f>
        <v>4.2865221649868275</v>
      </c>
      <c r="L186">
        <f>+QMA*COS(2*PI()*$I186/QM+QMP)</f>
        <v>-0.72172679960483399</v>
      </c>
      <c r="P186">
        <f t="shared" si="14"/>
        <v>1</v>
      </c>
    </row>
    <row r="187" spans="1:16" x14ac:dyDescent="0.25">
      <c r="A187" s="1"/>
      <c r="B187" t="s">
        <v>200</v>
      </c>
      <c r="C187" t="s">
        <v>24</v>
      </c>
      <c r="D187" s="3">
        <v>7.375</v>
      </c>
      <c r="E187" s="5">
        <f t="shared" si="10"/>
        <v>1826</v>
      </c>
      <c r="F187">
        <v>5.3099999999999996E-3</v>
      </c>
      <c r="G187">
        <f t="shared" si="11"/>
        <v>1.6189200000000001</v>
      </c>
      <c r="H187">
        <f t="shared" si="12"/>
        <v>1.6189200000000001</v>
      </c>
      <c r="I187" s="5">
        <f t="shared" si="13"/>
        <v>1826</v>
      </c>
      <c r="J187">
        <f>+H187+CF*F187*(1+($I187-1850)*slope/1000)+F187*hQc*COS(2*PI()*$I187/qbo+$L187)+F187*hQs*SIN(2*PI()*$I187/qbo+$L187)+F187*hCs*SIN(2*PI()*$I187/cw)+F187*hCc*COS(2*PI()*$I187/cw) +mix*F187*(hQc*COS(2*PI()*$I187/qbo+$L187)+hQs*SIN(2*PI()*$I187/qbo+$L187))*(hCs*SIN(2*PI()*$I187/cw)+hCc*COS(2*PI()*$I187/cw))</f>
        <v>1.6170682841481894</v>
      </c>
      <c r="K187">
        <f>fQc*COS(2*PI()*$I187/qbo+$L187)+fQs*SIN(2*PI()*$I187/qbo+$L187)+fCs*SIN(2*PI()*$I187/cw)+fCc*COS(2*PI()*$I187/cw)</f>
        <v>-4.7029636599234976</v>
      </c>
      <c r="L187">
        <f>+QMA*COS(2*PI()*$I187/QM+QMP)</f>
        <v>-0.6546151251987905</v>
      </c>
      <c r="P187">
        <f t="shared" si="14"/>
        <v>0</v>
      </c>
    </row>
    <row r="188" spans="1:16" x14ac:dyDescent="0.25">
      <c r="A188" s="1"/>
      <c r="B188" t="s">
        <v>201</v>
      </c>
      <c r="C188" t="s">
        <v>24</v>
      </c>
      <c r="D188" s="3">
        <v>7.416666666666667</v>
      </c>
      <c r="E188" s="5">
        <f t="shared" si="10"/>
        <v>1827</v>
      </c>
      <c r="F188">
        <v>1.0108699999999999</v>
      </c>
      <c r="G188">
        <f t="shared" si="11"/>
        <v>-0.80272999999999994</v>
      </c>
      <c r="H188">
        <f t="shared" si="12"/>
        <v>-0.80272999999999994</v>
      </c>
      <c r="I188" s="5">
        <f t="shared" si="13"/>
        <v>1827</v>
      </c>
      <c r="J188">
        <f>+H188+CF*F188*(1+($I188-1850)*slope/1000)+F188*hQc*COS(2*PI()*$I188/qbo+$L188)+F188*hQs*SIN(2*PI()*$I188/qbo+$L188)+F188*hCs*SIN(2*PI()*$I188/cw)+F188*hCc*COS(2*PI()*$I188/cw) +mix*F188*(hQc*COS(2*PI()*$I188/qbo+$L188)+hQs*SIN(2*PI()*$I188/qbo+$L188))*(hCs*SIN(2*PI()*$I188/cw)+hCc*COS(2*PI()*$I188/cw))</f>
        <v>0.88949323362613963</v>
      </c>
      <c r="K188">
        <f>fQc*COS(2*PI()*$I188/qbo+$L188)+fQs*SIN(2*PI()*$I188/qbo+$L188)+fCs*SIN(2*PI()*$I188/cw)+fCc*COS(2*PI()*$I188/cw)</f>
        <v>5.1290806163247575</v>
      </c>
      <c r="L188">
        <f>+QMA*COS(2*PI()*$I188/QM+QMP)</f>
        <v>-0.57612890566414277</v>
      </c>
      <c r="P188">
        <f t="shared" si="14"/>
        <v>1</v>
      </c>
    </row>
    <row r="189" spans="1:16" x14ac:dyDescent="0.25">
      <c r="A189" s="1"/>
      <c r="B189" t="s">
        <v>202</v>
      </c>
      <c r="C189" t="s">
        <v>24</v>
      </c>
      <c r="D189" s="3">
        <v>7.458333333333333</v>
      </c>
      <c r="E189" s="5">
        <f t="shared" si="10"/>
        <v>1828</v>
      </c>
      <c r="F189">
        <v>1.2137</v>
      </c>
      <c r="G189">
        <f t="shared" si="11"/>
        <v>-0.55542000000000002</v>
      </c>
      <c r="H189">
        <f t="shared" si="12"/>
        <v>-0.55542000000000002</v>
      </c>
      <c r="I189" s="5">
        <f t="shared" si="13"/>
        <v>1828</v>
      </c>
      <c r="J189">
        <f>+H189+CF*F189*(1+($I189-1850)*slope/1000)+F189*hQc*COS(2*PI()*$I189/qbo+$L189)+F189*hQs*SIN(2*PI()*$I189/qbo+$L189)+F189*hCs*SIN(2*PI()*$I189/cw)+F189*hCc*COS(2*PI()*$I189/cw) +mix*F189*(hQc*COS(2*PI()*$I189/qbo+$L189)+hQs*SIN(2*PI()*$I189/qbo+$L189))*(hCs*SIN(2*PI()*$I189/cw)+hCc*COS(2*PI()*$I189/cw))</f>
        <v>2.2593048131439897</v>
      </c>
      <c r="K189">
        <f>fQc*COS(2*PI()*$I189/qbo+$L189)+fQs*SIN(2*PI()*$I189/qbo+$L189)+fCs*SIN(2*PI()*$I189/cw)+fCc*COS(2*PI()*$I189/cw)</f>
        <v>-4.1490969412942871</v>
      </c>
      <c r="L189">
        <f>+QMA*COS(2*PI()*$I189/QM+QMP)</f>
        <v>-0.48763191188192229</v>
      </c>
      <c r="P189">
        <f t="shared" si="14"/>
        <v>0</v>
      </c>
    </row>
    <row r="190" spans="1:16" x14ac:dyDescent="0.25">
      <c r="A190" s="1"/>
      <c r="B190" t="s">
        <v>203</v>
      </c>
      <c r="C190" t="s">
        <v>24</v>
      </c>
      <c r="D190" s="3">
        <v>7.5</v>
      </c>
      <c r="E190" s="5">
        <f t="shared" si="10"/>
        <v>1829</v>
      </c>
      <c r="F190">
        <v>0.86111000000000004</v>
      </c>
      <c r="G190">
        <f t="shared" si="11"/>
        <v>-0.45816000000000012</v>
      </c>
      <c r="H190">
        <f t="shared" si="12"/>
        <v>-0.45816000000000012</v>
      </c>
      <c r="I190" s="5">
        <f t="shared" si="13"/>
        <v>1829</v>
      </c>
      <c r="J190">
        <f>+H190+CF*F190*(1+($I190-1850)*slope/1000)+F190*hQc*COS(2*PI()*$I190/qbo+$L190)+F190*hQs*SIN(2*PI()*$I190/qbo+$L190)+F190*hCs*SIN(2*PI()*$I190/cw)+F190*hCc*COS(2*PI()*$I190/cw) +mix*F190*(hQc*COS(2*PI()*$I190/qbo+$L190)+hQs*SIN(2*PI()*$I190/qbo+$L190))*(hCs*SIN(2*PI()*$I190/cw)+hCc*COS(2*PI()*$I190/cw))</f>
        <v>-1.7077063914570518</v>
      </c>
      <c r="K190">
        <f>fQc*COS(2*PI()*$I190/qbo+$L190)+fQs*SIN(2*PI()*$I190/qbo+$L190)+fCs*SIN(2*PI()*$I190/cw)+fCc*COS(2*PI()*$I190/cw)</f>
        <v>3.0715688470417417</v>
      </c>
      <c r="L190">
        <f>+QMA*COS(2*PI()*$I190/QM+QMP)</f>
        <v>-0.39066186122346863</v>
      </c>
      <c r="P190">
        <f t="shared" si="14"/>
        <v>0</v>
      </c>
    </row>
    <row r="191" spans="1:16" x14ac:dyDescent="0.25">
      <c r="A191" s="1"/>
      <c r="B191" t="s">
        <v>204</v>
      </c>
      <c r="C191" t="s">
        <v>24</v>
      </c>
      <c r="D191" s="3">
        <v>7.541666666666667</v>
      </c>
      <c r="E191" s="5">
        <f t="shared" si="10"/>
        <v>1830</v>
      </c>
      <c r="F191">
        <v>5.0360000000000002E-2</v>
      </c>
      <c r="G191">
        <f t="shared" si="11"/>
        <v>0.28301000000000009</v>
      </c>
      <c r="H191">
        <f t="shared" si="12"/>
        <v>0.28301000000000009</v>
      </c>
      <c r="I191" s="5">
        <f t="shared" si="13"/>
        <v>1830</v>
      </c>
      <c r="J191">
        <f>+H191+CF*F191*(1+($I191-1850)*slope/1000)+F191*hQc*COS(2*PI()*$I191/qbo+$L191)+F191*hQs*SIN(2*PI()*$I191/qbo+$L191)+F191*hCs*SIN(2*PI()*$I191/cw)+F191*hCc*COS(2*PI()*$I191/cw) +mix*F191*(hQc*COS(2*PI()*$I191/qbo+$L191)+hQs*SIN(2*PI()*$I191/qbo+$L191))*(hCs*SIN(2*PI()*$I191/cw)+hCc*COS(2*PI()*$I191/cw))</f>
        <v>0.31430691118836118</v>
      </c>
      <c r="K191">
        <f>fQc*COS(2*PI()*$I191/qbo+$L191)+fQs*SIN(2*PI()*$I191/qbo+$L191)+fCs*SIN(2*PI()*$I191/cw)+fCc*COS(2*PI()*$I191/cw)</f>
        <v>-1.7457526323065167</v>
      </c>
      <c r="L191">
        <f>+QMA*COS(2*PI()*$I191/QM+QMP)</f>
        <v>-0.28690369828427031</v>
      </c>
      <c r="P191">
        <f t="shared" si="14"/>
        <v>0</v>
      </c>
    </row>
    <row r="192" spans="1:16" x14ac:dyDescent="0.25">
      <c r="A192" s="1"/>
      <c r="B192" t="s">
        <v>205</v>
      </c>
      <c r="C192" t="s">
        <v>24</v>
      </c>
      <c r="D192" s="3">
        <v>7.583333333333333</v>
      </c>
      <c r="E192" s="5">
        <f t="shared" si="10"/>
        <v>1831</v>
      </c>
      <c r="F192">
        <v>-0.47738000000000003</v>
      </c>
      <c r="G192">
        <f t="shared" si="11"/>
        <v>1.6845300000000001</v>
      </c>
      <c r="H192">
        <f t="shared" si="12"/>
        <v>1.6845300000000001</v>
      </c>
      <c r="I192" s="5">
        <f t="shared" si="13"/>
        <v>1831</v>
      </c>
      <c r="J192">
        <f>+H192+CF*F192*(1+($I192-1850)*slope/1000)+F192*hQc*COS(2*PI()*$I192/qbo+$L192)+F192*hQs*SIN(2*PI()*$I192/qbo+$L192)+F192*hCs*SIN(2*PI()*$I192/cw)+F192*hCc*COS(2*PI()*$I192/cw) +mix*F192*(hQc*COS(2*PI()*$I192/qbo+$L192)+hQs*SIN(2*PI()*$I192/qbo+$L192))*(hCs*SIN(2*PI()*$I192/cw)+hCc*COS(2*PI()*$I192/cw))</f>
        <v>1.0871116996510124</v>
      </c>
      <c r="K192">
        <f>fQc*COS(2*PI()*$I192/qbo+$L192)+fQs*SIN(2*PI()*$I192/qbo+$L192)+fCs*SIN(2*PI()*$I192/cw)+fCc*COS(2*PI()*$I192/cw)</f>
        <v>-0.33337632940974149</v>
      </c>
      <c r="L192">
        <f>+QMA*COS(2*PI()*$I192/QM+QMP)</f>
        <v>-0.17816031740845406</v>
      </c>
      <c r="P192">
        <f t="shared" si="14"/>
        <v>0</v>
      </c>
    </row>
    <row r="193" spans="1:16" x14ac:dyDescent="0.25">
      <c r="A193" s="1"/>
      <c r="B193" t="s">
        <v>206</v>
      </c>
      <c r="C193" t="s">
        <v>24</v>
      </c>
      <c r="D193" s="3">
        <v>7.625</v>
      </c>
      <c r="E193" s="5">
        <f t="shared" si="10"/>
        <v>1832</v>
      </c>
      <c r="F193">
        <v>0.67940999999999996</v>
      </c>
      <c r="G193">
        <f t="shared" si="11"/>
        <v>0.30939000000000005</v>
      </c>
      <c r="H193">
        <f t="shared" si="12"/>
        <v>0.30939000000000005</v>
      </c>
      <c r="I193" s="5">
        <f t="shared" si="13"/>
        <v>1832</v>
      </c>
      <c r="J193">
        <f>+H193+CF*F193*(1+($I193-1850)*slope/1000)+F193*hQc*COS(2*PI()*$I193/qbo+$L193)+F193*hQs*SIN(2*PI()*$I193/qbo+$L193)+F193*hCs*SIN(2*PI()*$I193/cw)+F193*hCc*COS(2*PI()*$I193/cw) +mix*F193*(hQc*COS(2*PI()*$I193/qbo+$L193)+hQs*SIN(2*PI()*$I193/qbo+$L193))*(hCs*SIN(2*PI()*$I193/cw)+hCc*COS(2*PI()*$I193/cw))</f>
        <v>0.88503391981527579</v>
      </c>
      <c r="K193">
        <f>fQc*COS(2*PI()*$I193/qbo+$L193)+fQs*SIN(2*PI()*$I193/qbo+$L193)+fCs*SIN(2*PI()*$I193/cw)+fCc*COS(2*PI()*$I193/cw)</f>
        <v>1.5987511934548777</v>
      </c>
      <c r="L193">
        <f>+QMA*COS(2*PI()*$I193/QM+QMP)</f>
        <v>-6.6321235726995428E-2</v>
      </c>
      <c r="P193">
        <f t="shared" si="14"/>
        <v>1</v>
      </c>
    </row>
    <row r="194" spans="1:16" x14ac:dyDescent="0.25">
      <c r="A194" s="1"/>
      <c r="B194" t="s">
        <v>207</v>
      </c>
      <c r="C194" t="s">
        <v>24</v>
      </c>
      <c r="D194" s="3">
        <v>7.666666666666667</v>
      </c>
      <c r="E194" s="5">
        <f t="shared" si="10"/>
        <v>1833</v>
      </c>
      <c r="F194">
        <v>2.1455899999999999</v>
      </c>
      <c r="G194">
        <f t="shared" si="11"/>
        <v>-2.7098499999999999</v>
      </c>
      <c r="H194">
        <f t="shared" si="12"/>
        <v>-2.7098499999999999</v>
      </c>
      <c r="I194" s="5">
        <f t="shared" si="13"/>
        <v>1833</v>
      </c>
      <c r="J194">
        <f>+H194+CF*F194*(1+($I194-1850)*slope/1000)+F194*hQc*COS(2*PI()*$I194/qbo+$L194)+F194*hQs*SIN(2*PI()*$I194/qbo+$L194)+F194*hCs*SIN(2*PI()*$I194/cw)+F194*hCc*COS(2*PI()*$I194/cw) +mix*F194*(hQc*COS(2*PI()*$I194/qbo+$L194)+hQs*SIN(2*PI()*$I194/qbo+$L194))*(hCs*SIN(2*PI()*$I194/cw)+hCc*COS(2*PI()*$I194/cw))</f>
        <v>-1.9935368578533619</v>
      </c>
      <c r="K194">
        <f>fQc*COS(2*PI()*$I194/qbo+$L194)+fQs*SIN(2*PI()*$I194/qbo+$L194)+fCs*SIN(2*PI()*$I194/cw)+fCc*COS(2*PI()*$I194/cw)</f>
        <v>-3.260962963403029</v>
      </c>
      <c r="L194">
        <f>+QMA*COS(2*PI()*$I194/QM+QMP)</f>
        <v>4.667023895571875E-2</v>
      </c>
      <c r="P194">
        <f t="shared" si="14"/>
        <v>1</v>
      </c>
    </row>
    <row r="195" spans="1:16" x14ac:dyDescent="0.25">
      <c r="A195" s="1"/>
      <c r="B195" t="s">
        <v>208</v>
      </c>
      <c r="C195" t="s">
        <v>24</v>
      </c>
      <c r="D195" s="3">
        <v>7.708333333333333</v>
      </c>
      <c r="E195" s="5">
        <f t="shared" si="10"/>
        <v>1834</v>
      </c>
      <c r="F195">
        <v>0.90192000000000005</v>
      </c>
      <c r="G195">
        <f t="shared" si="11"/>
        <v>0.3685299999999998</v>
      </c>
      <c r="H195">
        <f t="shared" si="12"/>
        <v>0.3685299999999998</v>
      </c>
      <c r="I195" s="5">
        <f t="shared" si="13"/>
        <v>1834</v>
      </c>
      <c r="J195">
        <f>+H195+CF*F195*(1+($I195-1850)*slope/1000)+F195*hQc*COS(2*PI()*$I195/qbo+$L195)+F195*hQs*SIN(2*PI()*$I195/qbo+$L195)+F195*hCs*SIN(2*PI()*$I195/cw)+F195*hCc*COS(2*PI()*$I195/cw) +mix*F195*(hQc*COS(2*PI()*$I195/qbo+$L195)+hQs*SIN(2*PI()*$I195/qbo+$L195))*(hCs*SIN(2*PI()*$I195/cw)+hCc*COS(2*PI()*$I195/cw))</f>
        <v>4.4827153178738604</v>
      </c>
      <c r="K195">
        <f>fQc*COS(2*PI()*$I195/qbo+$L195)+fQs*SIN(2*PI()*$I195/qbo+$L195)+fCs*SIN(2*PI()*$I195/cw)+fCc*COS(2*PI()*$I195/cw)</f>
        <v>4.428342732108848</v>
      </c>
      <c r="L195">
        <f>+QMA*COS(2*PI()*$I195/QM+QMP)</f>
        <v>0.15885077493761227</v>
      </c>
      <c r="P195">
        <f t="shared" si="14"/>
        <v>1</v>
      </c>
    </row>
    <row r="196" spans="1:16" x14ac:dyDescent="0.25">
      <c r="A196" s="1"/>
      <c r="B196" t="s">
        <v>209</v>
      </c>
      <c r="C196" t="s">
        <v>24</v>
      </c>
      <c r="D196" s="3">
        <v>7.75</v>
      </c>
      <c r="E196" s="5">
        <f t="shared" si="10"/>
        <v>1835</v>
      </c>
      <c r="F196">
        <v>2.6780000000000002E-2</v>
      </c>
      <c r="G196">
        <f t="shared" si="11"/>
        <v>0.85698000000000008</v>
      </c>
      <c r="H196">
        <f t="shared" si="12"/>
        <v>0.85698000000000008</v>
      </c>
      <c r="I196" s="5">
        <f t="shared" si="13"/>
        <v>1835</v>
      </c>
      <c r="J196">
        <f>+H196+CF*F196*(1+($I196-1850)*slope/1000)+F196*hQc*COS(2*PI()*$I196/qbo+$L196)+F196*hQs*SIN(2*PI()*$I196/qbo+$L196)+F196*hCs*SIN(2*PI()*$I196/cw)+F196*hCc*COS(2*PI()*$I196/cw) +mix*F196*(hQc*COS(2*PI()*$I196/qbo+$L196)+hQs*SIN(2*PI()*$I196/qbo+$L196))*(hCs*SIN(2*PI()*$I196/cw)+hCc*COS(2*PI()*$I196/cw))</f>
        <v>0.85005854501904543</v>
      </c>
      <c r="K196">
        <f>fQc*COS(2*PI()*$I196/qbo+$L196)+fQs*SIN(2*PI()*$I196/qbo+$L196)+fCs*SIN(2*PI()*$I196/cw)+fCc*COS(2*PI()*$I196/cw)</f>
        <v>-4.6977967828703671</v>
      </c>
      <c r="L196">
        <f>+QMA*COS(2*PI()*$I196/QM+QMP)</f>
        <v>0.26827113132889679</v>
      </c>
      <c r="P196">
        <f t="shared" si="14"/>
        <v>0</v>
      </c>
    </row>
    <row r="197" spans="1:16" x14ac:dyDescent="0.25">
      <c r="A197" s="1"/>
      <c r="B197" t="s">
        <v>210</v>
      </c>
      <c r="C197" t="s">
        <v>24</v>
      </c>
      <c r="D197" s="3">
        <v>7.791666666666667</v>
      </c>
      <c r="E197" s="5">
        <f t="shared" si="10"/>
        <v>1836</v>
      </c>
      <c r="F197">
        <v>8.6199999999999992E-3</v>
      </c>
      <c r="G197">
        <f t="shared" si="11"/>
        <v>1.0293399999999999</v>
      </c>
      <c r="H197">
        <f t="shared" si="12"/>
        <v>1.0293399999999999</v>
      </c>
      <c r="I197" s="5">
        <f t="shared" si="13"/>
        <v>1836</v>
      </c>
      <c r="J197">
        <f>+H197+CF*F197*(1+($I197-1850)*slope/1000)+F197*hQc*COS(2*PI()*$I197/qbo+$L197)+F197*hQs*SIN(2*PI()*$I197/qbo+$L197)+F197*hCs*SIN(2*PI()*$I197/cw)+F197*hCc*COS(2*PI()*$I197/cw) +mix*F197*(hQc*COS(2*PI()*$I197/qbo+$L197)+hQs*SIN(2*PI()*$I197/qbo+$L197))*(hCs*SIN(2*PI()*$I197/cw)+hCc*COS(2*PI()*$I197/cw))</f>
        <v>1.0394534239310831</v>
      </c>
      <c r="K197">
        <f>fQc*COS(2*PI()*$I197/qbo+$L197)+fQs*SIN(2*PI()*$I197/qbo+$L197)+fCs*SIN(2*PI()*$I197/cw)+fCc*COS(2*PI()*$I197/cw)</f>
        <v>5.1403408464991029</v>
      </c>
      <c r="L197">
        <f>+QMA*COS(2*PI()*$I197/QM+QMP)</f>
        <v>0.37303002792110629</v>
      </c>
      <c r="P197">
        <f t="shared" si="14"/>
        <v>1</v>
      </c>
    </row>
    <row r="198" spans="1:16" x14ac:dyDescent="0.25">
      <c r="A198" s="1"/>
      <c r="B198" t="s">
        <v>211</v>
      </c>
      <c r="C198" t="s">
        <v>24</v>
      </c>
      <c r="D198" s="3">
        <v>7.833333333333333</v>
      </c>
      <c r="E198" s="5">
        <f t="shared" si="10"/>
        <v>1837</v>
      </c>
      <c r="F198">
        <v>1.0198</v>
      </c>
      <c r="G198">
        <f t="shared" si="11"/>
        <v>-1.1686000000000001</v>
      </c>
      <c r="H198">
        <f t="shared" si="12"/>
        <v>-1.1686000000000001</v>
      </c>
      <c r="I198" s="5">
        <f t="shared" si="13"/>
        <v>1837</v>
      </c>
      <c r="J198">
        <f>+H198+CF*F198*(1+($I198-1850)*slope/1000)+F198*hQc*COS(2*PI()*$I198/qbo+$L198)+F198*hQs*SIN(2*PI()*$I198/qbo+$L198)+F198*hCs*SIN(2*PI()*$I198/cw)+F198*hCc*COS(2*PI()*$I198/cw) +mix*F198*(hQc*COS(2*PI()*$I198/qbo+$L198)+hQs*SIN(2*PI()*$I198/qbo+$L198))*(hCs*SIN(2*PI()*$I198/cw)+hCc*COS(2*PI()*$I198/cw))</f>
        <v>1.3474446413744818</v>
      </c>
      <c r="K198">
        <f>fQc*COS(2*PI()*$I198/qbo+$L198)+fQs*SIN(2*PI()*$I198/qbo+$L198)+fCs*SIN(2*PI()*$I198/cw)+fCc*COS(2*PI()*$I198/cw)</f>
        <v>-4.2515544027113084</v>
      </c>
      <c r="L198">
        <f>+QMA*COS(2*PI()*$I198/QM+QMP)</f>
        <v>0.47130718169437608</v>
      </c>
      <c r="P198">
        <f t="shared" si="14"/>
        <v>0</v>
      </c>
    </row>
    <row r="199" spans="1:16" x14ac:dyDescent="0.25">
      <c r="A199" s="1"/>
      <c r="B199" t="s">
        <v>212</v>
      </c>
      <c r="C199" t="s">
        <v>24</v>
      </c>
      <c r="D199" s="3">
        <v>7.875</v>
      </c>
      <c r="E199" s="5">
        <f t="shared" si="10"/>
        <v>1838</v>
      </c>
      <c r="F199">
        <v>0.86238000000000004</v>
      </c>
      <c r="G199">
        <f t="shared" si="11"/>
        <v>1.4644500000000003</v>
      </c>
      <c r="H199">
        <f t="shared" si="12"/>
        <v>1.4644500000000003</v>
      </c>
      <c r="I199" s="5">
        <f t="shared" si="13"/>
        <v>1838</v>
      </c>
      <c r="J199">
        <f>+H199+CF*F199*(1+($I199-1850)*slope/1000)+F199*hQc*COS(2*PI()*$I199/qbo+$L199)+F199*hQs*SIN(2*PI()*$I199/qbo+$L199)+F199*hCs*SIN(2*PI()*$I199/cw)+F199*hCc*COS(2*PI()*$I199/cw) +mix*F199*(hQc*COS(2*PI()*$I199/qbo+$L199)+hQs*SIN(2*PI()*$I199/qbo+$L199))*(hCs*SIN(2*PI()*$I199/cw)+hCc*COS(2*PI()*$I199/cw))</f>
        <v>-2.055111692361411E-2</v>
      </c>
      <c r="K199">
        <f>fQc*COS(2*PI()*$I199/qbo+$L199)+fQs*SIN(2*PI()*$I199/qbo+$L199)+fCs*SIN(2*PI()*$I199/cw)+fCc*COS(2*PI()*$I199/cw)</f>
        <v>3.1468593567556877</v>
      </c>
      <c r="L199">
        <f>+QMA*COS(2*PI()*$I199/QM+QMP)</f>
        <v>0.56139493592385881</v>
      </c>
      <c r="P199">
        <f t="shared" si="14"/>
        <v>0</v>
      </c>
    </row>
    <row r="200" spans="1:16" x14ac:dyDescent="0.25">
      <c r="A200" s="1"/>
      <c r="B200" t="s">
        <v>213</v>
      </c>
      <c r="C200" t="s">
        <v>24</v>
      </c>
      <c r="D200" s="3">
        <v>7.916666666666667</v>
      </c>
      <c r="E200" s="5">
        <f t="shared" si="10"/>
        <v>1839</v>
      </c>
      <c r="F200">
        <v>2.1694100000000001</v>
      </c>
      <c r="G200">
        <f t="shared" si="11"/>
        <v>-3.0995699999999999</v>
      </c>
      <c r="H200">
        <f t="shared" si="12"/>
        <v>-3.0995699999999999</v>
      </c>
      <c r="I200" s="5">
        <f t="shared" si="13"/>
        <v>1839</v>
      </c>
      <c r="J200">
        <f>+H200+CF*F200*(1+($I200-1850)*slope/1000)+F200*hQc*COS(2*PI()*$I200/qbo+$L200)+F200*hQs*SIN(2*PI()*$I200/qbo+$L200)+F200*hCs*SIN(2*PI()*$I200/cw)+F200*hCc*COS(2*PI()*$I200/cw) +mix*F200*(hQc*COS(2*PI()*$I200/qbo+$L200)+hQs*SIN(2*PI()*$I200/qbo+$L200))*(hCs*SIN(2*PI()*$I200/cw)+hCc*COS(2*PI()*$I200/cw))</f>
        <v>-1.8448661665764772</v>
      </c>
      <c r="K200">
        <f>fQc*COS(2*PI()*$I200/qbo+$L200)+fQs*SIN(2*PI()*$I200/qbo+$L200)+fCs*SIN(2*PI()*$I200/cw)+fCc*COS(2*PI()*$I200/cw)</f>
        <v>-1.7702991253031792</v>
      </c>
      <c r="L200">
        <f>+QMA*COS(2*PI()*$I200/QM+QMP)</f>
        <v>0.64172793229972436</v>
      </c>
      <c r="P200">
        <f t="shared" si="14"/>
        <v>1</v>
      </c>
    </row>
    <row r="201" spans="1:16" x14ac:dyDescent="0.25">
      <c r="A201" s="1"/>
      <c r="B201" t="s">
        <v>214</v>
      </c>
      <c r="C201" t="s">
        <v>24</v>
      </c>
      <c r="D201" s="3">
        <v>7.958333333333333</v>
      </c>
      <c r="E201" s="5">
        <f t="shared" si="10"/>
        <v>1840</v>
      </c>
      <c r="F201">
        <v>0.37686999999999998</v>
      </c>
      <c r="G201">
        <f t="shared" si="11"/>
        <v>1.48078</v>
      </c>
      <c r="H201">
        <f t="shared" si="12"/>
        <v>1.48078</v>
      </c>
      <c r="I201" s="5">
        <f t="shared" si="13"/>
        <v>1840</v>
      </c>
      <c r="J201">
        <f>+H201+CF*F201*(1+($I201-1850)*slope/1000)+F201*hQc*COS(2*PI()*$I201/qbo+$L201)+F201*hQs*SIN(2*PI()*$I201/qbo+$L201)+F201*hCs*SIN(2*PI()*$I201/cw)+F201*hCc*COS(2*PI()*$I201/cw) +mix*F201*(hQc*COS(2*PI()*$I201/qbo+$L201)+hQs*SIN(2*PI()*$I201/qbo+$L201))*(hCs*SIN(2*PI()*$I201/cw)+hCc*COS(2*PI()*$I201/cw))</f>
        <v>1.9635111695156329</v>
      </c>
      <c r="K201">
        <f>fQc*COS(2*PI()*$I201/qbo+$L201)+fQs*SIN(2*PI()*$I201/qbo+$L201)+fCs*SIN(2*PI()*$I201/cw)+fCc*COS(2*PI()*$I201/cw)</f>
        <v>-0.51980844402035031</v>
      </c>
      <c r="L201">
        <f>+QMA*COS(2*PI()*$I201/QM+QMP)</f>
        <v>0.71091031047984365</v>
      </c>
      <c r="P201">
        <f t="shared" si="14"/>
        <v>0</v>
      </c>
    </row>
    <row r="202" spans="1:16" x14ac:dyDescent="0.25">
      <c r="A202" s="1"/>
      <c r="B202" t="s">
        <v>215</v>
      </c>
      <c r="C202" t="s">
        <v>24</v>
      </c>
      <c r="D202" s="3">
        <v>8</v>
      </c>
      <c r="E202" s="5">
        <f t="shared" si="10"/>
        <v>1841</v>
      </c>
      <c r="F202">
        <v>6.5110000000000001E-2</v>
      </c>
      <c r="G202">
        <f t="shared" si="11"/>
        <v>-0.61817000000000011</v>
      </c>
      <c r="H202">
        <f t="shared" si="12"/>
        <v>-0.61817000000000011</v>
      </c>
      <c r="I202" s="5">
        <f t="shared" si="13"/>
        <v>1841</v>
      </c>
      <c r="J202">
        <f>+H202+CF*F202*(1+($I202-1850)*slope/1000)+F202*hQc*COS(2*PI()*$I202/qbo+$L202)+F202*hQs*SIN(2*PI()*$I202/qbo+$L202)+F202*hCs*SIN(2*PI()*$I202/cw)+F202*hCc*COS(2*PI()*$I202/cw) +mix*F202*(hQc*COS(2*PI()*$I202/qbo+$L202)+hQs*SIN(2*PI()*$I202/qbo+$L202))*(hCs*SIN(2*PI()*$I202/cw)+hCc*COS(2*PI()*$I202/cw))</f>
        <v>-0.54835060071192032</v>
      </c>
      <c r="K202">
        <f>fQc*COS(2*PI()*$I202/qbo+$L202)+fQs*SIN(2*PI()*$I202/qbo+$L202)+fCs*SIN(2*PI()*$I202/cw)+fCc*COS(2*PI()*$I202/cw)</f>
        <v>2.0392695587870193</v>
      </c>
      <c r="L202">
        <f>+QMA*COS(2*PI()*$I202/QM+QMP)</f>
        <v>0.76773996245839948</v>
      </c>
      <c r="P202">
        <f t="shared" si="14"/>
        <v>0</v>
      </c>
    </row>
    <row r="203" spans="1:16" x14ac:dyDescent="0.25">
      <c r="A203" s="1"/>
      <c r="B203" t="s">
        <v>216</v>
      </c>
      <c r="C203" t="s">
        <v>24</v>
      </c>
      <c r="D203" s="3">
        <v>8.0416666666666661</v>
      </c>
      <c r="E203" s="5">
        <f t="shared" si="10"/>
        <v>1842</v>
      </c>
      <c r="F203">
        <v>-0.86482000000000003</v>
      </c>
      <c r="G203">
        <f t="shared" si="11"/>
        <v>1.83446</v>
      </c>
      <c r="H203">
        <f t="shared" si="12"/>
        <v>1.83446</v>
      </c>
      <c r="I203" s="5">
        <f t="shared" si="13"/>
        <v>1842</v>
      </c>
      <c r="J203">
        <f>+H203+CF*F203*(1+($I203-1850)*slope/1000)+F203*hQc*COS(2*PI()*$I203/qbo+$L203)+F203*hQs*SIN(2*PI()*$I203/qbo+$L203)+F203*hCs*SIN(2*PI()*$I203/cw)+F203*hCc*COS(2*PI()*$I203/cw) +mix*F203*(hQc*COS(2*PI()*$I203/qbo+$L203)+hQs*SIN(2*PI()*$I203/qbo+$L203))*(hCs*SIN(2*PI()*$I203/cw)+hCc*COS(2*PI()*$I203/cw))</f>
        <v>1.8718699641222816</v>
      </c>
      <c r="K203">
        <f>fQc*COS(2*PI()*$I203/qbo+$L203)+fQs*SIN(2*PI()*$I203/qbo+$L203)+fCs*SIN(2*PI()*$I203/cw)+fCc*COS(2*PI()*$I203/cw)</f>
        <v>-3.8110173033870378</v>
      </c>
      <c r="L203">
        <f>+QMA*COS(2*PI()*$I203/QM+QMP)</f>
        <v>0.81122942030781109</v>
      </c>
      <c r="P203">
        <f t="shared" si="14"/>
        <v>0</v>
      </c>
    </row>
    <row r="204" spans="1:16" x14ac:dyDescent="0.25">
      <c r="A204" s="1"/>
      <c r="B204" t="s">
        <v>217</v>
      </c>
      <c r="C204" t="s">
        <v>24</v>
      </c>
      <c r="D204" s="3">
        <v>8.0833333333333339</v>
      </c>
      <c r="E204" s="5">
        <f t="shared" si="10"/>
        <v>1843</v>
      </c>
      <c r="F204">
        <v>3.9710000000000002E-2</v>
      </c>
      <c r="G204">
        <f t="shared" si="11"/>
        <v>-0.38485000000000003</v>
      </c>
      <c r="H204">
        <f t="shared" si="12"/>
        <v>-0.38485000000000003</v>
      </c>
      <c r="I204" s="5">
        <f t="shared" si="13"/>
        <v>1843</v>
      </c>
      <c r="J204">
        <f>+H204+CF*F204*(1+($I204-1850)*slope/1000)+F204*hQc*COS(2*PI()*$I204/qbo+$L204)+F204*hQs*SIN(2*PI()*$I204/qbo+$L204)+F204*hCs*SIN(2*PI()*$I204/cw)+F204*hCc*COS(2*PI()*$I204/cw) +mix*F204*(hQc*COS(2*PI()*$I204/qbo+$L204)+hQs*SIN(2*PI()*$I204/qbo+$L204))*(hCs*SIN(2*PI()*$I204/cw)+hCc*COS(2*PI()*$I204/cw))</f>
        <v>-0.20131870659035214</v>
      </c>
      <c r="K204">
        <f>fQc*COS(2*PI()*$I204/qbo+$L204)+fQs*SIN(2*PI()*$I204/qbo+$L204)+fCs*SIN(2*PI()*$I204/cw)+fCc*COS(2*PI()*$I204/cw)</f>
        <v>4.9316588720765386</v>
      </c>
      <c r="L204">
        <f>+QMA*COS(2*PI()*$I204/QM+QMP)</f>
        <v>0.84062301434995712</v>
      </c>
      <c r="P204">
        <f t="shared" si="14"/>
        <v>0</v>
      </c>
    </row>
    <row r="205" spans="1:16" x14ac:dyDescent="0.25">
      <c r="A205" s="1"/>
      <c r="B205" t="s">
        <v>218</v>
      </c>
      <c r="C205" t="s">
        <v>24</v>
      </c>
      <c r="D205" s="3">
        <v>8.125</v>
      </c>
      <c r="E205" s="5">
        <f t="shared" ref="E205:E268" si="15">+E204+1</f>
        <v>1844</v>
      </c>
      <c r="F205">
        <v>0.55939000000000005</v>
      </c>
      <c r="G205">
        <f t="shared" ref="G205:G268" si="16">+(F206-F205)-(F205-F204)</f>
        <v>-0.66176000000000013</v>
      </c>
      <c r="H205">
        <f t="shared" ref="H205:H268" si="17">+G205</f>
        <v>-0.66176000000000013</v>
      </c>
      <c r="I205" s="5">
        <f t="shared" si="13"/>
        <v>1844</v>
      </c>
      <c r="J205">
        <f>+H205+CF*F205*(1+($I205-1850)*slope/1000)+F205*hQc*COS(2*PI()*$I205/qbo+$L205)+F205*hQs*SIN(2*PI()*$I205/qbo+$L205)+F205*hCs*SIN(2*PI()*$I205/cw)+F205*hCc*COS(2*PI()*$I205/cw) +mix*F205*(hQc*COS(2*PI()*$I205/qbo+$L205)+hQs*SIN(2*PI()*$I205/qbo+$L205))*(hCs*SIN(2*PI()*$I205/cw)+hCc*COS(2*PI()*$I205/cw))</f>
        <v>-0.67362109409213555</v>
      </c>
      <c r="K205">
        <f>fQc*COS(2*PI()*$I205/qbo+$L205)+fQs*SIN(2*PI()*$I205/qbo+$L205)+fCs*SIN(2*PI()*$I205/cw)+fCc*COS(2*PI()*$I205/cw)</f>
        <v>-4.7210569587476972</v>
      </c>
      <c r="L205">
        <f>+QMA*COS(2*PI()*$I205/QM+QMP)</f>
        <v>0.85541000361806385</v>
      </c>
      <c r="P205">
        <f t="shared" si="14"/>
        <v>1</v>
      </c>
    </row>
    <row r="206" spans="1:16" x14ac:dyDescent="0.25">
      <c r="A206" s="1"/>
      <c r="B206" t="s">
        <v>219</v>
      </c>
      <c r="C206" t="s">
        <v>24</v>
      </c>
      <c r="D206" s="3">
        <v>8.1666666666666661</v>
      </c>
      <c r="E206" s="5">
        <f t="shared" si="15"/>
        <v>1845</v>
      </c>
      <c r="F206">
        <v>0.41731000000000001</v>
      </c>
      <c r="G206">
        <f t="shared" si="16"/>
        <v>0.73028999999999988</v>
      </c>
      <c r="H206">
        <f t="shared" si="17"/>
        <v>0.73028999999999988</v>
      </c>
      <c r="I206" s="5">
        <f t="shared" ref="I206:I269" si="18">+E206</f>
        <v>1845</v>
      </c>
      <c r="J206">
        <f>+H206+CF*F206*(1+($I206-1850)*slope/1000)+F206*hQc*COS(2*PI()*$I206/qbo+$L206)+F206*hQs*SIN(2*PI()*$I206/qbo+$L206)+F206*hCs*SIN(2*PI()*$I206/cw)+F206*hCc*COS(2*PI()*$I206/cw) +mix*F206*(hQc*COS(2*PI()*$I206/qbo+$L206)+hQs*SIN(2*PI()*$I206/qbo+$L206))*(hCs*SIN(2*PI()*$I206/cw)+hCc*COS(2*PI()*$I206/cw))</f>
        <v>1.0513520721011562</v>
      </c>
      <c r="K206">
        <f>fQc*COS(2*PI()*$I206/qbo+$L206)+fQs*SIN(2*PI()*$I206/qbo+$L206)+fCs*SIN(2*PI()*$I206/cw)+fCc*COS(2*PI()*$I206/cw)</f>
        <v>4.3086413480586891</v>
      </c>
      <c r="L206">
        <f>+QMA*COS(2*PI()*$I206/QM+QMP)</f>
        <v>0.85533345045474662</v>
      </c>
      <c r="P206">
        <f t="shared" ref="P206:P269" si="19">+IF(J206*K206&gt;0,1, 0)</f>
        <v>1</v>
      </c>
    </row>
    <row r="207" spans="1:16" x14ac:dyDescent="0.25">
      <c r="A207" s="1"/>
      <c r="B207" t="s">
        <v>220</v>
      </c>
      <c r="C207" t="s">
        <v>24</v>
      </c>
      <c r="D207" s="3">
        <v>8.2083333333333339</v>
      </c>
      <c r="E207" s="5">
        <f t="shared" si="15"/>
        <v>1846</v>
      </c>
      <c r="F207">
        <v>1.00552</v>
      </c>
      <c r="G207">
        <f t="shared" si="16"/>
        <v>-2.6277099999999995</v>
      </c>
      <c r="H207">
        <f t="shared" si="17"/>
        <v>-2.6277099999999995</v>
      </c>
      <c r="I207" s="5">
        <f t="shared" si="18"/>
        <v>1846</v>
      </c>
      <c r="J207">
        <f>+H207+CF*F207*(1+($I207-1850)*slope/1000)+F207*hQc*COS(2*PI()*$I207/qbo+$L207)+F207*hQs*SIN(2*PI()*$I207/qbo+$L207)+F207*hCs*SIN(2*PI()*$I207/cw)+F207*hCc*COS(2*PI()*$I207/cw) +mix*F207*(hQc*COS(2*PI()*$I207/qbo+$L207)+hQs*SIN(2*PI()*$I207/qbo+$L207))*(hCs*SIN(2*PI()*$I207/cw)+hCc*COS(2*PI()*$I207/cw))</f>
        <v>-1.3961036239315647</v>
      </c>
      <c r="K207">
        <f>fQc*COS(2*PI()*$I207/qbo+$L207)+fQs*SIN(2*PI()*$I207/qbo+$L207)+fCs*SIN(2*PI()*$I207/cw)+fCc*COS(2*PI()*$I207/cw)</f>
        <v>-2.3148132445453919</v>
      </c>
      <c r="L207">
        <f>+QMA*COS(2*PI()*$I207/QM+QMP)</f>
        <v>0.84039468504225112</v>
      </c>
      <c r="P207">
        <f t="shared" si="19"/>
        <v>1</v>
      </c>
    </row>
    <row r="208" spans="1:16" x14ac:dyDescent="0.25">
      <c r="A208" s="1"/>
      <c r="B208" t="s">
        <v>221</v>
      </c>
      <c r="C208" t="s">
        <v>24</v>
      </c>
      <c r="D208" s="3">
        <v>8.25</v>
      </c>
      <c r="E208" s="5">
        <f t="shared" si="15"/>
        <v>1847</v>
      </c>
      <c r="F208">
        <v>-1.0339799999999999</v>
      </c>
      <c r="G208">
        <f t="shared" si="16"/>
        <v>3.3584299999999998</v>
      </c>
      <c r="H208">
        <f t="shared" si="17"/>
        <v>3.3584299999999998</v>
      </c>
      <c r="I208" s="5">
        <f t="shared" si="18"/>
        <v>1847</v>
      </c>
      <c r="J208">
        <f>+H208+CF*F208*(1+($I208-1850)*slope/1000)+F208*hQc*COS(2*PI()*$I208/qbo+$L208)+F208*hQs*SIN(2*PI()*$I208/qbo+$L208)+F208*hCs*SIN(2*PI()*$I208/cw)+F208*hCc*COS(2*PI()*$I208/cw) +mix*F208*(hQc*COS(2*PI()*$I208/qbo+$L208)+hQs*SIN(2*PI()*$I208/qbo+$L208))*(hCs*SIN(2*PI()*$I208/cw)+hCc*COS(2*PI()*$I208/cw))</f>
        <v>2.3783263082630857</v>
      </c>
      <c r="K208">
        <f>fQc*COS(2*PI()*$I208/qbo+$L208)+fQs*SIN(2*PI()*$I208/qbo+$L208)+fCs*SIN(2*PI()*$I208/cw)+fCc*COS(2*PI()*$I208/cw)</f>
        <v>1.2910854720515688E-2</v>
      </c>
      <c r="L208">
        <f>+QMA*COS(2*PI()*$I208/QM+QMP)</f>
        <v>0.81085328228925424</v>
      </c>
      <c r="P208">
        <f t="shared" si="19"/>
        <v>1</v>
      </c>
    </row>
    <row r="209" spans="1:16" x14ac:dyDescent="0.25">
      <c r="A209" s="1"/>
      <c r="B209" t="s">
        <v>222</v>
      </c>
      <c r="C209" t="s">
        <v>24</v>
      </c>
      <c r="D209" s="3">
        <v>8.2916666666666661</v>
      </c>
      <c r="E209" s="5">
        <f t="shared" si="15"/>
        <v>1848</v>
      </c>
      <c r="F209">
        <v>0.28494999999999998</v>
      </c>
      <c r="G209">
        <f t="shared" si="16"/>
        <v>-1.40743</v>
      </c>
      <c r="H209">
        <f t="shared" si="17"/>
        <v>-1.40743</v>
      </c>
      <c r="I209" s="5">
        <f t="shared" si="18"/>
        <v>1848</v>
      </c>
      <c r="J209">
        <f>+H209+CF*F209*(1+($I209-1850)*slope/1000)+F209*hQc*COS(2*PI()*$I209/qbo+$L209)+F209*hQs*SIN(2*PI()*$I209/qbo+$L209)+F209*hCs*SIN(2*PI()*$I209/cw)+F209*hCc*COS(2*PI()*$I209/cw) +mix*F209*(hQc*COS(2*PI()*$I209/qbo+$L209)+hQs*SIN(2*PI()*$I209/qbo+$L209))*(hCs*SIN(2*PI()*$I209/cw)+hCc*COS(2*PI()*$I209/cw))</f>
        <v>-2.1163075602041692</v>
      </c>
      <c r="K209">
        <f>fQc*COS(2*PI()*$I209/qbo+$L209)+fQs*SIN(2*PI()*$I209/qbo+$L209)+fCs*SIN(2*PI()*$I209/cw)+fCc*COS(2*PI()*$I209/cw)</f>
        <v>2.1027047564330283</v>
      </c>
      <c r="L209">
        <f>+QMA*COS(2*PI()*$I209/QM+QMP)</f>
        <v>0.76722255147604124</v>
      </c>
      <c r="P209">
        <f t="shared" si="19"/>
        <v>0</v>
      </c>
    </row>
    <row r="210" spans="1:16" x14ac:dyDescent="0.25">
      <c r="A210" s="1"/>
      <c r="B210" t="s">
        <v>223</v>
      </c>
      <c r="C210" t="s">
        <v>24</v>
      </c>
      <c r="D210" s="3">
        <v>8.3333333333333339</v>
      </c>
      <c r="E210" s="5">
        <f t="shared" si="15"/>
        <v>1849</v>
      </c>
      <c r="F210">
        <v>0.19645000000000001</v>
      </c>
      <c r="G210">
        <f t="shared" si="16"/>
        <v>-9.4840000000000035E-2</v>
      </c>
      <c r="H210">
        <f t="shared" si="17"/>
        <v>-9.4840000000000035E-2</v>
      </c>
      <c r="I210" s="5">
        <f t="shared" si="18"/>
        <v>1849</v>
      </c>
      <c r="J210">
        <f>+H210+CF*F210*(1+($I210-1850)*slope/1000)+F210*hQc*COS(2*PI()*$I210/qbo+$L210)+F210*hQs*SIN(2*PI()*$I210/qbo+$L210)+F210*hCs*SIN(2*PI()*$I210/cw)+F210*hCc*COS(2*PI()*$I210/cw) +mix*F210*(hQc*COS(2*PI()*$I210/qbo+$L210)+hQs*SIN(2*PI()*$I210/qbo+$L210))*(hCs*SIN(2*PI()*$I210/cw)+hCc*COS(2*PI()*$I210/cw))</f>
        <v>0.43383231551255452</v>
      </c>
      <c r="K210">
        <f>fQc*COS(2*PI()*$I210/qbo+$L210)+fQs*SIN(2*PI()*$I210/qbo+$L210)+fCs*SIN(2*PI()*$I210/cw)+fCc*COS(2*PI()*$I210/cw)</f>
        <v>-4.3884148606460167</v>
      </c>
      <c r="L210">
        <f>+QMA*COS(2*PI()*$I210/QM+QMP)</f>
        <v>0.71026061702953758</v>
      </c>
      <c r="P210">
        <f t="shared" si="19"/>
        <v>0</v>
      </c>
    </row>
    <row r="211" spans="1:16" x14ac:dyDescent="0.25">
      <c r="A211" s="1"/>
      <c r="B211" t="s">
        <v>224</v>
      </c>
      <c r="C211" t="s">
        <v>24</v>
      </c>
      <c r="D211" s="3">
        <v>8.375</v>
      </c>
      <c r="E211" s="5">
        <f t="shared" si="15"/>
        <v>1850</v>
      </c>
      <c r="F211">
        <v>1.311E-2</v>
      </c>
      <c r="G211">
        <f t="shared" si="16"/>
        <v>-0.64488999999999996</v>
      </c>
      <c r="H211">
        <f t="shared" si="17"/>
        <v>-0.64488999999999996</v>
      </c>
      <c r="I211" s="5">
        <f t="shared" si="18"/>
        <v>1850</v>
      </c>
      <c r="J211">
        <f>+H211+CF*F211*(1+($I211-1850)*slope/1000)+F211*hQc*COS(2*PI()*$I211/qbo+$L211)+F211*hQs*SIN(2*PI()*$I211/qbo+$L211)+F211*hCs*SIN(2*PI()*$I211/cw)+F211*hCc*COS(2*PI()*$I211/cw) +mix*F211*(hQc*COS(2*PI()*$I211/qbo+$L211)+hQs*SIN(2*PI()*$I211/qbo+$L211))*(hCs*SIN(2*PI()*$I211/cw)+hCc*COS(2*PI()*$I211/cw))</f>
        <v>-0.62642566347317907</v>
      </c>
      <c r="K211">
        <f>fQc*COS(2*PI()*$I211/qbo+$L211)+fQs*SIN(2*PI()*$I211/qbo+$L211)+fCs*SIN(2*PI()*$I211/cw)+fCc*COS(2*PI()*$I211/cw)</f>
        <v>4.8503299123330823</v>
      </c>
      <c r="L211">
        <f>+QMA*COS(2*PI()*$I211/QM+QMP)</f>
        <v>0.64095724540793175</v>
      </c>
      <c r="P211">
        <f t="shared" si="19"/>
        <v>0</v>
      </c>
    </row>
    <row r="212" spans="1:16" x14ac:dyDescent="0.25">
      <c r="A212" s="1"/>
      <c r="B212" t="s">
        <v>225</v>
      </c>
      <c r="C212" t="s">
        <v>24</v>
      </c>
      <c r="D212" s="3">
        <v>8.4166666666666661</v>
      </c>
      <c r="E212" s="5">
        <f t="shared" si="15"/>
        <v>1851</v>
      </c>
      <c r="F212">
        <v>-0.81511999999999996</v>
      </c>
      <c r="G212">
        <f t="shared" si="16"/>
        <v>3.0331700000000001</v>
      </c>
      <c r="H212">
        <f t="shared" si="17"/>
        <v>3.0331700000000001</v>
      </c>
      <c r="I212" s="5">
        <f t="shared" si="18"/>
        <v>1851</v>
      </c>
      <c r="J212">
        <f>+H212+CF*F212*(1+($I212-1850)*slope/1000)+F212*hQc*COS(2*PI()*$I212/qbo+$L212)+F212*hQs*SIN(2*PI()*$I212/qbo+$L212)+F212*hCs*SIN(2*PI()*$I212/cw)+F212*hCc*COS(2*PI()*$I212/cw) +mix*F212*(hQc*COS(2*PI()*$I212/qbo+$L212)+hQs*SIN(2*PI()*$I212/qbo+$L212))*(hCs*SIN(2*PI()*$I212/cw)+hCc*COS(2*PI()*$I212/cw))</f>
        <v>3.0319229931500074</v>
      </c>
      <c r="K212">
        <f>fQc*COS(2*PI()*$I212/qbo+$L212)+fQs*SIN(2*PI()*$I212/qbo+$L212)+fCs*SIN(2*PI()*$I212/cw)+fCc*COS(2*PI()*$I212/cw)</f>
        <v>-4.4456643707170747</v>
      </c>
      <c r="L212">
        <f>+QMA*COS(2*PI()*$I212/QM+QMP)</f>
        <v>0.56051664699034009</v>
      </c>
      <c r="P212">
        <f t="shared" si="19"/>
        <v>0</v>
      </c>
    </row>
    <row r="213" spans="1:16" x14ac:dyDescent="0.25">
      <c r="A213" s="1"/>
      <c r="B213" t="s">
        <v>226</v>
      </c>
      <c r="C213" t="s">
        <v>24</v>
      </c>
      <c r="D213" s="3">
        <v>8.4583333333333339</v>
      </c>
      <c r="E213" s="5">
        <f t="shared" si="15"/>
        <v>1852</v>
      </c>
      <c r="F213">
        <v>1.3898200000000001</v>
      </c>
      <c r="G213">
        <f t="shared" si="16"/>
        <v>-2.8027600000000001</v>
      </c>
      <c r="H213">
        <f t="shared" si="17"/>
        <v>-2.8027600000000001</v>
      </c>
      <c r="I213" s="5">
        <f t="shared" si="18"/>
        <v>1852</v>
      </c>
      <c r="J213">
        <f>+H213+CF*F213*(1+($I213-1850)*slope/1000)+F213*hQc*COS(2*PI()*$I213/qbo+$L213)+F213*hQs*SIN(2*PI()*$I213/qbo+$L213)+F213*hCs*SIN(2*PI()*$I213/cw)+F213*hCc*COS(2*PI()*$I213/cw) +mix*F213*(hQc*COS(2*PI()*$I213/qbo+$L213)+hQs*SIN(2*PI()*$I213/qbo+$L213))*(hCs*SIN(2*PI()*$I213/cw)+hCc*COS(2*PI()*$I213/cw))</f>
        <v>0.95128395543350375</v>
      </c>
      <c r="K213">
        <f>fQc*COS(2*PI()*$I213/qbo+$L213)+fQs*SIN(2*PI()*$I213/qbo+$L213)+fCs*SIN(2*PI()*$I213/cw)+fCc*COS(2*PI()*$I213/cw)</f>
        <v>2.8037411536360346</v>
      </c>
      <c r="L213">
        <f>+QMA*COS(2*PI()*$I213/QM+QMP)</f>
        <v>0.47033655180419592</v>
      </c>
      <c r="P213">
        <f t="shared" si="19"/>
        <v>1</v>
      </c>
    </row>
    <row r="214" spans="1:16" x14ac:dyDescent="0.25">
      <c r="A214" s="1"/>
      <c r="B214" t="s">
        <v>227</v>
      </c>
      <c r="C214" t="s">
        <v>24</v>
      </c>
      <c r="D214" s="3">
        <v>8.5</v>
      </c>
      <c r="E214" s="5">
        <f t="shared" si="15"/>
        <v>1853</v>
      </c>
      <c r="F214">
        <v>0.79200000000000004</v>
      </c>
      <c r="G214">
        <f t="shared" si="16"/>
        <v>-0.41556999999999999</v>
      </c>
      <c r="H214">
        <f t="shared" si="17"/>
        <v>-0.41556999999999999</v>
      </c>
      <c r="I214" s="5">
        <f t="shared" si="18"/>
        <v>1853</v>
      </c>
      <c r="J214">
        <f>+H214+CF*F214*(1+($I214-1850)*slope/1000)+F214*hQc*COS(2*PI()*$I214/qbo+$L214)+F214*hQs*SIN(2*PI()*$I214/qbo+$L214)+F214*hCs*SIN(2*PI()*$I214/cw)+F214*hCc*COS(2*PI()*$I214/cw) +mix*F214*(hQc*COS(2*PI()*$I214/qbo+$L214)+hQs*SIN(2*PI()*$I214/qbo+$L214))*(hCs*SIN(2*PI()*$I214/cw)+hCc*COS(2*PI()*$I214/cw))</f>
        <v>1.025627297593777</v>
      </c>
      <c r="K214">
        <f>fQc*COS(2*PI()*$I214/qbo+$L214)+fQs*SIN(2*PI()*$I214/qbo+$L214)+fCs*SIN(2*PI()*$I214/cw)+fCc*COS(2*PI()*$I214/cw)</f>
        <v>0.17994366696410122</v>
      </c>
      <c r="L214">
        <f>+QMA*COS(2*PI()*$I214/QM+QMP)</f>
        <v>0.371983922669122</v>
      </c>
      <c r="P214">
        <f t="shared" si="19"/>
        <v>1</v>
      </c>
    </row>
    <row r="215" spans="1:16" x14ac:dyDescent="0.25">
      <c r="A215" s="1"/>
      <c r="B215" t="s">
        <v>228</v>
      </c>
      <c r="C215" t="s">
        <v>24</v>
      </c>
      <c r="D215" s="3">
        <v>8.5416666666666661</v>
      </c>
      <c r="E215" s="5">
        <f t="shared" si="15"/>
        <v>1854</v>
      </c>
      <c r="F215">
        <v>-0.22139</v>
      </c>
      <c r="G215">
        <f t="shared" si="16"/>
        <v>0.86353000000000002</v>
      </c>
      <c r="H215">
        <f t="shared" si="17"/>
        <v>0.86353000000000002</v>
      </c>
      <c r="I215" s="5">
        <f t="shared" si="18"/>
        <v>1854</v>
      </c>
      <c r="J215">
        <f>+H215+CF*F215*(1+($I215-1850)*slope/1000)+F215*hQc*COS(2*PI()*$I215/qbo+$L215)+F215*hQs*SIN(2*PI()*$I215/qbo+$L215)+F215*hCs*SIN(2*PI()*$I215/cw)+F215*hCc*COS(2*PI()*$I215/cw) +mix*F215*(hQc*COS(2*PI()*$I215/qbo+$L215)+hQs*SIN(2*PI()*$I215/qbo+$L215))*(hCs*SIN(2*PI()*$I215/cw)+hCc*COS(2*PI()*$I215/cw))</f>
        <v>0.53751826082436849</v>
      </c>
      <c r="K215">
        <f>fQc*COS(2*PI()*$I215/qbo+$L215)+fQs*SIN(2*PI()*$I215/qbo+$L215)+fCs*SIN(2*PI()*$I215/cw)+fCc*COS(2*PI()*$I215/cw)</f>
        <v>-2.4213827691943512</v>
      </c>
      <c r="L215">
        <f>+QMA*COS(2*PI()*$I215/QM+QMP)</f>
        <v>0.26716772776444653</v>
      </c>
      <c r="P215">
        <f t="shared" si="19"/>
        <v>0</v>
      </c>
    </row>
    <row r="216" spans="1:16" x14ac:dyDescent="0.25">
      <c r="A216" s="1"/>
      <c r="B216" t="s">
        <v>229</v>
      </c>
      <c r="C216" t="s">
        <v>24</v>
      </c>
      <c r="D216" s="3">
        <v>8.5833333333333339</v>
      </c>
      <c r="E216" s="5">
        <f t="shared" si="15"/>
        <v>1855</v>
      </c>
      <c r="F216">
        <v>-0.37125000000000002</v>
      </c>
      <c r="G216">
        <f t="shared" si="16"/>
        <v>2.0419100000000001</v>
      </c>
      <c r="H216">
        <f t="shared" si="17"/>
        <v>2.0419100000000001</v>
      </c>
      <c r="I216" s="5">
        <f t="shared" si="18"/>
        <v>1855</v>
      </c>
      <c r="J216">
        <f>+H216+CF*F216*(1+($I216-1850)*slope/1000)+F216*hQc*COS(2*PI()*$I216/qbo+$L216)+F216*hQs*SIN(2*PI()*$I216/qbo+$L216)+F216*hCs*SIN(2*PI()*$I216/cw)+F216*hCc*COS(2*PI()*$I216/cw) +mix*F216*(hQc*COS(2*PI()*$I216/qbo+$L216)+hQs*SIN(2*PI()*$I216/qbo+$L216))*(hCs*SIN(2*PI()*$I216/cw)+hCc*COS(2*PI()*$I216/cw))</f>
        <v>3.0678119979865643</v>
      </c>
      <c r="K216">
        <f>fQc*COS(2*PI()*$I216/qbo+$L216)+fQs*SIN(2*PI()*$I216/qbo+$L216)+fCs*SIN(2*PI()*$I216/cw)+fCc*COS(2*PI()*$I216/cw)</f>
        <v>4.5320446950254301</v>
      </c>
      <c r="L216">
        <f>+QMA*COS(2*PI()*$I216/QM+QMP)</f>
        <v>0.15770924572123471</v>
      </c>
      <c r="P216">
        <f t="shared" si="19"/>
        <v>1</v>
      </c>
    </row>
    <row r="217" spans="1:16" x14ac:dyDescent="0.25">
      <c r="A217" s="1"/>
      <c r="B217" t="s">
        <v>230</v>
      </c>
      <c r="C217" t="s">
        <v>24</v>
      </c>
      <c r="D217" s="3">
        <v>8.625</v>
      </c>
      <c r="E217" s="5">
        <f t="shared" si="15"/>
        <v>1856</v>
      </c>
      <c r="F217">
        <v>1.5207999999999999</v>
      </c>
      <c r="G217">
        <f t="shared" si="16"/>
        <v>-3.7130200000000002</v>
      </c>
      <c r="H217">
        <f t="shared" si="17"/>
        <v>-3.7130200000000002</v>
      </c>
      <c r="I217" s="5">
        <f t="shared" si="18"/>
        <v>1856</v>
      </c>
      <c r="J217">
        <f>+H217+CF*F217*(1+($I217-1850)*slope/1000)+F217*hQc*COS(2*PI()*$I217/qbo+$L217)+F217*hQs*SIN(2*PI()*$I217/qbo+$L217)+F217*hCs*SIN(2*PI()*$I217/cw)+F217*hCc*COS(2*PI()*$I217/cw) +mix*F217*(hQc*COS(2*PI()*$I217/qbo+$L217)+hQs*SIN(2*PI()*$I217/qbo+$L217))*(hCs*SIN(2*PI()*$I217/cw)+hCc*COS(2*PI()*$I217/cw))</f>
        <v>2.5551393327360308</v>
      </c>
      <c r="K217">
        <f>fQc*COS(2*PI()*$I217/qbo+$L217)+fQs*SIN(2*PI()*$I217/qbo+$L217)+fCs*SIN(2*PI()*$I217/cw)+fCc*COS(2*PI()*$I217/cw)</f>
        <v>-5.069646475908149</v>
      </c>
      <c r="L217">
        <f>+QMA*COS(2*PI()*$I217/QM+QMP)</f>
        <v>4.551041921666437E-2</v>
      </c>
      <c r="P217">
        <f t="shared" si="19"/>
        <v>0</v>
      </c>
    </row>
    <row r="218" spans="1:16" x14ac:dyDescent="0.25">
      <c r="A218" s="1"/>
      <c r="B218" t="s">
        <v>231</v>
      </c>
      <c r="C218" t="s">
        <v>24</v>
      </c>
      <c r="D218" s="3">
        <v>8.6666666666666661</v>
      </c>
      <c r="E218" s="5">
        <f t="shared" si="15"/>
        <v>1857</v>
      </c>
      <c r="F218">
        <v>-0.30016999999999999</v>
      </c>
      <c r="G218">
        <f t="shared" si="16"/>
        <v>2.5389900000000001</v>
      </c>
      <c r="H218">
        <f t="shared" si="17"/>
        <v>2.5389900000000001</v>
      </c>
      <c r="I218" s="5">
        <f t="shared" si="18"/>
        <v>1857</v>
      </c>
      <c r="J218">
        <f>+H218+CF*F218*(1+($I218-1850)*slope/1000)+F218*hQc*COS(2*PI()*$I218/qbo+$L218)+F218*hQs*SIN(2*PI()*$I218/qbo+$L218)+F218*hCs*SIN(2*PI()*$I218/cw)+F218*hCc*COS(2*PI()*$I218/cw) +mix*F218*(hQc*COS(2*PI()*$I218/qbo+$L218)+hQs*SIN(2*PI()*$I218/qbo+$L218))*(hCs*SIN(2*PI()*$I218/cw)+hCc*COS(2*PI()*$I218/cw))</f>
        <v>3.2377095061578656</v>
      </c>
      <c r="K218">
        <f>fQc*COS(2*PI()*$I218/qbo+$L218)+fQs*SIN(2*PI()*$I218/qbo+$L218)+fCs*SIN(2*PI()*$I218/cw)+fCc*COS(2*PI()*$I218/cw)</f>
        <v>3.7170983948404528</v>
      </c>
      <c r="L218">
        <f>+QMA*COS(2*PI()*$I218/QM+QMP)</f>
        <v>-6.747919304467305E-2</v>
      </c>
      <c r="P218">
        <f t="shared" si="19"/>
        <v>1</v>
      </c>
    </row>
    <row r="219" spans="1:16" x14ac:dyDescent="0.25">
      <c r="A219" s="1"/>
      <c r="B219" t="s">
        <v>232</v>
      </c>
      <c r="C219" t="s">
        <v>24</v>
      </c>
      <c r="D219" s="3">
        <v>8.7083333333333339</v>
      </c>
      <c r="E219" s="5">
        <f t="shared" si="15"/>
        <v>1858</v>
      </c>
      <c r="F219">
        <v>0.41785</v>
      </c>
      <c r="G219">
        <f t="shared" si="16"/>
        <v>-1.84158</v>
      </c>
      <c r="H219">
        <f t="shared" si="17"/>
        <v>-1.84158</v>
      </c>
      <c r="I219" s="5">
        <f t="shared" si="18"/>
        <v>1858</v>
      </c>
      <c r="J219">
        <f>+H219+CF*F219*(1+($I219-1850)*slope/1000)+F219*hQc*COS(2*PI()*$I219/qbo+$L219)+F219*hQs*SIN(2*PI()*$I219/qbo+$L219)+F219*hCs*SIN(2*PI()*$I219/cw)+F219*hCc*COS(2*PI()*$I219/cw) +mix*F219*(hQc*COS(2*PI()*$I219/qbo+$L219)+hQs*SIN(2*PI()*$I219/qbo+$L219))*(hCs*SIN(2*PI()*$I219/cw)+hCc*COS(2*PI()*$I219/cw))</f>
        <v>-1.5010542055257905</v>
      </c>
      <c r="K219">
        <f>fQc*COS(2*PI()*$I219/qbo+$L219)+fQs*SIN(2*PI()*$I219/qbo+$L219)+fCs*SIN(2*PI()*$I219/cw)+fCc*COS(2*PI()*$I219/cw)</f>
        <v>-1.8739329541172027</v>
      </c>
      <c r="L219">
        <f>+QMA*COS(2*PI()*$I219/QM+QMP)</f>
        <v>-0.17929629172214553</v>
      </c>
      <c r="P219">
        <f t="shared" si="19"/>
        <v>1</v>
      </c>
    </row>
    <row r="220" spans="1:16" x14ac:dyDescent="0.25">
      <c r="A220" s="1"/>
      <c r="B220" t="s">
        <v>233</v>
      </c>
      <c r="C220" t="s">
        <v>24</v>
      </c>
      <c r="D220" s="3">
        <v>8.75</v>
      </c>
      <c r="E220" s="5">
        <f t="shared" si="15"/>
        <v>1859</v>
      </c>
      <c r="F220">
        <v>-0.70570999999999995</v>
      </c>
      <c r="G220">
        <f t="shared" si="16"/>
        <v>0.71167999999999976</v>
      </c>
      <c r="H220">
        <f t="shared" si="17"/>
        <v>0.71167999999999976</v>
      </c>
      <c r="I220" s="5">
        <f t="shared" si="18"/>
        <v>1859</v>
      </c>
      <c r="J220">
        <f>+H220+CF*F220*(1+($I220-1850)*slope/1000)+F220*hQc*COS(2*PI()*$I220/qbo+$L220)+F220*hQs*SIN(2*PI()*$I220/qbo+$L220)+F220*hCs*SIN(2*PI()*$I220/cw)+F220*hCc*COS(2*PI()*$I220/cw) +mix*F220*(hQc*COS(2*PI()*$I220/qbo+$L220)+hQs*SIN(2*PI()*$I220/qbo+$L220))*(hCs*SIN(2*PI()*$I220/cw)+hCc*COS(2*PI()*$I220/cw))</f>
        <v>2.7797092954541469E-2</v>
      </c>
      <c r="K220">
        <f>fQc*COS(2*PI()*$I220/qbo+$L220)+fQs*SIN(2*PI()*$I220/qbo+$L220)+fCs*SIN(2*PI()*$I220/cw)+fCc*COS(2*PI()*$I220/cw)</f>
        <v>-1.2182495431741551</v>
      </c>
      <c r="L220">
        <f>+QMA*COS(2*PI()*$I220/QM+QMP)</f>
        <v>-0.2879979509863107</v>
      </c>
      <c r="P220">
        <f t="shared" si="19"/>
        <v>0</v>
      </c>
    </row>
    <row r="221" spans="1:16" x14ac:dyDescent="0.25">
      <c r="A221" s="1"/>
      <c r="B221" t="s">
        <v>234</v>
      </c>
      <c r="C221" t="s">
        <v>24</v>
      </c>
      <c r="D221" s="3">
        <v>8.7916666666666661</v>
      </c>
      <c r="E221" s="5">
        <f t="shared" si="15"/>
        <v>1860</v>
      </c>
      <c r="F221">
        <v>-1.1175900000000001</v>
      </c>
      <c r="G221">
        <f t="shared" si="16"/>
        <v>0.52851000000000015</v>
      </c>
      <c r="H221">
        <f t="shared" si="17"/>
        <v>0.52851000000000015</v>
      </c>
      <c r="I221" s="5">
        <f t="shared" si="18"/>
        <v>1860</v>
      </c>
      <c r="J221">
        <f>+H221+CF*F221*(1+($I221-1850)*slope/1000)+F221*hQc*COS(2*PI()*$I221/qbo+$L221)+F221*hQs*SIN(2*PI()*$I221/qbo+$L221)+F221*hCs*SIN(2*PI()*$I221/cw)+F221*hCc*COS(2*PI()*$I221/cw) +mix*F221*(hQc*COS(2*PI()*$I221/qbo+$L221)+hQs*SIN(2*PI()*$I221/qbo+$L221))*(hCs*SIN(2*PI()*$I221/cw)+hCc*COS(2*PI()*$I221/cw))</f>
        <v>-3.5703472237472376</v>
      </c>
      <c r="K221">
        <f>fQc*COS(2*PI()*$I221/qbo+$L221)+fQs*SIN(2*PI()*$I221/qbo+$L221)+fCs*SIN(2*PI()*$I221/cw)+fCc*COS(2*PI()*$I221/cw)</f>
        <v>3.5411470550830737</v>
      </c>
      <c r="L221">
        <f>+QMA*COS(2*PI()*$I221/QM+QMP)</f>
        <v>-0.39169537865793008</v>
      </c>
      <c r="P221">
        <f t="shared" si="19"/>
        <v>0</v>
      </c>
    </row>
    <row r="222" spans="1:16" x14ac:dyDescent="0.25">
      <c r="A222" s="1"/>
      <c r="B222" t="s">
        <v>235</v>
      </c>
      <c r="C222" t="s">
        <v>24</v>
      </c>
      <c r="D222" s="3">
        <v>8.8333333333333339</v>
      </c>
      <c r="E222" s="5">
        <f t="shared" si="15"/>
        <v>1861</v>
      </c>
      <c r="F222">
        <v>-1.0009600000000001</v>
      </c>
      <c r="G222">
        <f t="shared" si="16"/>
        <v>-0.15195000000000003</v>
      </c>
      <c r="H222">
        <f t="shared" si="17"/>
        <v>-0.15195000000000003</v>
      </c>
      <c r="I222" s="5">
        <f t="shared" si="18"/>
        <v>1861</v>
      </c>
      <c r="J222">
        <f>+H222+CF*F222*(1+($I222-1850)*slope/1000)+F222*hQc*COS(2*PI()*$I222/qbo+$L222)+F222*hQs*SIN(2*PI()*$I222/qbo+$L222)+F222*hCs*SIN(2*PI()*$I222/cw)+F222*hCc*COS(2*PI()*$I222/cw) +mix*F222*(hQc*COS(2*PI()*$I222/qbo+$L222)+hQs*SIN(2*PI()*$I222/qbo+$L222))*(hCs*SIN(2*PI()*$I222/cw)+hCc*COS(2*PI()*$I222/cw))</f>
        <v>0.75377476890591977</v>
      </c>
      <c r="K222">
        <f>fQc*COS(2*PI()*$I222/qbo+$L222)+fQs*SIN(2*PI()*$I222/qbo+$L222)+fCs*SIN(2*PI()*$I222/cw)+fCc*COS(2*PI()*$I222/cw)</f>
        <v>-4.6791825947891281</v>
      </c>
      <c r="L222">
        <f>+QMA*COS(2*PI()*$I222/QM+QMP)</f>
        <v>-0.48858673572456385</v>
      </c>
      <c r="P222">
        <f t="shared" si="19"/>
        <v>0</v>
      </c>
    </row>
    <row r="223" spans="1:16" x14ac:dyDescent="0.25">
      <c r="A223" s="1"/>
      <c r="B223" t="s">
        <v>236</v>
      </c>
      <c r="C223" t="s">
        <v>24</v>
      </c>
      <c r="D223" s="3">
        <v>8.875</v>
      </c>
      <c r="E223" s="5">
        <f t="shared" si="15"/>
        <v>1862</v>
      </c>
      <c r="F223">
        <v>-1.0362800000000001</v>
      </c>
      <c r="G223">
        <f t="shared" si="16"/>
        <v>-0.14271999999999996</v>
      </c>
      <c r="H223">
        <f t="shared" si="17"/>
        <v>-0.14271999999999996</v>
      </c>
      <c r="I223" s="5">
        <f t="shared" si="18"/>
        <v>1862</v>
      </c>
      <c r="J223">
        <f>+H223+CF*F223*(1+($I223-1850)*slope/1000)+F223*hQc*COS(2*PI()*$I223/qbo+$L223)+F223*hQs*SIN(2*PI()*$I223/qbo+$L223)+F223*hCs*SIN(2*PI()*$I223/cw)+F223*hCc*COS(2*PI()*$I223/cw) +mix*F223*(hQc*COS(2*PI()*$I223/qbo+$L223)+hQs*SIN(2*PI()*$I223/qbo+$L223))*(hCs*SIN(2*PI()*$I223/cw)+hCc*COS(2*PI()*$I223/cw))</f>
        <v>-2.6301140070872342</v>
      </c>
      <c r="K223">
        <f>fQc*COS(2*PI()*$I223/qbo+$L223)+fQs*SIN(2*PI()*$I223/qbo+$L223)+fCs*SIN(2*PI()*$I223/cw)+fCc*COS(2*PI()*$I223/cw)</f>
        <v>5.0036044228514998</v>
      </c>
      <c r="L223">
        <f>+QMA*COS(2*PI()*$I223/QM+QMP)</f>
        <v>-0.57698844496482549</v>
      </c>
      <c r="P223">
        <f t="shared" si="19"/>
        <v>0</v>
      </c>
    </row>
    <row r="224" spans="1:16" x14ac:dyDescent="0.25">
      <c r="A224" s="1"/>
      <c r="B224" t="s">
        <v>237</v>
      </c>
      <c r="C224" t="s">
        <v>24</v>
      </c>
      <c r="D224" s="3">
        <v>8.9166666666666661</v>
      </c>
      <c r="E224" s="5">
        <f t="shared" si="15"/>
        <v>1863</v>
      </c>
      <c r="F224">
        <v>-1.2143200000000001</v>
      </c>
      <c r="G224">
        <f t="shared" si="16"/>
        <v>-0.2688299999999999</v>
      </c>
      <c r="H224">
        <f t="shared" si="17"/>
        <v>-0.2688299999999999</v>
      </c>
      <c r="I224" s="5">
        <f t="shared" si="18"/>
        <v>1863</v>
      </c>
      <c r="J224">
        <f>+H224+CF*F224*(1+($I224-1850)*slope/1000)+F224*hQc*COS(2*PI()*$I224/qbo+$L224)+F224*hQs*SIN(2*PI()*$I224/qbo+$L224)+F224*hCs*SIN(2*PI()*$I224/cw)+F224*hCc*COS(2*PI()*$I224/cw) +mix*F224*(hQc*COS(2*PI()*$I224/qbo+$L224)+hQs*SIN(2*PI()*$I224/qbo+$L224))*(hCs*SIN(2*PI()*$I224/cw)+hCc*COS(2*PI()*$I224/cw))</f>
        <v>-1.8885704943545303</v>
      </c>
      <c r="K224">
        <f>fQc*COS(2*PI()*$I224/qbo+$L224)+fQs*SIN(2*PI()*$I224/qbo+$L224)+fCs*SIN(2*PI()*$I224/cw)+fCc*COS(2*PI()*$I224/cw)</f>
        <v>-3.2161206869295871</v>
      </c>
      <c r="L224">
        <f>+QMA*COS(2*PI()*$I224/QM+QMP)</f>
        <v>-0.65536444466471577</v>
      </c>
      <c r="P224">
        <f t="shared" si="19"/>
        <v>1</v>
      </c>
    </row>
    <row r="225" spans="1:16" x14ac:dyDescent="0.25">
      <c r="A225" s="1"/>
      <c r="B225" t="s">
        <v>238</v>
      </c>
      <c r="C225" t="s">
        <v>24</v>
      </c>
      <c r="D225" s="3">
        <v>8.9583333333333339</v>
      </c>
      <c r="E225" s="5">
        <f t="shared" si="15"/>
        <v>1864</v>
      </c>
      <c r="F225">
        <v>-1.6611899999999999</v>
      </c>
      <c r="G225">
        <f t="shared" si="16"/>
        <v>2.6381399999999999</v>
      </c>
      <c r="H225">
        <f t="shared" si="17"/>
        <v>2.6381399999999999</v>
      </c>
      <c r="I225" s="5">
        <f t="shared" si="18"/>
        <v>1864</v>
      </c>
      <c r="J225">
        <f>+H225+CF*F225*(1+($I225-1850)*slope/1000)+F225*hQc*COS(2*PI()*$I225/qbo+$L225)+F225*hQs*SIN(2*PI()*$I225/qbo+$L225)+F225*hCs*SIN(2*PI()*$I225/cw)+F225*hCc*COS(2*PI()*$I225/cw) +mix*F225*(hQc*COS(2*PI()*$I225/qbo+$L225)+hQs*SIN(2*PI()*$I225/qbo+$L225))*(hCs*SIN(2*PI()*$I225/cw)+hCc*COS(2*PI()*$I225/cw))</f>
        <v>2.3802139853696085</v>
      </c>
      <c r="K225">
        <f>fQc*COS(2*PI()*$I225/qbo+$L225)+fQs*SIN(2*PI()*$I225/qbo+$L225)+fCs*SIN(2*PI()*$I225/cw)+fCc*COS(2*PI()*$I225/cw)</f>
        <v>1.1483390225046257</v>
      </c>
      <c r="L225">
        <f>+QMA*COS(2*PI()*$I225/QM+QMP)</f>
        <v>-0.72235287911508961</v>
      </c>
      <c r="P225">
        <f t="shared" si="19"/>
        <v>1</v>
      </c>
    </row>
    <row r="226" spans="1:16" x14ac:dyDescent="0.25">
      <c r="A226" s="1"/>
      <c r="B226" t="s">
        <v>239</v>
      </c>
      <c r="C226" t="s">
        <v>24</v>
      </c>
      <c r="D226" s="3">
        <v>9</v>
      </c>
      <c r="E226" s="5">
        <f t="shared" si="15"/>
        <v>1865</v>
      </c>
      <c r="F226">
        <v>0.53008</v>
      </c>
      <c r="G226">
        <f t="shared" si="16"/>
        <v>-2.5571199999999998</v>
      </c>
      <c r="H226">
        <f t="shared" si="17"/>
        <v>-2.5571199999999998</v>
      </c>
      <c r="I226" s="5">
        <f t="shared" si="18"/>
        <v>1865</v>
      </c>
      <c r="J226">
        <f>+H226+CF*F226*(1+($I226-1850)*slope/1000)+F226*hQc*COS(2*PI()*$I226/qbo+$L226)+F226*hQs*SIN(2*PI()*$I226/qbo+$L226)+F226*hCs*SIN(2*PI()*$I226/cw)+F226*hCc*COS(2*PI()*$I226/cw) +mix*F226*(hQc*COS(2*PI()*$I226/qbo+$L226)+hQs*SIN(2*PI()*$I226/qbo+$L226))*(hCs*SIN(2*PI()*$I226/cw)+hCc*COS(2*PI()*$I226/cw))</f>
        <v>-3.7339195225162722</v>
      </c>
      <c r="K226">
        <f>fQc*COS(2*PI()*$I226/qbo+$L226)+fQs*SIN(2*PI()*$I226/qbo+$L226)+fCs*SIN(2*PI()*$I226/cw)+fCc*COS(2*PI()*$I226/cw)</f>
        <v>1.2680076313888136</v>
      </c>
      <c r="L226">
        <f>+QMA*COS(2*PI()*$I226/QM+QMP)</f>
        <v>-0.77678976211786088</v>
      </c>
      <c r="P226">
        <f t="shared" si="19"/>
        <v>0</v>
      </c>
    </row>
    <row r="227" spans="1:16" x14ac:dyDescent="0.25">
      <c r="A227" s="1"/>
      <c r="B227" t="s">
        <v>240</v>
      </c>
      <c r="C227" t="s">
        <v>24</v>
      </c>
      <c r="D227" s="3">
        <v>9.0416666666666661</v>
      </c>
      <c r="E227" s="5">
        <f t="shared" si="15"/>
        <v>1866</v>
      </c>
      <c r="F227">
        <v>0.16422999999999999</v>
      </c>
      <c r="G227">
        <f t="shared" si="16"/>
        <v>0.22108000000000003</v>
      </c>
      <c r="H227">
        <f t="shared" si="17"/>
        <v>0.22108000000000003</v>
      </c>
      <c r="I227" s="5">
        <f t="shared" si="18"/>
        <v>1866</v>
      </c>
      <c r="J227">
        <f>+H227+CF*F227*(1+($I227-1850)*slope/1000)+F227*hQc*COS(2*PI()*$I227/qbo+$L227)+F227*hQs*SIN(2*PI()*$I227/qbo+$L227)+F227*hCs*SIN(2*PI()*$I227/cw)+F227*hCc*COS(2*PI()*$I227/cw) +mix*F227*(hQc*COS(2*PI()*$I227/qbo+$L227)+hQs*SIN(2*PI()*$I227/qbo+$L227))*(hCs*SIN(2*PI()*$I227/cw)+hCc*COS(2*PI()*$I227/cw))</f>
        <v>0.73980968207046516</v>
      </c>
      <c r="K227">
        <f>fQc*COS(2*PI()*$I227/qbo+$L227)+fQs*SIN(2*PI()*$I227/qbo+$L227)+fCs*SIN(2*PI()*$I227/cw)+fCc*COS(2*PI()*$I227/cw)</f>
        <v>-3.7082216869736433</v>
      </c>
      <c r="L227">
        <f>+QMA*COS(2*PI()*$I227/QM+QMP)</f>
        <v>-0.81772920232632595</v>
      </c>
      <c r="P227">
        <f t="shared" si="19"/>
        <v>0</v>
      </c>
    </row>
    <row r="228" spans="1:16" x14ac:dyDescent="0.25">
      <c r="A228" s="1"/>
      <c r="B228" t="s">
        <v>241</v>
      </c>
      <c r="C228" t="s">
        <v>24</v>
      </c>
      <c r="D228" s="3">
        <v>9.0833333333333339</v>
      </c>
      <c r="E228" s="5">
        <f t="shared" si="15"/>
        <v>1867</v>
      </c>
      <c r="F228">
        <v>1.9460000000000002E-2</v>
      </c>
      <c r="G228">
        <f t="shared" si="16"/>
        <v>0.33774999999999999</v>
      </c>
      <c r="H228">
        <f t="shared" si="17"/>
        <v>0.33774999999999999</v>
      </c>
      <c r="I228" s="5">
        <f t="shared" si="18"/>
        <v>1867</v>
      </c>
      <c r="J228">
        <f>+H228+CF*F228*(1+($I228-1850)*slope/1000)+F228*hQc*COS(2*PI()*$I228/qbo+$L228)+F228*hQs*SIN(2*PI()*$I228/qbo+$L228)+F228*hCs*SIN(2*PI()*$I228/cw)+F228*hCc*COS(2*PI()*$I228/cw) +mix*F228*(hQc*COS(2*PI()*$I228/qbo+$L228)+hQs*SIN(2*PI()*$I228/qbo+$L228))*(hCs*SIN(2*PI()*$I228/cw)+hCc*COS(2*PI()*$I228/cw))</f>
        <v>0.32004875553062939</v>
      </c>
      <c r="K228">
        <f>fQc*COS(2*PI()*$I228/qbo+$L228)+fQs*SIN(2*PI()*$I228/qbo+$L228)+fCs*SIN(2*PI()*$I228/cw)+fCc*COS(2*PI()*$I228/cw)</f>
        <v>4.5425569736653593</v>
      </c>
      <c r="L228">
        <f>+QMA*COS(2*PI()*$I228/QM+QMP)</f>
        <v>-0.84445983898470001</v>
      </c>
      <c r="P228">
        <f t="shared" si="19"/>
        <v>1</v>
      </c>
    </row>
    <row r="229" spans="1:16" x14ac:dyDescent="0.25">
      <c r="A229" s="1"/>
      <c r="B229" t="s">
        <v>242</v>
      </c>
      <c r="C229" t="s">
        <v>24</v>
      </c>
      <c r="D229" s="3">
        <v>9.125</v>
      </c>
      <c r="E229" s="5">
        <f t="shared" si="15"/>
        <v>1868</v>
      </c>
      <c r="F229">
        <v>0.21243999999999999</v>
      </c>
      <c r="G229">
        <f t="shared" si="16"/>
        <v>1.2817400000000001</v>
      </c>
      <c r="H229">
        <f t="shared" si="17"/>
        <v>1.2817400000000001</v>
      </c>
      <c r="I229" s="5">
        <f t="shared" si="18"/>
        <v>1868</v>
      </c>
      <c r="J229">
        <f>+H229+CF*F229*(1+($I229-1850)*slope/1000)+F229*hQc*COS(2*PI()*$I229/qbo+$L229)+F229*hQs*SIN(2*PI()*$I229/qbo+$L229)+F229*hCs*SIN(2*PI()*$I229/cw)+F229*hCc*COS(2*PI()*$I229/cw) +mix*F229*(hQc*COS(2*PI()*$I229/qbo+$L229)+hQs*SIN(2*PI()*$I229/qbo+$L229))*(hCs*SIN(2*PI()*$I229/cw)+hCc*COS(2*PI()*$I229/cw))</f>
        <v>1.3622272548324523</v>
      </c>
      <c r="K229">
        <f>fQc*COS(2*PI()*$I229/qbo+$L229)+fQs*SIN(2*PI()*$I229/qbo+$L229)+fCs*SIN(2*PI()*$I229/cw)+fCc*COS(2*PI()*$I229/cw)</f>
        <v>-5.041159065437439</v>
      </c>
      <c r="L229">
        <f>+QMA*COS(2*PI()*$I229/QM+QMP)</f>
        <v>-0.85651720248132079</v>
      </c>
      <c r="P229">
        <f t="shared" si="19"/>
        <v>0</v>
      </c>
    </row>
    <row r="230" spans="1:16" x14ac:dyDescent="0.25">
      <c r="A230" s="1"/>
      <c r="B230" t="s">
        <v>243</v>
      </c>
      <c r="C230" t="s">
        <v>24</v>
      </c>
      <c r="D230" s="3">
        <v>9.1666666666666661</v>
      </c>
      <c r="E230" s="5">
        <f t="shared" si="15"/>
        <v>1869</v>
      </c>
      <c r="F230">
        <v>1.68716</v>
      </c>
      <c r="G230">
        <f t="shared" si="16"/>
        <v>-3.8360799999999999</v>
      </c>
      <c r="H230">
        <f t="shared" si="17"/>
        <v>-3.8360799999999999</v>
      </c>
      <c r="I230" s="5">
        <f t="shared" si="18"/>
        <v>1869</v>
      </c>
      <c r="J230">
        <f>+H230+CF*F230*(1+($I230-1850)*slope/1000)+F230*hQc*COS(2*PI()*$I230/qbo+$L230)+F230*hQs*SIN(2*PI()*$I230/qbo+$L230)+F230*hCs*SIN(2*PI()*$I230/cw)+F230*hCc*COS(2*PI()*$I230/cw) +mix*F230*(hQc*COS(2*PI()*$I230/qbo+$L230)+hQs*SIN(2*PI()*$I230/qbo+$L230))*(hCs*SIN(2*PI()*$I230/cw)+hCc*COS(2*PI()*$I230/cw))</f>
        <v>1.836736509053202</v>
      </c>
      <c r="K230">
        <f>fQc*COS(2*PI()*$I230/qbo+$L230)+fQs*SIN(2*PI()*$I230/qbo+$L230)+fCs*SIN(2*PI()*$I230/cw)+fCc*COS(2*PI()*$I230/cw)</f>
        <v>4.1952867984131439</v>
      </c>
      <c r="L230">
        <f>+QMA*COS(2*PI()*$I230/QM+QMP)</f>
        <v>-0.85369178493905773</v>
      </c>
      <c r="P230">
        <f t="shared" si="19"/>
        <v>1</v>
      </c>
    </row>
    <row r="231" spans="1:16" x14ac:dyDescent="0.25">
      <c r="A231" s="1"/>
      <c r="B231" t="s">
        <v>244</v>
      </c>
      <c r="C231" t="s">
        <v>24</v>
      </c>
      <c r="D231" s="3">
        <v>9.2083333333333339</v>
      </c>
      <c r="E231" s="5">
        <f t="shared" si="15"/>
        <v>1870</v>
      </c>
      <c r="F231">
        <v>-0.67420000000000002</v>
      </c>
      <c r="G231">
        <f t="shared" si="16"/>
        <v>1.8069799999999998</v>
      </c>
      <c r="H231">
        <f t="shared" si="17"/>
        <v>1.8069799999999998</v>
      </c>
      <c r="I231" s="5">
        <f t="shared" si="18"/>
        <v>1870</v>
      </c>
      <c r="J231">
        <f>+H231+CF*F231*(1+($I231-1850)*slope/1000)+F231*hQc*COS(2*PI()*$I231/qbo+$L231)+F231*hQs*SIN(2*PI()*$I231/qbo+$L231)+F231*hCs*SIN(2*PI()*$I231/cw)+F231*hCc*COS(2*PI()*$I231/cw) +mix*F231*(hQc*COS(2*PI()*$I231/qbo+$L231)+hQs*SIN(2*PI()*$I231/qbo+$L231))*(hCs*SIN(2*PI()*$I231/cw)+hCc*COS(2*PI()*$I231/cw))</f>
        <v>1.241294775028011</v>
      </c>
      <c r="K231">
        <f>fQc*COS(2*PI()*$I231/qbo+$L231)+fQs*SIN(2*PI()*$I231/qbo+$L231)+fCs*SIN(2*PI()*$I231/cw)+fCc*COS(2*PI()*$I231/cw)</f>
        <v>-2.388699504515615</v>
      </c>
      <c r="L231">
        <f>+QMA*COS(2*PI()*$I231/QM+QMP)</f>
        <v>-0.8360326806090197</v>
      </c>
      <c r="P231">
        <f t="shared" si="19"/>
        <v>0</v>
      </c>
    </row>
    <row r="232" spans="1:16" x14ac:dyDescent="0.25">
      <c r="A232" s="1"/>
      <c r="B232" t="s">
        <v>245</v>
      </c>
      <c r="C232" t="s">
        <v>24</v>
      </c>
      <c r="D232" s="3">
        <v>9.25</v>
      </c>
      <c r="E232" s="5">
        <f t="shared" si="15"/>
        <v>1871</v>
      </c>
      <c r="F232">
        <v>-1.22858</v>
      </c>
      <c r="G232">
        <f t="shared" si="16"/>
        <v>0.84607999999999994</v>
      </c>
      <c r="H232">
        <f t="shared" si="17"/>
        <v>0.84607999999999994</v>
      </c>
      <c r="I232" s="5">
        <f t="shared" si="18"/>
        <v>1871</v>
      </c>
      <c r="J232">
        <f>+H232+CF*F232*(1+($I232-1850)*slope/1000)+F232*hQc*COS(2*PI()*$I232/qbo+$L232)+F232*hQs*SIN(2*PI()*$I232/qbo+$L232)+F232*hCs*SIN(2*PI()*$I232/cw)+F232*hCc*COS(2*PI()*$I232/cw) +mix*F232*(hQc*COS(2*PI()*$I232/qbo+$L232)+hQs*SIN(2*PI()*$I232/qbo+$L232))*(hCs*SIN(2*PI()*$I232/cw)+hCc*COS(2*PI()*$I232/cw))</f>
        <v>-0.52157829899874086</v>
      </c>
      <c r="K232">
        <f>fQc*COS(2*PI()*$I232/qbo+$L232)+fQs*SIN(2*PI()*$I232/qbo+$L232)+fCs*SIN(2*PI()*$I232/cw)+fCc*COS(2*PI()*$I232/cw)</f>
        <v>0.82598876068246563</v>
      </c>
      <c r="L232">
        <f>+QMA*COS(2*PI()*$I232/QM+QMP)</f>
        <v>-0.80384673281243868</v>
      </c>
      <c r="P232">
        <f t="shared" si="19"/>
        <v>0</v>
      </c>
    </row>
    <row r="233" spans="1:16" x14ac:dyDescent="0.25">
      <c r="A233" s="1"/>
      <c r="B233" t="s">
        <v>246</v>
      </c>
      <c r="C233" t="s">
        <v>24</v>
      </c>
      <c r="D233" s="3">
        <v>9.2916666666666661</v>
      </c>
      <c r="E233" s="5">
        <f t="shared" si="15"/>
        <v>1872</v>
      </c>
      <c r="F233">
        <v>-0.93688000000000005</v>
      </c>
      <c r="G233">
        <f t="shared" si="16"/>
        <v>-0.18365999999999993</v>
      </c>
      <c r="H233">
        <f t="shared" si="17"/>
        <v>-0.18365999999999993</v>
      </c>
      <c r="I233" s="5">
        <f t="shared" si="18"/>
        <v>1872</v>
      </c>
      <c r="J233">
        <f>+H233+CF*F233*(1+($I233-1850)*slope/1000)+F233*hQc*COS(2*PI()*$I233/qbo+$L233)+F233*hQs*SIN(2*PI()*$I233/qbo+$L233)+F233*hCs*SIN(2*PI()*$I233/cw)+F233*hCc*COS(2*PI()*$I233/cw) +mix*F233*(hQc*COS(2*PI()*$I233/qbo+$L233)+hQs*SIN(2*PI()*$I233/qbo+$L233))*(hCs*SIN(2*PI()*$I233/cw)+hCc*COS(2*PI()*$I233/cw))</f>
        <v>5.109871698987245E-4</v>
      </c>
      <c r="K233">
        <f>fQc*COS(2*PI()*$I233/qbo+$L233)+fQs*SIN(2*PI()*$I233/qbo+$L233)+fCs*SIN(2*PI()*$I233/cw)+fCc*COS(2*PI()*$I233/cw)</f>
        <v>1.5564491002403826</v>
      </c>
      <c r="L233">
        <f>+QMA*COS(2*PI()*$I233/QM+QMP)</f>
        <v>-0.75769320225321424</v>
      </c>
      <c r="P233">
        <f t="shared" si="19"/>
        <v>1</v>
      </c>
    </row>
    <row r="234" spans="1:16" x14ac:dyDescent="0.25">
      <c r="A234" s="1"/>
      <c r="B234" t="s">
        <v>247</v>
      </c>
      <c r="C234" t="s">
        <v>24</v>
      </c>
      <c r="D234" s="3">
        <v>9.3333333333333339</v>
      </c>
      <c r="E234" s="5">
        <f t="shared" si="15"/>
        <v>1873</v>
      </c>
      <c r="F234">
        <v>-0.82884000000000002</v>
      </c>
      <c r="G234">
        <f t="shared" si="16"/>
        <v>0.55813000000000001</v>
      </c>
      <c r="H234">
        <f t="shared" si="17"/>
        <v>0.55813000000000001</v>
      </c>
      <c r="I234" s="5">
        <f t="shared" si="18"/>
        <v>1873</v>
      </c>
      <c r="J234">
        <f>+H234+CF*F234*(1+($I234-1850)*slope/1000)+F234*hQc*COS(2*PI()*$I234/qbo+$L234)+F234*hQs*SIN(2*PI()*$I234/qbo+$L234)+F234*hCs*SIN(2*PI()*$I234/cw)+F234*hCc*COS(2*PI()*$I234/cw) +mix*F234*(hQc*COS(2*PI()*$I234/qbo+$L234)+hQs*SIN(2*PI()*$I234/qbo+$L234))*(hCs*SIN(2*PI()*$I234/cw)+hCc*COS(2*PI()*$I234/cw))</f>
        <v>-1.856657776175926</v>
      </c>
      <c r="K234">
        <f>fQc*COS(2*PI()*$I234/qbo+$L234)+fQs*SIN(2*PI()*$I234/qbo+$L234)+fCs*SIN(2*PI()*$I234/cw)+fCc*COS(2*PI()*$I234/cw)</f>
        <v>-3.1238076994061972</v>
      </c>
      <c r="L234">
        <f>+QMA*COS(2*PI()*$I234/QM+QMP)</f>
        <v>-0.69837404934440517</v>
      </c>
      <c r="P234">
        <f t="shared" si="19"/>
        <v>1</v>
      </c>
    </row>
    <row r="235" spans="1:16" x14ac:dyDescent="0.25">
      <c r="A235" s="1"/>
      <c r="B235" t="s">
        <v>248</v>
      </c>
      <c r="C235" t="s">
        <v>24</v>
      </c>
      <c r="D235" s="3">
        <v>9.375</v>
      </c>
      <c r="E235" s="5">
        <f t="shared" si="15"/>
        <v>1874</v>
      </c>
      <c r="F235">
        <v>-0.16267000000000001</v>
      </c>
      <c r="G235">
        <f t="shared" si="16"/>
        <v>-0.27478000000000002</v>
      </c>
      <c r="H235">
        <f t="shared" si="17"/>
        <v>-0.27478000000000002</v>
      </c>
      <c r="I235" s="5">
        <f t="shared" si="18"/>
        <v>1874</v>
      </c>
      <c r="J235">
        <f>+H235+CF*F235*(1+($I235-1850)*slope/1000)+F235*hQc*COS(2*PI()*$I235/qbo+$L235)+F235*hQs*SIN(2*PI()*$I235/qbo+$L235)+F235*hCs*SIN(2*PI()*$I235/cw)+F235*hCc*COS(2*PI()*$I235/cw) +mix*F235*(hQc*COS(2*PI()*$I235/qbo+$L235)+hQs*SIN(2*PI()*$I235/qbo+$L235))*(hCs*SIN(2*PI()*$I235/cw)+hCc*COS(2*PI()*$I235/cw))</f>
        <v>0.43740357922566286</v>
      </c>
      <c r="K235">
        <f>fQc*COS(2*PI()*$I235/qbo+$L235)+fQs*SIN(2*PI()*$I235/qbo+$L235)+fCs*SIN(2*PI()*$I235/cw)+fCc*COS(2*PI()*$I235/cw)</f>
        <v>4.2159738944966891</v>
      </c>
      <c r="L235">
        <f>+QMA*COS(2*PI()*$I235/QM+QMP)</f>
        <v>-0.62691999940200682</v>
      </c>
      <c r="P235">
        <f t="shared" si="19"/>
        <v>1</v>
      </c>
    </row>
    <row r="236" spans="1:16" x14ac:dyDescent="0.25">
      <c r="A236" s="1"/>
      <c r="B236" t="s">
        <v>249</v>
      </c>
      <c r="C236" t="s">
        <v>24</v>
      </c>
      <c r="D236" s="3">
        <v>9.4166666666666661</v>
      </c>
      <c r="E236" s="5">
        <f t="shared" si="15"/>
        <v>1875</v>
      </c>
      <c r="F236">
        <v>0.22872000000000001</v>
      </c>
      <c r="G236">
        <f t="shared" si="16"/>
        <v>-1.0702400000000001</v>
      </c>
      <c r="H236">
        <f t="shared" si="17"/>
        <v>-1.0702400000000001</v>
      </c>
      <c r="I236" s="5">
        <f t="shared" si="18"/>
        <v>1875</v>
      </c>
      <c r="J236">
        <f>+H236+CF*F236*(1+($I236-1850)*slope/1000)+F236*hQc*COS(2*PI()*$I236/qbo+$L236)+F236*hQs*SIN(2*PI()*$I236/qbo+$L236)+F236*hCs*SIN(2*PI()*$I236/cw)+F236*hCc*COS(2*PI()*$I236/cw) +mix*F236*(hQc*COS(2*PI()*$I236/qbo+$L236)+hQs*SIN(2*PI()*$I236/qbo+$L236))*(hCs*SIN(2*PI()*$I236/cw)+hCc*COS(2*PI()*$I236/cw))</f>
        <v>-0.27516895636559147</v>
      </c>
      <c r="K236">
        <f>fQc*COS(2*PI()*$I236/qbo+$L236)+fQs*SIN(2*PI()*$I236/qbo+$L236)+fCs*SIN(2*PI()*$I236/cw)+fCc*COS(2*PI()*$I236/cw)</f>
        <v>-5.1662092264478989</v>
      </c>
      <c r="L236">
        <f>+QMA*COS(2*PI()*$I236/QM+QMP)</f>
        <v>-0.54457263283619817</v>
      </c>
      <c r="P236">
        <f t="shared" si="19"/>
        <v>1</v>
      </c>
    </row>
    <row r="237" spans="1:16" x14ac:dyDescent="0.25">
      <c r="A237" s="1"/>
      <c r="B237" t="s">
        <v>250</v>
      </c>
      <c r="C237" t="s">
        <v>24</v>
      </c>
      <c r="D237" s="3">
        <v>9.4583333333333339</v>
      </c>
      <c r="E237" s="5">
        <f t="shared" si="15"/>
        <v>1876</v>
      </c>
      <c r="F237">
        <v>-0.45012999999999997</v>
      </c>
      <c r="G237">
        <f t="shared" si="16"/>
        <v>2.2897299999999996</v>
      </c>
      <c r="H237">
        <f t="shared" si="17"/>
        <v>2.2897299999999996</v>
      </c>
      <c r="I237" s="5">
        <f t="shared" si="18"/>
        <v>1876</v>
      </c>
      <c r="J237">
        <f>+H237+CF*F237*(1+($I237-1850)*slope/1000)+F237*hQc*COS(2*PI()*$I237/qbo+$L237)+F237*hQs*SIN(2*PI()*$I237/qbo+$L237)+F237*hCs*SIN(2*PI()*$I237/cw)+F237*hCc*COS(2*PI()*$I237/cw) +mix*F237*(hQc*COS(2*PI()*$I237/qbo+$L237)+hQs*SIN(2*PI()*$I237/qbo+$L237))*(hCs*SIN(2*PI()*$I237/cw)+hCc*COS(2*PI()*$I237/cw))</f>
        <v>2.4700388399541664</v>
      </c>
      <c r="K237">
        <f>fQc*COS(2*PI()*$I237/qbo+$L237)+fQs*SIN(2*PI()*$I237/qbo+$L237)+fCs*SIN(2*PI()*$I237/cw)+fCc*COS(2*PI()*$I237/cw)</f>
        <v>4.6861575019854662</v>
      </c>
      <c r="L237">
        <f>+QMA*COS(2*PI()*$I237/QM+QMP)</f>
        <v>-0.45276281154004755</v>
      </c>
      <c r="P237">
        <f t="shared" si="19"/>
        <v>1</v>
      </c>
    </row>
    <row r="238" spans="1:16" x14ac:dyDescent="0.25">
      <c r="A238" s="1"/>
      <c r="B238" t="s">
        <v>251</v>
      </c>
      <c r="C238" t="s">
        <v>24</v>
      </c>
      <c r="D238" s="3">
        <v>9.5</v>
      </c>
      <c r="E238" s="5">
        <f t="shared" si="15"/>
        <v>1877</v>
      </c>
      <c r="F238">
        <v>1.1607499999999999</v>
      </c>
      <c r="G238">
        <f t="shared" si="16"/>
        <v>-1.5945399999999998</v>
      </c>
      <c r="H238">
        <f t="shared" si="17"/>
        <v>-1.5945399999999998</v>
      </c>
      <c r="I238" s="5">
        <f t="shared" si="18"/>
        <v>1877</v>
      </c>
      <c r="J238">
        <f>+H238+CF*F238*(1+($I238-1850)*slope/1000)+F238*hQc*COS(2*PI()*$I238/qbo+$L238)+F238*hQs*SIN(2*PI()*$I238/qbo+$L238)+F238*hCs*SIN(2*PI()*$I238/cw)+F238*hCc*COS(2*PI()*$I238/cw) +mix*F238*(hQc*COS(2*PI()*$I238/qbo+$L238)+hQs*SIN(2*PI()*$I238/qbo+$L238))*(hCs*SIN(2*PI()*$I238/cw)+hCc*COS(2*PI()*$I238/cw))</f>
        <v>-1.1565872554264387</v>
      </c>
      <c r="K238">
        <f>fQc*COS(2*PI()*$I238/qbo+$L238)+fQs*SIN(2*PI()*$I238/qbo+$L238)+fCs*SIN(2*PI()*$I238/cw)+fCc*COS(2*PI()*$I238/cw)</f>
        <v>-4.2837844123389734</v>
      </c>
      <c r="L238">
        <f>+QMA*COS(2*PI()*$I238/QM+QMP)</f>
        <v>-0.3530858163363384</v>
      </c>
      <c r="P238">
        <f t="shared" si="19"/>
        <v>1</v>
      </c>
    </row>
    <row r="239" spans="1:16" x14ac:dyDescent="0.25">
      <c r="A239" s="1"/>
      <c r="B239" t="s">
        <v>252</v>
      </c>
      <c r="C239" t="s">
        <v>24</v>
      </c>
      <c r="D239" s="3">
        <v>9.5416666666666661</v>
      </c>
      <c r="E239" s="5">
        <f t="shared" si="15"/>
        <v>1878</v>
      </c>
      <c r="F239">
        <v>1.17709</v>
      </c>
      <c r="G239">
        <f t="shared" si="16"/>
        <v>-2.12297</v>
      </c>
      <c r="H239">
        <f t="shared" si="17"/>
        <v>-2.12297</v>
      </c>
      <c r="I239" s="5">
        <f t="shared" si="18"/>
        <v>1878</v>
      </c>
      <c r="J239">
        <f>+H239+CF*F239*(1+($I239-1850)*slope/1000)+F239*hQc*COS(2*PI()*$I239/qbo+$L239)+F239*hQs*SIN(2*PI()*$I239/qbo+$L239)+F239*hCs*SIN(2*PI()*$I239/cw)+F239*hCc*COS(2*PI()*$I239/cw) +mix*F239*(hQc*COS(2*PI()*$I239/qbo+$L239)+hQs*SIN(2*PI()*$I239/qbo+$L239))*(hCs*SIN(2*PI()*$I239/cw)+hCc*COS(2*PI()*$I239/cw))</f>
        <v>1.0554255463025264</v>
      </c>
      <c r="K239">
        <f>fQc*COS(2*PI()*$I239/qbo+$L239)+fQs*SIN(2*PI()*$I239/qbo+$L239)+fCs*SIN(2*PI()*$I239/cw)+fCc*COS(2*PI()*$I239/cw)</f>
        <v>3.1254616607814709</v>
      </c>
      <c r="L239">
        <f>+QMA*COS(2*PI()*$I239/QM+QMP)</f>
        <v>-0.2472736274934953</v>
      </c>
      <c r="P239">
        <f t="shared" si="19"/>
        <v>1</v>
      </c>
    </row>
    <row r="240" spans="1:16" x14ac:dyDescent="0.25">
      <c r="A240" s="1"/>
      <c r="B240" t="s">
        <v>253</v>
      </c>
      <c r="C240" t="s">
        <v>24</v>
      </c>
      <c r="D240" s="3">
        <v>9.5833333333333339</v>
      </c>
      <c r="E240" s="5">
        <f t="shared" si="15"/>
        <v>1879</v>
      </c>
      <c r="F240">
        <v>-0.92954000000000003</v>
      </c>
      <c r="G240">
        <f t="shared" si="16"/>
        <v>1.21221</v>
      </c>
      <c r="H240">
        <f t="shared" si="17"/>
        <v>1.21221</v>
      </c>
      <c r="I240" s="5">
        <f t="shared" si="18"/>
        <v>1879</v>
      </c>
      <c r="J240">
        <f>+H240+CF*F240*(1+($I240-1850)*slope/1000)+F240*hQc*COS(2*PI()*$I240/qbo+$L240)+F240*hQs*SIN(2*PI()*$I240/qbo+$L240)+F240*hCs*SIN(2*PI()*$I240/cw)+F240*hCc*COS(2*PI()*$I240/cw) +mix*F240*(hQc*COS(2*PI()*$I240/qbo+$L240)+hQs*SIN(2*PI()*$I240/qbo+$L240))*(hCs*SIN(2*PI()*$I240/cw)+hCc*COS(2*PI()*$I240/cw))</f>
        <v>-1.6114188177784872E-4</v>
      </c>
      <c r="K240">
        <f>fQc*COS(2*PI()*$I240/qbo+$L240)+fQs*SIN(2*PI()*$I240/qbo+$L240)+fCs*SIN(2*PI()*$I240/cw)+fCc*COS(2*PI()*$I240/cw)</f>
        <v>-1.3426673465802474</v>
      </c>
      <c r="L240">
        <f>+QMA*COS(2*PI()*$I240/QM+QMP)</f>
        <v>-0.13716482996144452</v>
      </c>
      <c r="P240">
        <f t="shared" si="19"/>
        <v>1</v>
      </c>
    </row>
    <row r="241" spans="1:16" x14ac:dyDescent="0.25">
      <c r="A241" s="1"/>
      <c r="B241" t="s">
        <v>254</v>
      </c>
      <c r="C241" t="s">
        <v>24</v>
      </c>
      <c r="D241" s="3">
        <v>9.625</v>
      </c>
      <c r="E241" s="5">
        <f t="shared" si="15"/>
        <v>1880</v>
      </c>
      <c r="F241">
        <v>-1.82396</v>
      </c>
      <c r="G241">
        <f t="shared" si="16"/>
        <v>3.1040900000000002</v>
      </c>
      <c r="H241">
        <f t="shared" si="17"/>
        <v>3.1040900000000002</v>
      </c>
      <c r="I241" s="5">
        <f t="shared" si="18"/>
        <v>1880</v>
      </c>
      <c r="J241">
        <f>+H241+CF*F241*(1+($I241-1850)*slope/1000)+F241*hQc*COS(2*PI()*$I241/qbo+$L241)+F241*hQs*SIN(2*PI()*$I241/qbo+$L241)+F241*hCs*SIN(2*PI()*$I241/cw)+F241*hCc*COS(2*PI()*$I241/cw) +mix*F241*(hQc*COS(2*PI()*$I241/qbo+$L241)+hQs*SIN(2*PI()*$I241/qbo+$L241))*(hCs*SIN(2*PI()*$I241/cw)+hCc*COS(2*PI()*$I241/cw))</f>
        <v>1.4358284861294073</v>
      </c>
      <c r="K241">
        <f>fQc*COS(2*PI()*$I241/qbo+$L241)+fQs*SIN(2*PI()*$I241/qbo+$L241)+fCs*SIN(2*PI()*$I241/cw)+fCc*COS(2*PI()*$I241/cw)</f>
        <v>8.6823286789100368E-2</v>
      </c>
      <c r="L241">
        <f>+QMA*COS(2*PI()*$I241/QM+QMP)</f>
        <v>-2.4672666252183135E-2</v>
      </c>
      <c r="P241">
        <f t="shared" si="19"/>
        <v>1</v>
      </c>
    </row>
    <row r="242" spans="1:16" x14ac:dyDescent="0.25">
      <c r="A242" s="1"/>
      <c r="B242" t="s">
        <v>255</v>
      </c>
      <c r="C242" t="s">
        <v>24</v>
      </c>
      <c r="D242" s="3">
        <v>9.6666666666666661</v>
      </c>
      <c r="E242" s="5">
        <f t="shared" si="15"/>
        <v>1881</v>
      </c>
      <c r="F242">
        <v>0.38571</v>
      </c>
      <c r="G242">
        <f t="shared" si="16"/>
        <v>-2.3247300000000002</v>
      </c>
      <c r="H242">
        <f t="shared" si="17"/>
        <v>-2.3247300000000002</v>
      </c>
      <c r="I242" s="5">
        <f t="shared" si="18"/>
        <v>1881</v>
      </c>
      <c r="J242">
        <f>+H242+CF*F242*(1+($I242-1850)*slope/1000)+F242*hQc*COS(2*PI()*$I242/qbo+$L242)+F242*hQs*SIN(2*PI()*$I242/qbo+$L242)+F242*hCs*SIN(2*PI()*$I242/cw)+F242*hCc*COS(2*PI()*$I242/cw) +mix*F242*(hQc*COS(2*PI()*$I242/qbo+$L242)+hQs*SIN(2*PI()*$I242/qbo+$L242))*(hCs*SIN(2*PI()*$I242/cw)+hCc*COS(2*PI()*$I242/cw))</f>
        <v>-2.5839775677838714</v>
      </c>
      <c r="K242">
        <f>fQc*COS(2*PI()*$I242/qbo+$L242)+fQs*SIN(2*PI()*$I242/qbo+$L242)+fCs*SIN(2*PI()*$I242/cw)+fCc*COS(2*PI()*$I242/cw)</f>
        <v>1.9199502726833335</v>
      </c>
      <c r="L242">
        <f>+QMA*COS(2*PI()*$I242/QM+QMP)</f>
        <v>8.8248207923620106E-2</v>
      </c>
      <c r="P242">
        <f t="shared" si="19"/>
        <v>0</v>
      </c>
    </row>
    <row r="243" spans="1:16" x14ac:dyDescent="0.25">
      <c r="A243" s="1"/>
      <c r="B243" t="s">
        <v>256</v>
      </c>
      <c r="C243" t="s">
        <v>24</v>
      </c>
      <c r="D243" s="3">
        <v>9.7083333333333339</v>
      </c>
      <c r="E243" s="5">
        <f t="shared" si="15"/>
        <v>1882</v>
      </c>
      <c r="F243">
        <v>0.27065</v>
      </c>
      <c r="G243">
        <f t="shared" si="16"/>
        <v>-0.93714000000000008</v>
      </c>
      <c r="H243">
        <f t="shared" si="17"/>
        <v>-0.93714000000000008</v>
      </c>
      <c r="I243" s="5">
        <f t="shared" si="18"/>
        <v>1882</v>
      </c>
      <c r="J243">
        <f>+H243+CF*F243*(1+($I243-1850)*slope/1000)+F243*hQc*COS(2*PI()*$I243/qbo+$L243)+F243*hQs*SIN(2*PI()*$I243/qbo+$L243)+F243*hCs*SIN(2*PI()*$I243/cw)+F243*hCc*COS(2*PI()*$I243/cw) +mix*F243*(hQc*COS(2*PI()*$I243/qbo+$L243)+hQs*SIN(2*PI()*$I243/qbo+$L243))*(hCs*SIN(2*PI()*$I243/cw)+hCc*COS(2*PI()*$I243/cw))</f>
        <v>-0.11797951516557603</v>
      </c>
      <c r="K243">
        <f>fQc*COS(2*PI()*$I243/qbo+$L243)+fQs*SIN(2*PI()*$I243/qbo+$L243)+fCs*SIN(2*PI()*$I243/cw)+fCc*COS(2*PI()*$I243/cw)</f>
        <v>-3.2577139214239983</v>
      </c>
      <c r="L243">
        <f>+QMA*COS(2*PI()*$I243/QM+QMP)</f>
        <v>0.1996356876131975</v>
      </c>
      <c r="P243">
        <f t="shared" si="19"/>
        <v>1</v>
      </c>
    </row>
    <row r="244" spans="1:16" x14ac:dyDescent="0.25">
      <c r="A244" s="1"/>
      <c r="B244" t="s">
        <v>257</v>
      </c>
      <c r="C244" t="s">
        <v>24</v>
      </c>
      <c r="D244" s="3">
        <v>9.75</v>
      </c>
      <c r="E244" s="5">
        <f t="shared" si="15"/>
        <v>1883</v>
      </c>
      <c r="F244">
        <v>-0.78154999999999997</v>
      </c>
      <c r="G244">
        <f t="shared" si="16"/>
        <v>2.1461699999999997</v>
      </c>
      <c r="H244">
        <f t="shared" si="17"/>
        <v>2.1461699999999997</v>
      </c>
      <c r="I244" s="5">
        <f t="shared" si="18"/>
        <v>1883</v>
      </c>
      <c r="J244">
        <f>+H244+CF*F244*(1+($I244-1850)*slope/1000)+F244*hQc*COS(2*PI()*$I244/qbo+$L244)+F244*hQs*SIN(2*PI()*$I244/qbo+$L244)+F244*hCs*SIN(2*PI()*$I244/cw)+F244*hCc*COS(2*PI()*$I244/cw) +mix*F244*(hQc*COS(2*PI()*$I244/qbo+$L244)+hQs*SIN(2*PI()*$I244/qbo+$L244))*(hCs*SIN(2*PI()*$I244/cw)+hCc*COS(2*PI()*$I244/cw))</f>
        <v>5.5728311714228562</v>
      </c>
      <c r="K244">
        <f>fQc*COS(2*PI()*$I244/qbo+$L244)+fQs*SIN(2*PI()*$I244/qbo+$L244)+fCs*SIN(2*PI()*$I244/cw)+fCc*COS(2*PI()*$I244/cw)</f>
        <v>4.1785998250447376</v>
      </c>
      <c r="L244">
        <f>+QMA*COS(2*PI()*$I244/QM+QMP)</f>
        <v>0.30755431201575079</v>
      </c>
      <c r="P244">
        <f t="shared" si="19"/>
        <v>1</v>
      </c>
    </row>
    <row r="245" spans="1:16" x14ac:dyDescent="0.25">
      <c r="A245" s="1"/>
      <c r="B245" t="s">
        <v>258</v>
      </c>
      <c r="C245" t="s">
        <v>24</v>
      </c>
      <c r="D245" s="3">
        <v>9.7916666666666661</v>
      </c>
      <c r="E245" s="5">
        <f t="shared" si="15"/>
        <v>1884</v>
      </c>
      <c r="F245">
        <v>0.31241999999999998</v>
      </c>
      <c r="G245">
        <f t="shared" si="16"/>
        <v>0.26290000000000013</v>
      </c>
      <c r="H245">
        <f t="shared" si="17"/>
        <v>0.26290000000000013</v>
      </c>
      <c r="I245" s="5">
        <f t="shared" si="18"/>
        <v>1884</v>
      </c>
      <c r="J245">
        <f>+H245+CF*F245*(1+($I245-1850)*slope/1000)+F245*hQc*COS(2*PI()*$I245/qbo+$L245)+F245*hQs*SIN(2*PI()*$I245/qbo+$L245)+F245*hCs*SIN(2*PI()*$I245/cw)+F245*hCc*COS(2*PI()*$I245/cw) +mix*F245*(hQc*COS(2*PI()*$I245/qbo+$L245)+hQs*SIN(2*PI()*$I245/qbo+$L245))*(hCs*SIN(2*PI()*$I245/cw)+hCc*COS(2*PI()*$I245/cw))</f>
        <v>1.2642694957687364</v>
      </c>
      <c r="K245">
        <f>fQc*COS(2*PI()*$I245/qbo+$L245)+fQs*SIN(2*PI()*$I245/qbo+$L245)+fCs*SIN(2*PI()*$I245/cw)+fCc*COS(2*PI()*$I245/cw)</f>
        <v>-5.147488997037053</v>
      </c>
      <c r="L245">
        <f>+QMA*COS(2*PI()*$I245/QM+QMP)</f>
        <v>0.41012889490922849</v>
      </c>
      <c r="P245">
        <f t="shared" si="19"/>
        <v>0</v>
      </c>
    </row>
    <row r="246" spans="1:16" x14ac:dyDescent="0.25">
      <c r="A246" s="1"/>
      <c r="B246" t="s">
        <v>259</v>
      </c>
      <c r="C246" t="s">
        <v>24</v>
      </c>
      <c r="D246" s="3">
        <v>9.8333333333333339</v>
      </c>
      <c r="E246" s="5">
        <f t="shared" si="15"/>
        <v>1885</v>
      </c>
      <c r="F246">
        <v>1.6692899999999999</v>
      </c>
      <c r="G246">
        <f t="shared" si="16"/>
        <v>-3.0097399999999999</v>
      </c>
      <c r="H246">
        <f t="shared" si="17"/>
        <v>-3.0097399999999999</v>
      </c>
      <c r="I246" s="5">
        <f t="shared" si="18"/>
        <v>1885</v>
      </c>
      <c r="J246">
        <f>+H246+CF*F246*(1+($I246-1850)*slope/1000)+F246*hQc*COS(2*PI()*$I246/qbo+$L246)+F246*hQs*SIN(2*PI()*$I246/qbo+$L246)+F246*hCs*SIN(2*PI()*$I246/cw)+F246*hCc*COS(2*PI()*$I246/cw) +mix*F246*(hQc*COS(2*PI()*$I246/qbo+$L246)+hQs*SIN(2*PI()*$I246/qbo+$L246))*(hCs*SIN(2*PI()*$I246/cw)+hCc*COS(2*PI()*$I246/cw))</f>
        <v>-3.0713684834211934</v>
      </c>
      <c r="K246">
        <f>fQc*COS(2*PI()*$I246/qbo+$L246)+fQs*SIN(2*PI()*$I246/qbo+$L246)+fCs*SIN(2*PI()*$I246/cw)+fCc*COS(2*PI()*$I246/cw)</f>
        <v>4.7308365887197752</v>
      </c>
      <c r="L246">
        <f>+QMA*COS(2*PI()*$I246/QM+QMP)</f>
        <v>0.50557710775081721</v>
      </c>
      <c r="P246">
        <f t="shared" si="19"/>
        <v>0</v>
      </c>
    </row>
    <row r="247" spans="1:16" x14ac:dyDescent="0.25">
      <c r="A247" s="1"/>
      <c r="B247" t="s">
        <v>260</v>
      </c>
      <c r="C247" t="s">
        <v>24</v>
      </c>
      <c r="D247" s="3">
        <v>9.875</v>
      </c>
      <c r="E247" s="5">
        <f t="shared" si="15"/>
        <v>1886</v>
      </c>
      <c r="F247">
        <v>1.6420000000000001E-2</v>
      </c>
      <c r="G247">
        <f t="shared" si="16"/>
        <v>-0.11202000000000023</v>
      </c>
      <c r="H247">
        <f t="shared" si="17"/>
        <v>-0.11202000000000023</v>
      </c>
      <c r="I247" s="5">
        <f t="shared" si="18"/>
        <v>1886</v>
      </c>
      <c r="J247">
        <f>+H247+CF*F247*(1+($I247-1850)*slope/1000)+F247*hQc*COS(2*PI()*$I247/qbo+$L247)+F247*hQs*SIN(2*PI()*$I247/qbo+$L247)+F247*hCs*SIN(2*PI()*$I247/cw)+F247*hCc*COS(2*PI()*$I247/cw) +mix*F247*(hQc*COS(2*PI()*$I247/qbo+$L247)+hQs*SIN(2*PI()*$I247/qbo+$L247))*(hCs*SIN(2*PI()*$I247/cw)+hCc*COS(2*PI()*$I247/cw))</f>
        <v>-0.10948565712203409</v>
      </c>
      <c r="K247">
        <f>fQc*COS(2*PI()*$I247/qbo+$L247)+fQs*SIN(2*PI()*$I247/qbo+$L247)+fCs*SIN(2*PI()*$I247/cw)+fCc*COS(2*PI()*$I247/cw)</f>
        <v>-4.3106025956171505</v>
      </c>
      <c r="L247">
        <f>+QMA*COS(2*PI()*$I247/QM+QMP)</f>
        <v>0.59224044928906594</v>
      </c>
      <c r="P247">
        <f t="shared" si="19"/>
        <v>1</v>
      </c>
    </row>
    <row r="248" spans="1:16" x14ac:dyDescent="0.25">
      <c r="A248" s="1"/>
      <c r="B248" t="s">
        <v>261</v>
      </c>
      <c r="C248" t="s">
        <v>24</v>
      </c>
      <c r="D248" s="3">
        <v>9.9166666666666661</v>
      </c>
      <c r="E248" s="5">
        <f t="shared" si="15"/>
        <v>1887</v>
      </c>
      <c r="F248">
        <v>-1.74847</v>
      </c>
      <c r="G248">
        <f t="shared" si="16"/>
        <v>4.7467000000000006</v>
      </c>
      <c r="H248">
        <f t="shared" si="17"/>
        <v>4.7467000000000006</v>
      </c>
      <c r="I248" s="5">
        <f t="shared" si="18"/>
        <v>1887</v>
      </c>
      <c r="J248">
        <f>+H248+CF*F248*(1+($I248-1850)*slope/1000)+F248*hQc*COS(2*PI()*$I248/qbo+$L248)+F248*hQs*SIN(2*PI()*$I248/qbo+$L248)+F248*hCs*SIN(2*PI()*$I248/cw)+F248*hCc*COS(2*PI()*$I248/cw) +mix*F248*(hQc*COS(2*PI()*$I248/qbo+$L248)+hQs*SIN(2*PI()*$I248/qbo+$L248))*(hCs*SIN(2*PI()*$I248/cw)+hCc*COS(2*PI()*$I248/cw))</f>
        <v>0.10724269222832383</v>
      </c>
      <c r="K248">
        <f>fQc*COS(2*PI()*$I248/qbo+$L248)+fQs*SIN(2*PI()*$I248/qbo+$L248)+fCs*SIN(2*PI()*$I248/cw)+fCc*COS(2*PI()*$I248/cw)</f>
        <v>3.1046708654972135</v>
      </c>
      <c r="L248">
        <f>+QMA*COS(2*PI()*$I248/QM+QMP)</f>
        <v>0.6686130635615507</v>
      </c>
      <c r="P248">
        <f t="shared" si="19"/>
        <v>1</v>
      </c>
    </row>
    <row r="249" spans="1:16" x14ac:dyDescent="0.25">
      <c r="A249" s="1"/>
      <c r="B249" t="s">
        <v>262</v>
      </c>
      <c r="C249" t="s">
        <v>24</v>
      </c>
      <c r="D249" s="3">
        <v>9.9583333333333339</v>
      </c>
      <c r="E249" s="5">
        <f t="shared" si="15"/>
        <v>1888</v>
      </c>
      <c r="F249">
        <v>1.2333400000000001</v>
      </c>
      <c r="G249">
        <f t="shared" si="16"/>
        <v>-2.8604800000000004</v>
      </c>
      <c r="H249">
        <f t="shared" si="17"/>
        <v>-2.8604800000000004</v>
      </c>
      <c r="I249" s="5">
        <f t="shared" si="18"/>
        <v>1888</v>
      </c>
      <c r="J249">
        <f>+H249+CF*F249*(1+($I249-1850)*slope/1000)+F249*hQc*COS(2*PI()*$I249/qbo+$L249)+F249*hQs*SIN(2*PI()*$I249/qbo+$L249)+F249*hCs*SIN(2*PI()*$I249/cw)+F249*hCc*COS(2*PI()*$I249/cw) +mix*F249*(hQc*COS(2*PI()*$I249/qbo+$L249)+hQs*SIN(2*PI()*$I249/qbo+$L249))*(hCs*SIN(2*PI()*$I249/cw)+hCc*COS(2*PI()*$I249/cw))</f>
        <v>-1.2252418110987786</v>
      </c>
      <c r="K249">
        <f>fQc*COS(2*PI()*$I249/qbo+$L249)+fQs*SIN(2*PI()*$I249/qbo+$L249)+fCs*SIN(2*PI()*$I249/cw)+fCc*COS(2*PI()*$I249/cw)</f>
        <v>-1.063705415305229</v>
      </c>
      <c r="L249">
        <f>+QMA*COS(2*PI()*$I249/QM+QMP)</f>
        <v>0.73336790553959486</v>
      </c>
      <c r="P249">
        <f t="shared" si="19"/>
        <v>1</v>
      </c>
    </row>
    <row r="250" spans="1:16" x14ac:dyDescent="0.25">
      <c r="A250" s="1"/>
      <c r="B250" t="s">
        <v>263</v>
      </c>
      <c r="C250" t="s">
        <v>24</v>
      </c>
      <c r="D250" s="3">
        <v>10</v>
      </c>
      <c r="E250" s="5">
        <f t="shared" si="15"/>
        <v>1889</v>
      </c>
      <c r="F250">
        <v>1.35467</v>
      </c>
      <c r="G250">
        <f t="shared" si="16"/>
        <v>-2.9236499999999999</v>
      </c>
      <c r="H250">
        <f t="shared" si="17"/>
        <v>-2.9236499999999999</v>
      </c>
      <c r="I250" s="5">
        <f t="shared" si="18"/>
        <v>1889</v>
      </c>
      <c r="J250">
        <f>+H250+CF*F250*(1+($I250-1850)*slope/1000)+F250*hQc*COS(2*PI()*$I250/qbo+$L250)+F250*hQs*SIN(2*PI()*$I250/qbo+$L250)+F250*hCs*SIN(2*PI()*$I250/cw)+F250*hCc*COS(2*PI()*$I250/cw) +mix*F250*(hQc*COS(2*PI()*$I250/qbo+$L250)+hQs*SIN(2*PI()*$I250/qbo+$L250))*(hCs*SIN(2*PI()*$I250/cw)+hCc*COS(2*PI()*$I250/cw))</f>
        <v>-1.8071699598991091</v>
      </c>
      <c r="K250">
        <f>fQc*COS(2*PI()*$I250/qbo+$L250)+fQs*SIN(2*PI()*$I250/qbo+$L250)+fCs*SIN(2*PI()*$I250/cw)+fCc*COS(2*PI()*$I250/cw)</f>
        <v>-0.4995994920636373</v>
      </c>
      <c r="L250">
        <f>+QMA*COS(2*PI()*$I250/QM+QMP)</f>
        <v>0.78537979976658689</v>
      </c>
      <c r="P250">
        <f t="shared" si="19"/>
        <v>1</v>
      </c>
    </row>
    <row r="251" spans="1:16" x14ac:dyDescent="0.25">
      <c r="A251" s="1"/>
      <c r="B251" t="s">
        <v>264</v>
      </c>
      <c r="C251" t="s">
        <v>24</v>
      </c>
      <c r="D251" s="3">
        <v>10.041666666666666</v>
      </c>
      <c r="E251" s="5">
        <f t="shared" si="15"/>
        <v>1890</v>
      </c>
      <c r="F251">
        <v>-1.4476500000000001</v>
      </c>
      <c r="G251">
        <f t="shared" si="16"/>
        <v>4.2313499999999999</v>
      </c>
      <c r="H251">
        <f t="shared" si="17"/>
        <v>4.2313499999999999</v>
      </c>
      <c r="I251" s="5">
        <f t="shared" si="18"/>
        <v>1890</v>
      </c>
      <c r="J251">
        <f>+H251+CF*F251*(1+($I251-1850)*slope/1000)+F251*hQc*COS(2*PI()*$I251/qbo+$L251)+F251*hQs*SIN(2*PI()*$I251/qbo+$L251)+F251*hCs*SIN(2*PI()*$I251/cw)+F251*hCc*COS(2*PI()*$I251/cw) +mix*F251*(hQc*COS(2*PI()*$I251/qbo+$L251)+hQs*SIN(2*PI()*$I251/qbo+$L251))*(hCs*SIN(2*PI()*$I251/cw)+hCc*COS(2*PI()*$I251/cw))</f>
        <v>6.2138674836753225</v>
      </c>
      <c r="K251">
        <f>fQc*COS(2*PI()*$I251/qbo+$L251)+fQs*SIN(2*PI()*$I251/qbo+$L251)+fCs*SIN(2*PI()*$I251/cw)+fCc*COS(2*PI()*$I251/cw)</f>
        <v>2.7541140166467879</v>
      </c>
      <c r="L251">
        <f>+QMA*COS(2*PI()*$I251/QM+QMP)</f>
        <v>0.82374499132555923</v>
      </c>
      <c r="P251">
        <f t="shared" si="19"/>
        <v>1</v>
      </c>
    </row>
    <row r="252" spans="1:16" x14ac:dyDescent="0.25">
      <c r="A252" s="1"/>
      <c r="B252" t="s">
        <v>265</v>
      </c>
      <c r="C252" t="s">
        <v>24</v>
      </c>
      <c r="D252" s="3">
        <v>10.083333333333334</v>
      </c>
      <c r="E252" s="5">
        <f t="shared" si="15"/>
        <v>1891</v>
      </c>
      <c r="F252">
        <v>-1.8620000000000001E-2</v>
      </c>
      <c r="G252">
        <f t="shared" si="16"/>
        <v>-1.7558</v>
      </c>
      <c r="H252">
        <f t="shared" si="17"/>
        <v>-1.7558</v>
      </c>
      <c r="I252" s="5">
        <f t="shared" si="18"/>
        <v>1891</v>
      </c>
      <c r="J252">
        <f>+H252+CF*F252*(1+($I252-1850)*slope/1000)+F252*hQc*COS(2*PI()*$I252/qbo+$L252)+F252*hQs*SIN(2*PI()*$I252/qbo+$L252)+F252*hCs*SIN(2*PI()*$I252/cw)+F252*hCc*COS(2*PI()*$I252/cw) +mix*F252*(hQc*COS(2*PI()*$I252/qbo+$L252)+hQs*SIN(2*PI()*$I252/qbo+$L252))*(hCs*SIN(2*PI()*$I252/cw)+hCc*COS(2*PI()*$I252/cw))</f>
        <v>-1.8228498055419928</v>
      </c>
      <c r="K252">
        <f>fQc*COS(2*PI()*$I252/qbo+$L252)+fQs*SIN(2*PI()*$I252/qbo+$L252)+fCs*SIN(2*PI()*$I252/cw)+fCc*COS(2*PI()*$I252/cw)</f>
        <v>-4.2017636724668534</v>
      </c>
      <c r="L252">
        <f>+QMA*COS(2*PI()*$I252/QM+QMP)</f>
        <v>0.84779684941936606</v>
      </c>
      <c r="P252">
        <f t="shared" si="19"/>
        <v>1</v>
      </c>
    </row>
    <row r="253" spans="1:16" x14ac:dyDescent="0.25">
      <c r="A253" s="1"/>
      <c r="B253" t="s">
        <v>266</v>
      </c>
      <c r="C253" t="s">
        <v>24</v>
      </c>
      <c r="D253" s="3">
        <v>10.125</v>
      </c>
      <c r="E253" s="5">
        <f t="shared" si="15"/>
        <v>1892</v>
      </c>
      <c r="F253">
        <v>-0.34538999999999997</v>
      </c>
      <c r="G253">
        <f t="shared" si="16"/>
        <v>-1.5630200000000001</v>
      </c>
      <c r="H253">
        <f t="shared" si="17"/>
        <v>-1.5630200000000001</v>
      </c>
      <c r="I253" s="5">
        <f t="shared" si="18"/>
        <v>1892</v>
      </c>
      <c r="J253">
        <f>+H253+CF*F253*(1+($I253-1850)*slope/1000)+F253*hQc*COS(2*PI()*$I253/qbo+$L253)+F253*hQs*SIN(2*PI()*$I253/qbo+$L253)+F253*hCs*SIN(2*PI()*$I253/cw)+F253*hCc*COS(2*PI()*$I253/cw) +mix*F253*(hQc*COS(2*PI()*$I253/qbo+$L253)+hQs*SIN(2*PI()*$I253/qbo+$L253))*(hCs*SIN(2*PI()*$I253/cw)+hCc*COS(2*PI()*$I253/cw))</f>
        <v>4.2596083938306606E-4</v>
      </c>
      <c r="K253">
        <f>fQc*COS(2*PI()*$I253/qbo+$L253)+fQs*SIN(2*PI()*$I253/qbo+$L253)+fCs*SIN(2*PI()*$I253/cw)+fCc*COS(2*PI()*$I253/cw)</f>
        <v>4.7732095870755185</v>
      </c>
      <c r="L253">
        <f>+QMA*COS(2*PI()*$I253/QM+QMP)</f>
        <v>0.85711745069916145</v>
      </c>
      <c r="P253">
        <f t="shared" si="19"/>
        <v>1</v>
      </c>
    </row>
    <row r="254" spans="1:16" x14ac:dyDescent="0.25">
      <c r="A254" s="1"/>
      <c r="B254" t="s">
        <v>267</v>
      </c>
      <c r="C254" t="s">
        <v>24</v>
      </c>
      <c r="D254" s="3">
        <v>10.166666666666666</v>
      </c>
      <c r="E254" s="5">
        <f t="shared" si="15"/>
        <v>1893</v>
      </c>
      <c r="F254">
        <v>-2.2351800000000002</v>
      </c>
      <c r="G254">
        <f t="shared" si="16"/>
        <v>2.3824900000000002</v>
      </c>
      <c r="H254">
        <f t="shared" si="17"/>
        <v>2.3824900000000002</v>
      </c>
      <c r="I254" s="5">
        <f t="shared" si="18"/>
        <v>1893</v>
      </c>
      <c r="J254">
        <f>+H254+CF*F254*(1+($I254-1850)*slope/1000)+F254*hQc*COS(2*PI()*$I254/qbo+$L254)+F254*hQs*SIN(2*PI()*$I254/qbo+$L254)+F254*hCs*SIN(2*PI()*$I254/cw)+F254*hCc*COS(2*PI()*$I254/cw) +mix*F254*(hQc*COS(2*PI()*$I254/qbo+$L254)+hQs*SIN(2*PI()*$I254/qbo+$L254))*(hCs*SIN(2*PI()*$I254/cw)+hCc*COS(2*PI()*$I254/cw))</f>
        <v>-3.241590177261374</v>
      </c>
      <c r="K254">
        <f>fQc*COS(2*PI()*$I254/qbo+$L254)+fQs*SIN(2*PI()*$I254/qbo+$L254)+fCs*SIN(2*PI()*$I254/cw)+fCc*COS(2*PI()*$I254/cw)</f>
        <v>-4.9769257283423816</v>
      </c>
      <c r="L254">
        <f>+QMA*COS(2*PI()*$I254/QM+QMP)</f>
        <v>0.85154484107039663</v>
      </c>
      <c r="P254">
        <f t="shared" si="19"/>
        <v>1</v>
      </c>
    </row>
    <row r="255" spans="1:16" x14ac:dyDescent="0.25">
      <c r="A255" s="1"/>
      <c r="B255" t="s">
        <v>268</v>
      </c>
      <c r="C255" t="s">
        <v>24</v>
      </c>
      <c r="D255" s="3">
        <v>10.208333333333334</v>
      </c>
      <c r="E255" s="5">
        <f t="shared" si="15"/>
        <v>1894</v>
      </c>
      <c r="F255">
        <v>-1.74248</v>
      </c>
      <c r="G255">
        <f t="shared" si="16"/>
        <v>0.96674999999999978</v>
      </c>
      <c r="H255">
        <f t="shared" si="17"/>
        <v>0.96674999999999978</v>
      </c>
      <c r="I255" s="5">
        <f t="shared" si="18"/>
        <v>1894</v>
      </c>
      <c r="J255">
        <f>+H255+CF*F255*(1+($I255-1850)*slope/1000)+F255*hQc*COS(2*PI()*$I255/qbo+$L255)+F255*hQs*SIN(2*PI()*$I255/qbo+$L255)+F255*hCs*SIN(2*PI()*$I255/cw)+F255*hCc*COS(2*PI()*$I255/cw) +mix*F255*(hQc*COS(2*PI()*$I255/qbo+$L255)+hQs*SIN(2*PI()*$I255/qbo+$L255))*(hCs*SIN(2*PI()*$I255/cw)+hCc*COS(2*PI()*$I255/cw))</f>
        <v>0.10681222283690228</v>
      </c>
      <c r="K255">
        <f>fQc*COS(2*PI()*$I255/qbo+$L255)+fQs*SIN(2*PI()*$I255/qbo+$L255)+fCs*SIN(2*PI()*$I255/cw)+fCc*COS(2*PI()*$I255/cw)</f>
        <v>3.3642701535676856</v>
      </c>
      <c r="L255">
        <f>+QMA*COS(2*PI()*$I255/QM+QMP)</f>
        <v>0.8311758497954328</v>
      </c>
      <c r="P255">
        <f t="shared" si="19"/>
        <v>1</v>
      </c>
    </row>
    <row r="256" spans="1:16" x14ac:dyDescent="0.25">
      <c r="A256" s="1"/>
      <c r="B256" t="s">
        <v>269</v>
      </c>
      <c r="C256" t="s">
        <v>24</v>
      </c>
      <c r="D256" s="3">
        <v>10.25</v>
      </c>
      <c r="E256" s="5">
        <f t="shared" si="15"/>
        <v>1895</v>
      </c>
      <c r="F256">
        <v>-0.28303</v>
      </c>
      <c r="G256">
        <f t="shared" si="16"/>
        <v>-1.5630499999999998</v>
      </c>
      <c r="H256">
        <f t="shared" si="17"/>
        <v>-1.5630499999999998</v>
      </c>
      <c r="I256" s="5">
        <f t="shared" si="18"/>
        <v>1895</v>
      </c>
      <c r="J256">
        <f>+H256+CF*F256*(1+($I256-1850)*slope/1000)+F256*hQc*COS(2*PI()*$I256/qbo+$L256)+F256*hQs*SIN(2*PI()*$I256/qbo+$L256)+F256*hCs*SIN(2*PI()*$I256/cw)+F256*hCc*COS(2*PI()*$I256/cw) +mix*F256*(hQc*COS(2*PI()*$I256/qbo+$L256)+hQs*SIN(2*PI()*$I256/qbo+$L256))*(hCs*SIN(2*PI()*$I256/cw)+hCc*COS(2*PI()*$I256/cw))</f>
        <v>-1.8804127477554833</v>
      </c>
      <c r="K256">
        <f>fQc*COS(2*PI()*$I256/qbo+$L256)+fQs*SIN(2*PI()*$I256/qbo+$L256)+fCs*SIN(2*PI()*$I256/cw)+fCc*COS(2*PI()*$I256/cw)</f>
        <v>-1.4937929519844912</v>
      </c>
      <c r="L256">
        <f>+QMA*COS(2*PI()*$I256/QM+QMP)</f>
        <v>0.79636440699528732</v>
      </c>
      <c r="P256">
        <f t="shared" si="19"/>
        <v>1</v>
      </c>
    </row>
    <row r="257" spans="1:16" x14ac:dyDescent="0.25">
      <c r="A257" s="1"/>
      <c r="B257" t="s">
        <v>270</v>
      </c>
      <c r="C257" t="s">
        <v>24</v>
      </c>
      <c r="D257" s="3">
        <v>10.291666666666666</v>
      </c>
      <c r="E257" s="5">
        <f t="shared" si="15"/>
        <v>1896</v>
      </c>
      <c r="F257">
        <v>-0.38662999999999997</v>
      </c>
      <c r="G257">
        <f t="shared" si="16"/>
        <v>1.8875199999999999</v>
      </c>
      <c r="H257">
        <f t="shared" si="17"/>
        <v>1.8875199999999999</v>
      </c>
      <c r="I257" s="5">
        <f t="shared" si="18"/>
        <v>1896</v>
      </c>
      <c r="J257">
        <f>+H257+CF*F257*(1+($I257-1850)*slope/1000)+F257*hQc*COS(2*PI()*$I257/qbo+$L257)+F257*hQs*SIN(2*PI()*$I257/qbo+$L257)+F257*hCs*SIN(2*PI()*$I257/cw)+F257*hCc*COS(2*PI()*$I257/cw) +mix*F257*(hQc*COS(2*PI()*$I257/qbo+$L257)+hQs*SIN(2*PI()*$I257/qbo+$L257))*(hCs*SIN(2*PI()*$I257/cw)+hCc*COS(2*PI()*$I257/cw))</f>
        <v>1.7516177475481833</v>
      </c>
      <c r="K257">
        <f>fQc*COS(2*PI()*$I257/qbo+$L257)+fQs*SIN(2*PI()*$I257/qbo+$L257)+fCs*SIN(2*PI()*$I257/cw)+fCc*COS(2*PI()*$I257/cw)</f>
        <v>-0.88487350289990696</v>
      </c>
      <c r="L257">
        <f>+QMA*COS(2*PI()*$I257/QM+QMP)</f>
        <v>0.74771539378543839</v>
      </c>
      <c r="P257">
        <f t="shared" si="19"/>
        <v>0</v>
      </c>
    </row>
    <row r="258" spans="1:16" x14ac:dyDescent="0.25">
      <c r="A258" s="1"/>
      <c r="B258" t="s">
        <v>271</v>
      </c>
      <c r="C258" t="s">
        <v>24</v>
      </c>
      <c r="D258" s="3">
        <v>10.333333333333334</v>
      </c>
      <c r="E258" s="5">
        <f t="shared" si="15"/>
        <v>1897</v>
      </c>
      <c r="F258">
        <v>1.3972899999999999</v>
      </c>
      <c r="G258">
        <f t="shared" si="16"/>
        <v>-3.03003</v>
      </c>
      <c r="H258">
        <f t="shared" si="17"/>
        <v>-3.03003</v>
      </c>
      <c r="I258" s="5">
        <f t="shared" si="18"/>
        <v>1897</v>
      </c>
      <c r="J258">
        <f>+H258+CF*F258*(1+($I258-1850)*slope/1000)+F258*hQc*COS(2*PI()*$I258/qbo+$L258)+F258*hQs*SIN(2*PI()*$I258/qbo+$L258)+F258*hCs*SIN(2*PI()*$I258/cw)+F258*hCc*COS(2*PI()*$I258/cw) +mix*F258*(hQc*COS(2*PI()*$I258/qbo+$L258)+hQs*SIN(2*PI()*$I258/qbo+$L258))*(hCs*SIN(2*PI()*$I258/cw)+hCc*COS(2*PI()*$I258/cw))</f>
        <v>0.94255268221384414</v>
      </c>
      <c r="K258">
        <f>fQc*COS(2*PI()*$I258/qbo+$L258)+fQs*SIN(2*PI()*$I258/qbo+$L258)+fCs*SIN(2*PI()*$I258/cw)+fCc*COS(2*PI()*$I258/cw)</f>
        <v>3.4981896960056655</v>
      </c>
      <c r="L258">
        <f>+QMA*COS(2*PI()*$I258/QM+QMP)</f>
        <v>0.68607413190516542</v>
      </c>
      <c r="P258">
        <f t="shared" si="19"/>
        <v>1</v>
      </c>
    </row>
    <row r="259" spans="1:16" x14ac:dyDescent="0.25">
      <c r="A259" s="1"/>
      <c r="B259" t="s">
        <v>272</v>
      </c>
      <c r="C259" t="s">
        <v>24</v>
      </c>
      <c r="D259" s="3">
        <v>10.375</v>
      </c>
      <c r="E259" s="5">
        <f t="shared" si="15"/>
        <v>1898</v>
      </c>
      <c r="F259">
        <v>0.15118000000000001</v>
      </c>
      <c r="G259">
        <f t="shared" si="16"/>
        <v>-0.33862000000000037</v>
      </c>
      <c r="H259">
        <f t="shared" si="17"/>
        <v>-0.33862000000000037</v>
      </c>
      <c r="I259" s="5">
        <f t="shared" si="18"/>
        <v>1898</v>
      </c>
      <c r="J259">
        <f>+H259+CF*F259*(1+($I259-1850)*slope/1000)+F259*hQc*COS(2*PI()*$I259/qbo+$L259)+F259*hQs*SIN(2*PI()*$I259/qbo+$L259)+F259*hCs*SIN(2*PI()*$I259/cw)+F259*hCc*COS(2*PI()*$I259/cw) +mix*F259*(hQc*COS(2*PI()*$I259/qbo+$L259)+hQs*SIN(2*PI()*$I259/qbo+$L259))*(hCs*SIN(2*PI()*$I259/cw)+hCc*COS(2*PI()*$I259/cw))</f>
        <v>-0.1996024512418661</v>
      </c>
      <c r="K259">
        <f>fQc*COS(2*PI()*$I259/qbo+$L259)+fQs*SIN(2*PI()*$I259/qbo+$L259)+fCs*SIN(2*PI()*$I259/cw)+fCc*COS(2*PI()*$I259/cw)</f>
        <v>-4.5273315972765857</v>
      </c>
      <c r="L259">
        <f>+QMA*COS(2*PI()*$I259/QM+QMP)</f>
        <v>0.6125116954682307</v>
      </c>
      <c r="P259">
        <f t="shared" si="19"/>
        <v>1</v>
      </c>
    </row>
    <row r="260" spans="1:16" x14ac:dyDescent="0.25">
      <c r="A260" s="1"/>
      <c r="B260" t="s">
        <v>273</v>
      </c>
      <c r="C260" t="s">
        <v>24</v>
      </c>
      <c r="D260" s="3">
        <v>10.416666666666666</v>
      </c>
      <c r="E260" s="5">
        <f t="shared" si="15"/>
        <v>1899</v>
      </c>
      <c r="F260">
        <v>-1.4335500000000001</v>
      </c>
      <c r="G260">
        <f t="shared" si="16"/>
        <v>3.4573100000000005</v>
      </c>
      <c r="H260">
        <f t="shared" si="17"/>
        <v>3.4573100000000005</v>
      </c>
      <c r="I260" s="5">
        <f t="shared" si="18"/>
        <v>1899</v>
      </c>
      <c r="J260">
        <f>+H260+CF*F260*(1+($I260-1850)*slope/1000)+F260*hQc*COS(2*PI()*$I260/qbo+$L260)+F260*hQs*SIN(2*PI()*$I260/qbo+$L260)+F260*hCs*SIN(2*PI()*$I260/cw)+F260*hCc*COS(2*PI()*$I260/cw) +mix*F260*(hQc*COS(2*PI()*$I260/qbo+$L260)+hQs*SIN(2*PI()*$I260/qbo+$L260))*(hCs*SIN(2*PI()*$I260/cw)+hCc*COS(2*PI()*$I260/cw))</f>
        <v>6.7637232067925357</v>
      </c>
      <c r="K260">
        <f>fQc*COS(2*PI()*$I260/qbo+$L260)+fQs*SIN(2*PI()*$I260/qbo+$L260)+fCs*SIN(2*PI()*$I260/cw)+fCc*COS(2*PI()*$I260/cw)</f>
        <v>4.9831897984706224</v>
      </c>
      <c r="L260">
        <f>+QMA*COS(2*PI()*$I260/QM+QMP)</f>
        <v>0.52830630005623902</v>
      </c>
      <c r="P260">
        <f t="shared" si="19"/>
        <v>1</v>
      </c>
    </row>
    <row r="261" spans="1:16" x14ac:dyDescent="0.25">
      <c r="A261" s="1"/>
      <c r="B261" s="4">
        <v>1</v>
      </c>
      <c r="C261" t="s">
        <v>24</v>
      </c>
      <c r="D261" s="3">
        <v>10.458333333333334</v>
      </c>
      <c r="E261" s="5">
        <f t="shared" si="15"/>
        <v>1900</v>
      </c>
      <c r="F261">
        <v>0.43902999999999998</v>
      </c>
      <c r="G261">
        <f t="shared" si="16"/>
        <v>-1.2742800000000001</v>
      </c>
      <c r="H261">
        <f t="shared" si="17"/>
        <v>-1.2742800000000001</v>
      </c>
      <c r="I261" s="5">
        <f t="shared" si="18"/>
        <v>1900</v>
      </c>
      <c r="J261">
        <f>+H261+CF*F261*(1+($I261-1850)*slope/1000)+F261*hQc*COS(2*PI()*$I261/qbo+$L261)+F261*hQs*SIN(2*PI()*$I261/qbo+$L261)+F261*hCs*SIN(2*PI()*$I261/cw)+F261*hCc*COS(2*PI()*$I261/cw) +mix*F261*(hQc*COS(2*PI()*$I261/qbo+$L261)+hQs*SIN(2*PI()*$I261/qbo+$L261))*(hCs*SIN(2*PI()*$I261/cw)+hCc*COS(2*PI()*$I261/cw))</f>
        <v>-0.37387046659027989</v>
      </c>
      <c r="K261">
        <f>fQc*COS(2*PI()*$I261/qbo+$L261)+fQs*SIN(2*PI()*$I261/qbo+$L261)+fCs*SIN(2*PI()*$I261/cw)+fCc*COS(2*PI()*$I261/cw)</f>
        <v>-3.7080108899729645</v>
      </c>
      <c r="L261">
        <f>+QMA*COS(2*PI()*$I261/QM+QMP)</f>
        <v>0.43492109253723271</v>
      </c>
      <c r="P261">
        <f t="shared" si="19"/>
        <v>1</v>
      </c>
    </row>
    <row r="262" spans="1:16" x14ac:dyDescent="0.25">
      <c r="A262" s="1"/>
      <c r="B262" s="4">
        <v>367</v>
      </c>
      <c r="C262" t="s">
        <v>24</v>
      </c>
      <c r="D262" s="3">
        <v>10.5</v>
      </c>
      <c r="E262" s="5">
        <f t="shared" si="15"/>
        <v>1901</v>
      </c>
      <c r="F262">
        <v>1.0373300000000001</v>
      </c>
      <c r="G262">
        <f t="shared" si="16"/>
        <v>-2.6122100000000001</v>
      </c>
      <c r="H262">
        <f t="shared" si="17"/>
        <v>-2.6122100000000001</v>
      </c>
      <c r="I262" s="5">
        <f t="shared" si="18"/>
        <v>1901</v>
      </c>
      <c r="J262">
        <f>+H262+CF*F262*(1+($I262-1850)*slope/1000)+F262*hQc*COS(2*PI()*$I262/qbo+$L262)+F262*hQs*SIN(2*PI()*$I262/qbo+$L262)+F262*hCs*SIN(2*PI()*$I262/cw)+F262*hCc*COS(2*PI()*$I262/cw) +mix*F262*(hQc*COS(2*PI()*$I262/qbo+$L262)+hQs*SIN(2*PI()*$I262/qbo+$L262))*(hCs*SIN(2*PI()*$I262/cw)+hCc*COS(2*PI()*$I262/cw))</f>
        <v>-3.1051913221935652</v>
      </c>
      <c r="K262">
        <f>fQc*COS(2*PI()*$I262/qbo+$L262)+fQs*SIN(2*PI()*$I262/qbo+$L262)+fCs*SIN(2*PI()*$I262/cw)+fCc*COS(2*PI()*$I262/cw)</f>
        <v>1.1202211661831458</v>
      </c>
      <c r="L262">
        <f>+QMA*COS(2*PI()*$I262/QM+QMP)</f>
        <v>0.33397872753132801</v>
      </c>
      <c r="P262">
        <f t="shared" si="19"/>
        <v>0</v>
      </c>
    </row>
    <row r="263" spans="1:16" x14ac:dyDescent="0.25">
      <c r="A263" s="1"/>
      <c r="B263" s="4">
        <v>732</v>
      </c>
      <c r="C263" t="s">
        <v>24</v>
      </c>
      <c r="D263" s="3">
        <v>10.541666666666666</v>
      </c>
      <c r="E263" s="5">
        <f t="shared" si="15"/>
        <v>1902</v>
      </c>
      <c r="F263">
        <v>-0.97658</v>
      </c>
      <c r="G263">
        <f t="shared" si="16"/>
        <v>4.6636100000000003</v>
      </c>
      <c r="H263">
        <f t="shared" si="17"/>
        <v>4.6636100000000003</v>
      </c>
      <c r="I263" s="5">
        <f t="shared" si="18"/>
        <v>1902</v>
      </c>
      <c r="J263">
        <f>+H263+CF*F263*(1+($I263-1850)*slope/1000)+F263*hQc*COS(2*PI()*$I263/qbo+$L263)+F263*hQs*SIN(2*PI()*$I263/qbo+$L263)+F263*hCs*SIN(2*PI()*$I263/cw)+F263*hCc*COS(2*PI()*$I263/cw) +mix*F263*(hQc*COS(2*PI()*$I263/qbo+$L263)+hQs*SIN(2*PI()*$I263/qbo+$L263))*(hCs*SIN(2*PI()*$I263/cw)+hCc*COS(2*PI()*$I263/cw))</f>
        <v>5.7529840593996981</v>
      </c>
      <c r="K263">
        <f>fQc*COS(2*PI()*$I263/qbo+$L263)+fQs*SIN(2*PI()*$I263/qbo+$L263)+fCs*SIN(2*PI()*$I263/cw)+fCc*COS(2*PI()*$I263/cw)</f>
        <v>1.2269016624457312</v>
      </c>
      <c r="L263">
        <f>+QMA*COS(2*PI()*$I263/QM+QMP)</f>
        <v>0.22723317228110251</v>
      </c>
      <c r="P263">
        <f t="shared" si="19"/>
        <v>1</v>
      </c>
    </row>
    <row r="264" spans="1:16" x14ac:dyDescent="0.25">
      <c r="A264" s="1"/>
      <c r="B264" s="4">
        <v>1097</v>
      </c>
      <c r="C264" t="s">
        <v>24</v>
      </c>
      <c r="D264" s="3">
        <v>10.583333333333334</v>
      </c>
      <c r="E264" s="5">
        <f t="shared" si="15"/>
        <v>1903</v>
      </c>
      <c r="F264">
        <v>1.6731199999999999</v>
      </c>
      <c r="G264">
        <f t="shared" si="16"/>
        <v>-6.1806000000000001</v>
      </c>
      <c r="H264">
        <f t="shared" si="17"/>
        <v>-6.1806000000000001</v>
      </c>
      <c r="I264" s="5">
        <f t="shared" si="18"/>
        <v>1903</v>
      </c>
      <c r="J264">
        <f>+H264+CF*F264*(1+($I264-1850)*slope/1000)+F264*hQc*COS(2*PI()*$I264/qbo+$L264)+F264*hQs*SIN(2*PI()*$I264/qbo+$L264)+F264*hCs*SIN(2*PI()*$I264/cw)+F264*hCc*COS(2*PI()*$I264/cw) +mix*F264*(hQc*COS(2*PI()*$I264/qbo+$L264)+hQs*SIN(2*PI()*$I264/qbo+$L264))*(hCs*SIN(2*PI()*$I264/cw)+hCc*COS(2*PI()*$I264/cw))</f>
        <v>-4.9292997516194745</v>
      </c>
      <c r="K264">
        <f>fQc*COS(2*PI()*$I264/qbo+$L264)+fQs*SIN(2*PI()*$I264/qbo+$L264)+fCs*SIN(2*PI()*$I264/cw)+fCc*COS(2*PI()*$I264/cw)</f>
        <v>-3.9262196184280849</v>
      </c>
      <c r="L264">
        <f>+QMA*COS(2*PI()*$I264/QM+QMP)</f>
        <v>0.11653922984374837</v>
      </c>
      <c r="P264">
        <f t="shared" si="19"/>
        <v>1</v>
      </c>
    </row>
    <row r="265" spans="1:16" x14ac:dyDescent="0.25">
      <c r="A265" s="1"/>
      <c r="B265" s="4">
        <v>1462</v>
      </c>
      <c r="C265" t="s">
        <v>24</v>
      </c>
      <c r="D265" s="3">
        <v>10.625</v>
      </c>
      <c r="E265" s="5">
        <f t="shared" si="15"/>
        <v>1904</v>
      </c>
      <c r="F265">
        <v>-1.85778</v>
      </c>
      <c r="G265">
        <f t="shared" si="16"/>
        <v>7.8058199999999998</v>
      </c>
      <c r="H265">
        <f t="shared" si="17"/>
        <v>7.8058199999999998</v>
      </c>
      <c r="I265" s="5">
        <f t="shared" si="18"/>
        <v>1904</v>
      </c>
      <c r="J265">
        <f>+H265+CF*F265*(1+($I265-1850)*slope/1000)+F265*hQc*COS(2*PI()*$I265/qbo+$L265)+F265*hQs*SIN(2*PI()*$I265/qbo+$L265)+F265*hCs*SIN(2*PI()*$I265/cw)+F265*hCc*COS(2*PI()*$I265/cw) +mix*F265*(hQc*COS(2*PI()*$I265/qbo+$L265)+hQs*SIN(2*PI()*$I265/qbo+$L265))*(hCs*SIN(2*PI()*$I265/cw)+hCc*COS(2*PI()*$I265/cw))</f>
        <v>1.6806936144348716</v>
      </c>
      <c r="K265">
        <f>fQc*COS(2*PI()*$I265/qbo+$L265)+fQs*SIN(2*PI()*$I265/qbo+$L265)+fCs*SIN(2*PI()*$I265/cw)+fCc*COS(2*PI()*$I265/cw)</f>
        <v>4.9375366874773086</v>
      </c>
      <c r="L265">
        <f>+QMA*COS(2*PI()*$I265/QM+QMP)</f>
        <v>3.8203101670121246E-3</v>
      </c>
      <c r="P265">
        <f t="shared" si="19"/>
        <v>1</v>
      </c>
    </row>
    <row r="266" spans="1:16" x14ac:dyDescent="0.25">
      <c r="A266" s="1"/>
      <c r="B266" s="4">
        <v>1828</v>
      </c>
      <c r="C266" t="s">
        <v>24</v>
      </c>
      <c r="D266" s="3">
        <v>10.666666666666666</v>
      </c>
      <c r="E266" s="5">
        <f t="shared" si="15"/>
        <v>1905</v>
      </c>
      <c r="F266">
        <v>2.4171399999999998</v>
      </c>
      <c r="G266">
        <f t="shared" si="16"/>
        <v>-4.6000300000000003</v>
      </c>
      <c r="H266">
        <f t="shared" si="17"/>
        <v>-4.6000300000000003</v>
      </c>
      <c r="I266" s="5">
        <f t="shared" si="18"/>
        <v>1905</v>
      </c>
      <c r="J266">
        <f>+H266+CF*F266*(1+($I266-1850)*slope/1000)+F266*hQc*COS(2*PI()*$I266/qbo+$L266)+F266*hQs*SIN(2*PI()*$I266/qbo+$L266)+F266*hCs*SIN(2*PI()*$I266/cw)+F266*hCc*COS(2*PI()*$I266/cw) +mix*F266*(hQc*COS(2*PI()*$I266/qbo+$L266)+hQs*SIN(2*PI()*$I266/qbo+$L266))*(hCs*SIN(2*PI()*$I266/cw)+hCc*COS(2*PI()*$I266/cw))</f>
        <v>-6.4846959837624016</v>
      </c>
      <c r="K266">
        <f>fQc*COS(2*PI()*$I266/qbo+$L266)+fQs*SIN(2*PI()*$I266/qbo+$L266)+fCs*SIN(2*PI()*$I266/cw)+fCc*COS(2*PI()*$I266/cw)</f>
        <v>-4.4299992812866682</v>
      </c>
      <c r="L266">
        <f>+QMA*COS(2*PI()*$I266/QM+QMP)</f>
        <v>-0.10896499094327025</v>
      </c>
      <c r="P266">
        <f t="shared" si="19"/>
        <v>1</v>
      </c>
    </row>
    <row r="267" spans="1:16" x14ac:dyDescent="0.25">
      <c r="A267" s="1"/>
      <c r="B267" s="4">
        <v>2193</v>
      </c>
      <c r="C267" t="s">
        <v>24</v>
      </c>
      <c r="D267" s="3">
        <v>10.708333333333334</v>
      </c>
      <c r="E267" s="5">
        <f t="shared" si="15"/>
        <v>1906</v>
      </c>
      <c r="F267">
        <v>2.0920299999999998</v>
      </c>
      <c r="G267">
        <f t="shared" si="16"/>
        <v>-1.3063799999999999</v>
      </c>
      <c r="H267">
        <f t="shared" si="17"/>
        <v>-1.3063799999999999</v>
      </c>
      <c r="I267" s="5">
        <f t="shared" si="18"/>
        <v>1906</v>
      </c>
      <c r="J267">
        <f>+H267+CF*F267*(1+($I267-1850)*slope/1000)+F267*hQc*COS(2*PI()*$I267/qbo+$L267)+F267*hQs*SIN(2*PI()*$I267/qbo+$L267)+F267*hCs*SIN(2*PI()*$I267/cw)+F267*hCc*COS(2*PI()*$I267/cw) +mix*F267*(hQc*COS(2*PI()*$I267/qbo+$L267)+hQs*SIN(2*PI()*$I267/qbo+$L267))*(hCs*SIN(2*PI()*$I267/cw)+hCc*COS(2*PI()*$I267/cw))</f>
        <v>2.3538335314402055</v>
      </c>
      <c r="K267">
        <f>fQc*COS(2*PI()*$I267/qbo+$L267)+fQs*SIN(2*PI()*$I267/qbo+$L267)+fCs*SIN(2*PI()*$I267/cw)+fCc*COS(2*PI()*$I267/cw)</f>
        <v>3.0105649631600073</v>
      </c>
      <c r="L267">
        <f>+QMA*COS(2*PI()*$I267/QM+QMP)</f>
        <v>-0.21985692424212341</v>
      </c>
      <c r="P267">
        <f t="shared" si="19"/>
        <v>1</v>
      </c>
    </row>
    <row r="268" spans="1:16" x14ac:dyDescent="0.25">
      <c r="A268" s="1"/>
      <c r="B268" s="4">
        <v>2558</v>
      </c>
      <c r="C268" t="s">
        <v>24</v>
      </c>
      <c r="D268" s="3">
        <v>10.75</v>
      </c>
      <c r="E268" s="5">
        <f t="shared" si="15"/>
        <v>1907</v>
      </c>
      <c r="F268">
        <v>0.46054</v>
      </c>
      <c r="G268">
        <f t="shared" si="16"/>
        <v>1.47526</v>
      </c>
      <c r="H268">
        <f t="shared" si="17"/>
        <v>1.47526</v>
      </c>
      <c r="I268" s="5">
        <f t="shared" si="18"/>
        <v>1907</v>
      </c>
      <c r="J268">
        <f>+H268+CF*F268*(1+($I268-1850)*slope/1000)+F268*hQc*COS(2*PI()*$I268/qbo+$L268)+F268*hQs*SIN(2*PI()*$I268/qbo+$L268)+F268*hCs*SIN(2*PI()*$I268/cw)+F268*hCc*COS(2*PI()*$I268/cw) +mix*F268*(hQc*COS(2*PI()*$I268/qbo+$L268)+hQs*SIN(2*PI()*$I268/qbo+$L268))*(hCs*SIN(2*PI()*$I268/cw)+hCc*COS(2*PI()*$I268/cw))</f>
        <v>1.6828266457147276</v>
      </c>
      <c r="K268">
        <f>fQc*COS(2*PI()*$I268/qbo+$L268)+fQs*SIN(2*PI()*$I268/qbo+$L268)+fCs*SIN(2*PI()*$I268/cw)+fCc*COS(2*PI()*$I268/cw)</f>
        <v>2.5895791597921131E-2</v>
      </c>
      <c r="L268">
        <f>+QMA*COS(2*PI()*$I268/QM+QMP)</f>
        <v>-0.3269286395068971</v>
      </c>
      <c r="P268">
        <f t="shared" si="19"/>
        <v>1</v>
      </c>
    </row>
    <row r="269" spans="1:16" x14ac:dyDescent="0.25">
      <c r="A269" s="1"/>
      <c r="B269" s="4">
        <v>2923</v>
      </c>
      <c r="C269" t="s">
        <v>24</v>
      </c>
      <c r="D269" s="3">
        <v>10.791666666666666</v>
      </c>
      <c r="E269" s="5">
        <f t="shared" ref="E269:E332" si="20">+E268+1</f>
        <v>1908</v>
      </c>
      <c r="F269">
        <v>0.30431000000000002</v>
      </c>
      <c r="G269">
        <f t="shared" ref="G269:G332" si="21">+(F270-F269)-(F269-F268)</f>
        <v>-1.2863600000000002</v>
      </c>
      <c r="H269">
        <f t="shared" ref="H269:H332" si="22">+G269</f>
        <v>-1.2863600000000002</v>
      </c>
      <c r="I269" s="5">
        <f t="shared" si="18"/>
        <v>1908</v>
      </c>
      <c r="J269">
        <f>+H269+CF*F269*(1+($I269-1850)*slope/1000)+F269*hQc*COS(2*PI()*$I269/qbo+$L269)+F269*hQs*SIN(2*PI()*$I269/qbo+$L269)+F269*hCs*SIN(2*PI()*$I269/cw)+F269*hCc*COS(2*PI()*$I269/cw) +mix*F269*(hQc*COS(2*PI()*$I269/qbo+$L269)+hQs*SIN(2*PI()*$I269/qbo+$L269))*(hCs*SIN(2*PI()*$I269/cw)+hCc*COS(2*PI()*$I269/cw))</f>
        <v>-0.69272918711206344</v>
      </c>
      <c r="K269">
        <f>fQc*COS(2*PI()*$I269/qbo+$L269)+fQs*SIN(2*PI()*$I269/qbo+$L269)+fCs*SIN(2*PI()*$I269/cw)+fCc*COS(2*PI()*$I269/cw)</f>
        <v>-2.4132282769214175</v>
      </c>
      <c r="L269">
        <f>+QMA*COS(2*PI()*$I269/QM+QMP)</f>
        <v>-0.42831966634768104</v>
      </c>
      <c r="P269">
        <f t="shared" si="19"/>
        <v>1</v>
      </c>
    </row>
    <row r="270" spans="1:16" x14ac:dyDescent="0.25">
      <c r="A270" s="1"/>
      <c r="B270" s="4">
        <v>3289</v>
      </c>
      <c r="C270" t="s">
        <v>24</v>
      </c>
      <c r="D270" s="3">
        <v>10.833333333333334</v>
      </c>
      <c r="E270" s="5">
        <f t="shared" si="20"/>
        <v>1909</v>
      </c>
      <c r="F270">
        <v>-1.13828</v>
      </c>
      <c r="G270">
        <f t="shared" si="21"/>
        <v>0.48252000000000006</v>
      </c>
      <c r="H270">
        <f t="shared" si="22"/>
        <v>0.48252000000000006</v>
      </c>
      <c r="I270" s="5">
        <f t="shared" ref="I270:I333" si="23">+E270</f>
        <v>1909</v>
      </c>
      <c r="J270">
        <f>+H270+CF*F270*(1+($I270-1850)*slope/1000)+F270*hQc*COS(2*PI()*$I270/qbo+$L270)+F270*hQs*SIN(2*PI()*$I270/qbo+$L270)+F270*hCs*SIN(2*PI()*$I270/cw)+F270*hCc*COS(2*PI()*$I270/cw) +mix*F270*(hQc*COS(2*PI()*$I270/qbo+$L270)+hQs*SIN(2*PI()*$I270/qbo+$L270))*(hCs*SIN(2*PI()*$I270/cw)+hCc*COS(2*PI()*$I270/cw))</f>
        <v>5.6674924770481674</v>
      </c>
      <c r="K270">
        <f>fQc*COS(2*PI()*$I270/qbo+$L270)+fQs*SIN(2*PI()*$I270/qbo+$L270)+fCs*SIN(2*PI()*$I270/cw)+fCc*COS(2*PI()*$I270/cw)</f>
        <v>4.290009937806551</v>
      </c>
      <c r="L270">
        <f>+QMA*COS(2*PI()*$I270/QM+QMP)</f>
        <v>-0.52226824160609175</v>
      </c>
      <c r="P270">
        <f t="shared" ref="P270:P333" si="24">+IF(J270*K270&gt;0,1, 0)</f>
        <v>1</v>
      </c>
    </row>
    <row r="271" spans="1:16" x14ac:dyDescent="0.25">
      <c r="A271" s="1"/>
      <c r="B271" s="4">
        <v>3654</v>
      </c>
      <c r="C271" t="s">
        <v>24</v>
      </c>
      <c r="D271" s="3">
        <v>10.875</v>
      </c>
      <c r="E271" s="5">
        <f t="shared" si="20"/>
        <v>1910</v>
      </c>
      <c r="F271">
        <v>-2.0983499999999999</v>
      </c>
      <c r="G271">
        <f t="shared" si="21"/>
        <v>2.6539299999999999</v>
      </c>
      <c r="H271">
        <f t="shared" si="22"/>
        <v>2.6539299999999999</v>
      </c>
      <c r="I271" s="5">
        <f t="shared" si="23"/>
        <v>1910</v>
      </c>
      <c r="J271">
        <f>+H271+CF*F271*(1+($I271-1850)*slope/1000)+F271*hQc*COS(2*PI()*$I271/qbo+$L271)+F271*hQs*SIN(2*PI()*$I271/qbo+$L271)+F271*hCs*SIN(2*PI()*$I271/cw)+F271*hCc*COS(2*PI()*$I271/cw) +mix*F271*(hQc*COS(2*PI()*$I271/qbo+$L271)+hQs*SIN(2*PI()*$I271/qbo+$L271))*(hCs*SIN(2*PI()*$I271/cw)+hCc*COS(2*PI()*$I271/cw))</f>
        <v>-4.7585080719554149</v>
      </c>
      <c r="K271">
        <f>fQc*COS(2*PI()*$I271/qbo+$L271)+fQs*SIN(2*PI()*$I271/qbo+$L271)+fCs*SIN(2*PI()*$I271/cw)+fCc*COS(2*PI()*$I271/cw)</f>
        <v>-5.1941989277588982</v>
      </c>
      <c r="L271">
        <f>+QMA*COS(2*PI()*$I271/QM+QMP)</f>
        <v>-0.60714192162499436</v>
      </c>
      <c r="P271">
        <f t="shared" si="24"/>
        <v>1</v>
      </c>
    </row>
    <row r="272" spans="1:16" x14ac:dyDescent="0.25">
      <c r="A272" s="1"/>
      <c r="B272" s="4">
        <v>4019</v>
      </c>
      <c r="C272" t="s">
        <v>24</v>
      </c>
      <c r="D272" s="3">
        <v>10.916666666666666</v>
      </c>
      <c r="E272" s="5">
        <f t="shared" si="20"/>
        <v>1911</v>
      </c>
      <c r="F272">
        <v>-0.40449000000000002</v>
      </c>
      <c r="G272">
        <f t="shared" si="21"/>
        <v>0.65920000000000023</v>
      </c>
      <c r="H272">
        <f t="shared" si="22"/>
        <v>0.65920000000000023</v>
      </c>
      <c r="I272" s="5">
        <f t="shared" si="23"/>
        <v>1911</v>
      </c>
      <c r="J272">
        <f>+H272+CF*F272*(1+($I272-1850)*slope/1000)+F272*hQc*COS(2*PI()*$I272/qbo+$L272)+F272*hQs*SIN(2*PI()*$I272/qbo+$L272)+F272*hCs*SIN(2*PI()*$I272/cw)+F272*hCc*COS(2*PI()*$I272/cw) +mix*F272*(hQc*COS(2*PI()*$I272/qbo+$L272)+hQs*SIN(2*PI()*$I272/qbo+$L272))*(hCs*SIN(2*PI()*$I272/cw)+hCc*COS(2*PI()*$I272/cw))</f>
        <v>1.219132733065357</v>
      </c>
      <c r="K272">
        <f>fQc*COS(2*PI()*$I272/qbo+$L272)+fQs*SIN(2*PI()*$I272/qbo+$L272)+fCs*SIN(2*PI()*$I272/cw)+fCc*COS(2*PI()*$I272/cw)</f>
        <v>4.0206357347879118</v>
      </c>
      <c r="L272">
        <f>+QMA*COS(2*PI()*$I272/QM+QMP)</f>
        <v>-0.68146594747127798</v>
      </c>
      <c r="P272">
        <f t="shared" si="24"/>
        <v>1</v>
      </c>
    </row>
    <row r="273" spans="1:16" x14ac:dyDescent="0.25">
      <c r="A273" s="1"/>
      <c r="B273" s="4">
        <v>4384</v>
      </c>
      <c r="C273" t="s">
        <v>24</v>
      </c>
      <c r="D273" s="3">
        <v>10.958333333333334</v>
      </c>
      <c r="E273" s="5">
        <f t="shared" si="20"/>
        <v>1912</v>
      </c>
      <c r="F273">
        <v>1.9485699999999999</v>
      </c>
      <c r="G273">
        <f t="shared" si="21"/>
        <v>-3.4008099999999999</v>
      </c>
      <c r="H273">
        <f t="shared" si="22"/>
        <v>-3.4008099999999999</v>
      </c>
      <c r="I273" s="5">
        <f t="shared" si="23"/>
        <v>1912</v>
      </c>
      <c r="J273">
        <f>+H273+CF*F273*(1+($I273-1850)*slope/1000)+F273*hQc*COS(2*PI()*$I273/qbo+$L273)+F273*hQs*SIN(2*PI()*$I273/qbo+$L273)+F273*hCs*SIN(2*PI()*$I273/cw)+F273*hCc*COS(2*PI()*$I273/cw) +mix*F273*(hQc*COS(2*PI()*$I273/qbo+$L273)+hQs*SIN(2*PI()*$I273/qbo+$L273))*(hCs*SIN(2*PI()*$I273/cw)+hCc*COS(2*PI()*$I273/cw))</f>
        <v>-2.1124826677786781</v>
      </c>
      <c r="K273">
        <f>fQc*COS(2*PI()*$I273/qbo+$L273)+fQs*SIN(2*PI()*$I273/qbo+$L273)+fCs*SIN(2*PI()*$I273/cw)+fCc*COS(2*PI()*$I273/cw)</f>
        <v>-2.5165235487308251</v>
      </c>
      <c r="L273">
        <f>+QMA*COS(2*PI()*$I273/QM+QMP)</f>
        <v>-0.74394887024068768</v>
      </c>
      <c r="P273">
        <f t="shared" si="24"/>
        <v>1</v>
      </c>
    </row>
    <row r="274" spans="1:16" x14ac:dyDescent="0.25">
      <c r="A274" s="1"/>
      <c r="B274" s="4">
        <v>4750</v>
      </c>
      <c r="C274" t="s">
        <v>24</v>
      </c>
      <c r="D274" s="3">
        <v>11</v>
      </c>
      <c r="E274" s="5">
        <f t="shared" si="20"/>
        <v>1913</v>
      </c>
      <c r="F274">
        <v>0.90081999999999995</v>
      </c>
      <c r="G274">
        <f t="shared" si="21"/>
        <v>1.9676</v>
      </c>
      <c r="H274">
        <f t="shared" si="22"/>
        <v>1.9676</v>
      </c>
      <c r="I274" s="5">
        <f t="shared" si="23"/>
        <v>1913</v>
      </c>
      <c r="J274">
        <f>+H274+CF*F274*(1+($I274-1850)*slope/1000)+F274*hQc*COS(2*PI()*$I274/qbo+$L274)+F274*hQs*SIN(2*PI()*$I274/qbo+$L274)+F274*hCs*SIN(2*PI()*$I274/cw)+F274*hCc*COS(2*PI()*$I274/cw) +mix*F274*(hQc*COS(2*PI()*$I274/qbo+$L274)+hQs*SIN(2*PI()*$I274/qbo+$L274))*(hCs*SIN(2*PI()*$I274/cw)+hCc*COS(2*PI()*$I274/cw))</f>
        <v>2.620373068869347</v>
      </c>
      <c r="K274">
        <f>fQc*COS(2*PI()*$I274/qbo+$L274)+fQs*SIN(2*PI()*$I274/qbo+$L274)+fCs*SIN(2*PI()*$I274/cw)+fCc*COS(2*PI()*$I274/cw)</f>
        <v>9.5025691686234648E-7</v>
      </c>
      <c r="L274">
        <f>+QMA*COS(2*PI()*$I274/QM+QMP)</f>
        <v>-0.79350499118075568</v>
      </c>
      <c r="P274">
        <f t="shared" si="24"/>
        <v>1</v>
      </c>
    </row>
    <row r="275" spans="1:16" x14ac:dyDescent="0.25">
      <c r="A275" s="1"/>
      <c r="B275" s="4">
        <v>5115</v>
      </c>
      <c r="C275" t="s">
        <v>24</v>
      </c>
      <c r="D275" s="3">
        <v>11.041666666666666</v>
      </c>
      <c r="E275" s="5">
        <f t="shared" si="20"/>
        <v>1914</v>
      </c>
      <c r="F275">
        <v>1.82067</v>
      </c>
      <c r="G275">
        <f t="shared" si="21"/>
        <v>-0.67032000000000025</v>
      </c>
      <c r="H275">
        <f t="shared" si="22"/>
        <v>-0.67032000000000025</v>
      </c>
      <c r="I275" s="5">
        <f t="shared" si="23"/>
        <v>1914</v>
      </c>
      <c r="J275">
        <f>+H275+CF*F275*(1+($I275-1850)*slope/1000)+F275*hQc*COS(2*PI()*$I275/qbo+$L275)+F275*hQs*SIN(2*PI()*$I275/qbo+$L275)+F275*hCs*SIN(2*PI()*$I275/cw)+F275*hCc*COS(2*PI()*$I275/cw) +mix*F275*(hQc*COS(2*PI()*$I275/qbo+$L275)+hQs*SIN(2*PI()*$I275/qbo+$L275))*(hCs*SIN(2*PI()*$I275/cw)+hCc*COS(2*PI()*$I275/cw))</f>
        <v>4.9538073157483291</v>
      </c>
      <c r="K275">
        <f>fQc*COS(2*PI()*$I275/qbo+$L275)+fQs*SIN(2*PI()*$I275/qbo+$L275)+fCs*SIN(2*PI()*$I275/cw)+fCc*COS(2*PI()*$I275/cw)</f>
        <v>2.5192509494656266</v>
      </c>
      <c r="L275">
        <f>+QMA*COS(2*PI()*$I275/QM+QMP)</f>
        <v>-0.82927322671373671</v>
      </c>
      <c r="P275">
        <f t="shared" si="24"/>
        <v>1</v>
      </c>
    </row>
    <row r="276" spans="1:16" x14ac:dyDescent="0.25">
      <c r="A276" s="1"/>
      <c r="B276" s="4">
        <v>5480</v>
      </c>
      <c r="C276" t="s">
        <v>24</v>
      </c>
      <c r="D276" s="3">
        <v>11.083333333333334</v>
      </c>
      <c r="E276" s="5">
        <f t="shared" si="20"/>
        <v>1915</v>
      </c>
      <c r="F276">
        <v>2.0701999999999998</v>
      </c>
      <c r="G276">
        <f t="shared" si="21"/>
        <v>-2.86402</v>
      </c>
      <c r="H276">
        <f t="shared" si="22"/>
        <v>-2.86402</v>
      </c>
      <c r="I276" s="5">
        <f t="shared" si="23"/>
        <v>1915</v>
      </c>
      <c r="J276">
        <f>+H276+CF*F276*(1+($I276-1850)*slope/1000)+F276*hQc*COS(2*PI()*$I276/qbo+$L276)+F276*hQs*SIN(2*PI()*$I276/qbo+$L276)+F276*hCs*SIN(2*PI()*$I276/cw)+F276*hCc*COS(2*PI()*$I276/cw) +mix*F276*(hQc*COS(2*PI()*$I276/qbo+$L276)+hQs*SIN(2*PI()*$I276/qbo+$L276))*(hCs*SIN(2*PI()*$I276/cw)+hCc*COS(2*PI()*$I276/cw))</f>
        <v>-3.4852792553528866</v>
      </c>
      <c r="K276">
        <f>fQc*COS(2*PI()*$I276/qbo+$L276)+fQs*SIN(2*PI()*$I276/qbo+$L276)+fCs*SIN(2*PI()*$I276/cw)+fCc*COS(2*PI()*$I276/cw)</f>
        <v>-3.8852117187743667</v>
      </c>
      <c r="L276">
        <f>+QMA*COS(2*PI()*$I276/QM+QMP)</f>
        <v>-0.85063207056275969</v>
      </c>
      <c r="P276">
        <f t="shared" si="24"/>
        <v>1</v>
      </c>
    </row>
    <row r="277" spans="1:16" x14ac:dyDescent="0.25">
      <c r="A277" s="1"/>
      <c r="B277" s="4">
        <v>5845</v>
      </c>
      <c r="C277" t="s">
        <v>24</v>
      </c>
      <c r="D277" s="3">
        <v>11.125</v>
      </c>
      <c r="E277" s="5">
        <f t="shared" si="20"/>
        <v>1916</v>
      </c>
      <c r="F277">
        <v>-0.54429000000000005</v>
      </c>
      <c r="G277">
        <f t="shared" si="21"/>
        <v>1.9921000000000002</v>
      </c>
      <c r="H277">
        <f t="shared" si="22"/>
        <v>1.9921000000000002</v>
      </c>
      <c r="I277" s="5">
        <f t="shared" si="23"/>
        <v>1916</v>
      </c>
      <c r="J277">
        <f>+H277+CF*F277*(1+($I277-1850)*slope/1000)+F277*hQc*COS(2*PI()*$I277/qbo+$L277)+F277*hQs*SIN(2*PI()*$I277/qbo+$L277)+F277*hCs*SIN(2*PI()*$I277/cw)+F277*hCc*COS(2*PI()*$I277/cw) +mix*F277*(hQc*COS(2*PI()*$I277/qbo+$L277)+hQs*SIN(2*PI()*$I277/qbo+$L277))*(hCs*SIN(2*PI()*$I277/cw)+hCc*COS(2*PI()*$I277/cw))</f>
        <v>2.2975625742473973</v>
      </c>
      <c r="K277">
        <f>fQc*COS(2*PI()*$I277/qbo+$L277)+fQs*SIN(2*PI()*$I277/qbo+$L277)+fCs*SIN(2*PI()*$I277/cw)+fCc*COS(2*PI()*$I277/cw)</f>
        <v>5.1222579115191484</v>
      </c>
      <c r="L277">
        <f>+QMA*COS(2*PI()*$I277/QM+QMP)</f>
        <v>-0.85721039300000124</v>
      </c>
      <c r="P277">
        <f t="shared" si="24"/>
        <v>1</v>
      </c>
    </row>
    <row r="278" spans="1:16" x14ac:dyDescent="0.25">
      <c r="A278" s="1"/>
      <c r="B278" s="4">
        <v>6211</v>
      </c>
      <c r="C278" t="s">
        <v>24</v>
      </c>
      <c r="D278" s="3">
        <v>11.166666666666666</v>
      </c>
      <c r="E278" s="5">
        <f t="shared" si="20"/>
        <v>1917</v>
      </c>
      <c r="F278">
        <v>-1.1666799999999999</v>
      </c>
      <c r="G278">
        <f t="shared" si="21"/>
        <v>9.9349999999999716E-2</v>
      </c>
      <c r="H278">
        <f t="shared" si="22"/>
        <v>9.9349999999999716E-2</v>
      </c>
      <c r="I278" s="5">
        <f t="shared" si="23"/>
        <v>1917</v>
      </c>
      <c r="J278">
        <f>+H278+CF*F278*(1+($I278-1850)*slope/1000)+F278*hQc*COS(2*PI()*$I278/qbo+$L278)+F278*hQs*SIN(2*PI()*$I278/qbo+$L278)+F278*hCs*SIN(2*PI()*$I278/cw)+F278*hCc*COS(2*PI()*$I278/cw) +mix*F278*(hQc*COS(2*PI()*$I278/qbo+$L278)+hQs*SIN(2*PI()*$I278/qbo+$L278))*(hCs*SIN(2*PI()*$I278/cw)+hCc*COS(2*PI()*$I278/cw))</f>
        <v>-2.9691042832145702</v>
      </c>
      <c r="K278">
        <f>fQc*COS(2*PI()*$I278/qbo+$L278)+fQs*SIN(2*PI()*$I278/qbo+$L278)+fCs*SIN(2*PI()*$I278/cw)+fCc*COS(2*PI()*$I278/cw)</f>
        <v>-4.7318021842000126</v>
      </c>
      <c r="L278">
        <f>+QMA*COS(2*PI()*$I278/QM+QMP)</f>
        <v>-0.84889388956997114</v>
      </c>
      <c r="P278">
        <f t="shared" si="24"/>
        <v>1</v>
      </c>
    </row>
    <row r="279" spans="1:16" x14ac:dyDescent="0.25">
      <c r="A279" s="1"/>
      <c r="B279" s="4">
        <v>6576</v>
      </c>
      <c r="C279" t="s">
        <v>24</v>
      </c>
      <c r="D279" s="3">
        <v>11.208333333333334</v>
      </c>
      <c r="E279" s="5">
        <f t="shared" si="20"/>
        <v>1918</v>
      </c>
      <c r="F279">
        <v>-1.6897200000000001</v>
      </c>
      <c r="G279">
        <f t="shared" si="21"/>
        <v>4.5624900000000004</v>
      </c>
      <c r="H279">
        <f t="shared" si="22"/>
        <v>4.5624900000000004</v>
      </c>
      <c r="I279" s="5">
        <f t="shared" si="23"/>
        <v>1918</v>
      </c>
      <c r="J279">
        <f>+H279+CF*F279*(1+($I279-1850)*slope/1000)+F279*hQc*COS(2*PI()*$I279/qbo+$L279)+F279*hQs*SIN(2*PI()*$I279/qbo+$L279)+F279*hCs*SIN(2*PI()*$I279/cw)+F279*hCc*COS(2*PI()*$I279/cw) +mix*F279*(hQc*COS(2*PI()*$I279/qbo+$L279)+hQs*SIN(2*PI()*$I279/qbo+$L279))*(hCs*SIN(2*PI()*$I279/cw)+hCc*COS(2*PI()*$I279/cw))</f>
        <v>9.7092388658420603</v>
      </c>
      <c r="K279">
        <f>fQc*COS(2*PI()*$I279/qbo+$L279)+fQs*SIN(2*PI()*$I279/qbo+$L279)+fCs*SIN(2*PI()*$I279/cw)+fCc*COS(2*PI()*$I279/cw)</f>
        <v>3.6328293333555419</v>
      </c>
      <c r="L279">
        <f>+QMA*COS(2*PI()*$I279/QM+QMP)</f>
        <v>-0.82582706723553145</v>
      </c>
      <c r="P279">
        <f t="shared" si="24"/>
        <v>1</v>
      </c>
    </row>
    <row r="280" spans="1:16" x14ac:dyDescent="0.25">
      <c r="A280" s="1"/>
      <c r="B280" s="4">
        <v>6941</v>
      </c>
      <c r="C280" t="s">
        <v>24</v>
      </c>
      <c r="D280" s="3">
        <v>11.25</v>
      </c>
      <c r="E280" s="5">
        <f t="shared" si="20"/>
        <v>1919</v>
      </c>
      <c r="F280">
        <v>2.3497300000000001</v>
      </c>
      <c r="G280">
        <f t="shared" si="21"/>
        <v>-4.90611</v>
      </c>
      <c r="H280">
        <f t="shared" si="22"/>
        <v>-4.90611</v>
      </c>
      <c r="I280" s="5">
        <f t="shared" si="23"/>
        <v>1919</v>
      </c>
      <c r="J280">
        <f>+H280+CF*F280*(1+($I280-1850)*slope/1000)+F280*hQc*COS(2*PI()*$I280/qbo+$L280)+F280*hQs*SIN(2*PI()*$I280/qbo+$L280)+F280*hCs*SIN(2*PI()*$I280/cw)+F280*hCc*COS(2*PI()*$I280/cw) +mix*F280*(hQc*COS(2*PI()*$I280/qbo+$L280)+hQs*SIN(2*PI()*$I280/qbo+$L280))*(hCs*SIN(2*PI()*$I280/cw)+hCc*COS(2*PI()*$I280/cw))</f>
        <v>-3.8866171907745999</v>
      </c>
      <c r="K280">
        <f>fQc*COS(2*PI()*$I280/qbo+$L280)+fQs*SIN(2*PI()*$I280/qbo+$L280)+fCs*SIN(2*PI()*$I280/cw)+fCc*COS(2*PI()*$I280/cw)</f>
        <v>-2.2954054813628386</v>
      </c>
      <c r="L280">
        <f>+QMA*COS(2*PI()*$I280/QM+QMP)</f>
        <v>-0.78841073343528945</v>
      </c>
      <c r="P280">
        <f t="shared" si="24"/>
        <v>1</v>
      </c>
    </row>
    <row r="281" spans="1:16" x14ac:dyDescent="0.25">
      <c r="A281" s="1"/>
      <c r="B281" s="4">
        <v>7306</v>
      </c>
      <c r="C281" t="s">
        <v>24</v>
      </c>
      <c r="D281" s="3">
        <v>11.291666666666666</v>
      </c>
      <c r="E281" s="5">
        <f t="shared" si="20"/>
        <v>1920</v>
      </c>
      <c r="F281">
        <v>1.4830700000000001</v>
      </c>
      <c r="G281">
        <f t="shared" si="21"/>
        <v>-1.3225099999999999</v>
      </c>
      <c r="H281">
        <f t="shared" si="22"/>
        <v>-1.3225099999999999</v>
      </c>
      <c r="I281" s="5">
        <f t="shared" si="23"/>
        <v>1920</v>
      </c>
      <c r="J281">
        <f>+H281+CF*F281*(1+($I281-1850)*slope/1000)+F281*hQc*COS(2*PI()*$I281/qbo+$L281)+F281*hQs*SIN(2*PI()*$I281/qbo+$L281)+F281*hCs*SIN(2*PI()*$I281/cw)+F281*hCc*COS(2*PI()*$I281/cw) +mix*F281*(hQc*COS(2*PI()*$I281/qbo+$L281)+hQs*SIN(2*PI()*$I281/qbo+$L281))*(hCs*SIN(2*PI()*$I281/cw)+hCc*COS(2*PI()*$I281/cw))</f>
        <v>-0.58543891619649813</v>
      </c>
      <c r="K281">
        <f>fQc*COS(2*PI()*$I281/qbo+$L281)+fQs*SIN(2*PI()*$I281/qbo+$L281)+fCs*SIN(2*PI()*$I281/cw)+fCc*COS(2*PI()*$I281/cw)</f>
        <v>-6.1687535235739346E-2</v>
      </c>
      <c r="L281">
        <f>+QMA*COS(2*PI()*$I281/QM+QMP)</f>
        <v>-0.73729503168258126</v>
      </c>
      <c r="P281">
        <f t="shared" si="24"/>
        <v>1</v>
      </c>
    </row>
    <row r="282" spans="1:16" x14ac:dyDescent="0.25">
      <c r="A282" s="1"/>
      <c r="B282" s="4">
        <v>7672</v>
      </c>
      <c r="C282" t="s">
        <v>24</v>
      </c>
      <c r="D282" s="3">
        <v>11.333333333333334</v>
      </c>
      <c r="E282" s="5">
        <f t="shared" si="20"/>
        <v>1921</v>
      </c>
      <c r="F282">
        <v>-0.70609999999999995</v>
      </c>
      <c r="G282">
        <f t="shared" si="21"/>
        <v>1.6403299999999998</v>
      </c>
      <c r="H282">
        <f t="shared" si="22"/>
        <v>1.6403299999999998</v>
      </c>
      <c r="I282" s="5">
        <f t="shared" si="23"/>
        <v>1921</v>
      </c>
      <c r="J282">
        <f>+H282+CF*F282*(1+($I282-1850)*slope/1000)+F282*hQc*COS(2*PI()*$I282/qbo+$L282)+F282*hQs*SIN(2*PI()*$I282/qbo+$L282)+F282*hCs*SIN(2*PI()*$I282/cw)+F282*hCc*COS(2*PI()*$I282/cw) +mix*F282*(hQc*COS(2*PI()*$I282/qbo+$L282)+hQs*SIN(2*PI()*$I282/qbo+$L282))*(hCs*SIN(2*PI()*$I282/cw)+hCc*COS(2*PI()*$I282/cw))</f>
        <v>0.82010244221365158</v>
      </c>
      <c r="K282">
        <f>fQc*COS(2*PI()*$I282/qbo+$L282)+fQs*SIN(2*PI()*$I282/qbo+$L282)+fCs*SIN(2*PI()*$I282/cw)+fCc*COS(2*PI()*$I282/cw)</f>
        <v>1.6421499619826569</v>
      </c>
      <c r="L282">
        <f>+QMA*COS(2*PI()*$I282/QM+QMP)</f>
        <v>-0.6733681447186215</v>
      </c>
      <c r="P282">
        <f t="shared" si="24"/>
        <v>1</v>
      </c>
    </row>
    <row r="283" spans="1:16" x14ac:dyDescent="0.25">
      <c r="A283" s="1"/>
      <c r="B283" s="4">
        <v>8037</v>
      </c>
      <c r="C283" t="s">
        <v>24</v>
      </c>
      <c r="D283" s="3">
        <v>11.375</v>
      </c>
      <c r="E283" s="5">
        <f t="shared" si="20"/>
        <v>1922</v>
      </c>
      <c r="F283">
        <v>-1.2549399999999999</v>
      </c>
      <c r="G283">
        <f t="shared" si="21"/>
        <v>1.2729200000000001</v>
      </c>
      <c r="H283">
        <f t="shared" si="22"/>
        <v>1.2729200000000001</v>
      </c>
      <c r="I283" s="5">
        <f t="shared" si="23"/>
        <v>1922</v>
      </c>
      <c r="J283">
        <f>+H283+CF*F283*(1+($I283-1850)*slope/1000)+F283*hQc*COS(2*PI()*$I283/qbo+$L283)+F283*hQs*SIN(2*PI()*$I283/qbo+$L283)+F283*hCs*SIN(2*PI()*$I283/cw)+F283*hCc*COS(2*PI()*$I283/cw) +mix*F283*(hQc*COS(2*PI()*$I283/qbo+$L283)+hQs*SIN(2*PI()*$I283/qbo+$L283))*(hCs*SIN(2*PI()*$I283/cw)+hCc*COS(2*PI()*$I283/cw))</f>
        <v>2.255577197858837</v>
      </c>
      <c r="K283">
        <f>fQc*COS(2*PI()*$I283/qbo+$L283)+fQs*SIN(2*PI()*$I283/qbo+$L283)+fCs*SIN(2*PI()*$I283/cw)+fCc*COS(2*PI()*$I283/cw)</f>
        <v>-3.3072244097871226</v>
      </c>
      <c r="L283">
        <f>+QMA*COS(2*PI()*$I283/QM+QMP)</f>
        <v>-0.59774086151348893</v>
      </c>
      <c r="P283">
        <f t="shared" si="24"/>
        <v>0</v>
      </c>
    </row>
    <row r="284" spans="1:16" x14ac:dyDescent="0.25">
      <c r="A284" s="1"/>
      <c r="B284" s="4">
        <v>8402</v>
      </c>
      <c r="C284" t="s">
        <v>24</v>
      </c>
      <c r="D284" s="3">
        <v>11.416666666666666</v>
      </c>
      <c r="E284" s="5">
        <f t="shared" si="20"/>
        <v>1923</v>
      </c>
      <c r="F284">
        <v>-0.53086</v>
      </c>
      <c r="G284">
        <f t="shared" si="21"/>
        <v>0.36950000000000005</v>
      </c>
      <c r="H284">
        <f t="shared" si="22"/>
        <v>0.36950000000000005</v>
      </c>
      <c r="I284" s="5">
        <f t="shared" si="23"/>
        <v>1923</v>
      </c>
      <c r="J284">
        <f>+H284+CF*F284*(1+($I284-1850)*slope/1000)+F284*hQc*COS(2*PI()*$I284/qbo+$L284)+F284*hQs*SIN(2*PI()*$I284/qbo+$L284)+F284*hCs*SIN(2*PI()*$I284/cw)+F284*hCc*COS(2*PI()*$I284/cw) +mix*F284*(hQc*COS(2*PI()*$I284/qbo+$L284)+hQs*SIN(2*PI()*$I284/qbo+$L284))*(hCs*SIN(2*PI()*$I284/cw)+hCc*COS(2*PI()*$I284/cw))</f>
        <v>-1.6224276291825479</v>
      </c>
      <c r="K284">
        <f>fQc*COS(2*PI()*$I284/qbo+$L284)+fQs*SIN(2*PI()*$I284/qbo+$L284)+fCs*SIN(2*PI()*$I284/cw)+fCc*COS(2*PI()*$I284/cw)</f>
        <v>4.6312327986363604</v>
      </c>
      <c r="L284">
        <f>+QMA*COS(2*PI()*$I284/QM+QMP)</f>
        <v>-0.5117272762771784</v>
      </c>
      <c r="P284">
        <f t="shared" si="24"/>
        <v>0</v>
      </c>
    </row>
    <row r="285" spans="1:16" x14ac:dyDescent="0.25">
      <c r="A285" s="1"/>
      <c r="B285" s="4">
        <v>8767</v>
      </c>
      <c r="C285" t="s">
        <v>24</v>
      </c>
      <c r="D285" s="3">
        <v>11.458333333333334</v>
      </c>
      <c r="E285" s="5">
        <f t="shared" si="20"/>
        <v>1924</v>
      </c>
      <c r="F285">
        <v>0.56272</v>
      </c>
      <c r="G285">
        <f t="shared" si="21"/>
        <v>-3.4095500000000003</v>
      </c>
      <c r="H285">
        <f t="shared" si="22"/>
        <v>-3.4095500000000003</v>
      </c>
      <c r="I285" s="5">
        <f t="shared" si="23"/>
        <v>1924</v>
      </c>
      <c r="J285">
        <f>+H285+CF*F285*(1+($I285-1850)*slope/1000)+F285*hQc*COS(2*PI()*$I285/qbo+$L285)+F285*hQs*SIN(2*PI()*$I285/qbo+$L285)+F285*hCs*SIN(2*PI()*$I285/cw)+F285*hCc*COS(2*PI()*$I285/cw) +mix*F285*(hQc*COS(2*PI()*$I285/qbo+$L285)+hQs*SIN(2*PI()*$I285/qbo+$L285))*(hCs*SIN(2*PI()*$I285/cw)+hCc*COS(2*PI()*$I285/cw))</f>
        <v>-3.5398612830849681</v>
      </c>
      <c r="K285">
        <f>fQc*COS(2*PI()*$I285/qbo+$L285)+fQs*SIN(2*PI()*$I285/qbo+$L285)+fCs*SIN(2*PI()*$I285/cw)+fCc*COS(2*PI()*$I285/cw)</f>
        <v>-4.7423248614284388</v>
      </c>
      <c r="L285">
        <f>+QMA*COS(2*PI()*$I285/QM+QMP)</f>
        <v>-0.41682195485340007</v>
      </c>
      <c r="P285">
        <f t="shared" si="24"/>
        <v>1</v>
      </c>
    </row>
    <row r="286" spans="1:16" x14ac:dyDescent="0.25">
      <c r="A286" s="1"/>
      <c r="B286" s="4">
        <v>9133</v>
      </c>
      <c r="C286" t="s">
        <v>24</v>
      </c>
      <c r="D286" s="3">
        <v>11.5</v>
      </c>
      <c r="E286" s="5">
        <f t="shared" si="20"/>
        <v>1925</v>
      </c>
      <c r="F286">
        <v>-1.75325</v>
      </c>
      <c r="G286">
        <f t="shared" si="21"/>
        <v>5.95662</v>
      </c>
      <c r="H286">
        <f t="shared" si="22"/>
        <v>5.95662</v>
      </c>
      <c r="I286" s="5">
        <f t="shared" si="23"/>
        <v>1925</v>
      </c>
      <c r="J286">
        <f>+H286+CF*F286*(1+($I286-1850)*slope/1000)+F286*hQc*COS(2*PI()*$I286/qbo+$L286)+F286*hQs*SIN(2*PI()*$I286/qbo+$L286)+F286*hCs*SIN(2*PI()*$I286/cw)+F286*hCc*COS(2*PI()*$I286/cw) +mix*F286*(hQc*COS(2*PI()*$I286/qbo+$L286)+hQs*SIN(2*PI()*$I286/qbo+$L286))*(hCs*SIN(2*PI()*$I286/cw)+hCc*COS(2*PI()*$I286/cw))</f>
        <v>7.6583498167221933</v>
      </c>
      <c r="K286">
        <f>fQc*COS(2*PI()*$I286/qbo+$L286)+fQs*SIN(2*PI()*$I286/qbo+$L286)+fCs*SIN(2*PI()*$I286/cw)+fCc*COS(2*PI()*$I286/cw)</f>
        <v>5.0213090433805707</v>
      </c>
      <c r="L286">
        <f>+QMA*COS(2*PI()*$I286/QM+QMP)</f>
        <v>-0.31467396525166247</v>
      </c>
      <c r="P286">
        <f t="shared" si="24"/>
        <v>1</v>
      </c>
    </row>
    <row r="287" spans="1:16" x14ac:dyDescent="0.25">
      <c r="A287" s="1"/>
      <c r="B287" s="4">
        <v>9498</v>
      </c>
      <c r="C287" t="s">
        <v>24</v>
      </c>
      <c r="D287" s="3">
        <v>11.541666666666666</v>
      </c>
      <c r="E287" s="5">
        <f t="shared" si="20"/>
        <v>1926</v>
      </c>
      <c r="F287">
        <v>1.8874</v>
      </c>
      <c r="G287">
        <f t="shared" si="21"/>
        <v>-5.6693199999999999</v>
      </c>
      <c r="H287">
        <f t="shared" si="22"/>
        <v>-5.6693199999999999</v>
      </c>
      <c r="I287" s="5">
        <f t="shared" si="23"/>
        <v>1926</v>
      </c>
      <c r="J287">
        <f>+H287+CF*F287*(1+($I287-1850)*slope/1000)+F287*hQc*COS(2*PI()*$I287/qbo+$L287)+F287*hQs*SIN(2*PI()*$I287/qbo+$L287)+F287*hCs*SIN(2*PI()*$I287/cw)+F287*hCc*COS(2*PI()*$I287/cw) +mix*F287*(hQc*COS(2*PI()*$I287/qbo+$L287)+hQs*SIN(2*PI()*$I287/qbo+$L287))*(hCs*SIN(2*PI()*$I287/cw)+hCc*COS(2*PI()*$I287/cw))</f>
        <v>-1.6854027969736878</v>
      </c>
      <c r="K287">
        <f>fQc*COS(2*PI()*$I287/qbo+$L287)+fQs*SIN(2*PI()*$I287/qbo+$L287)+fCs*SIN(2*PI()*$I287/cw)+fCc*COS(2*PI()*$I287/cw)</f>
        <v>-4.1526686199124292</v>
      </c>
      <c r="L287">
        <f>+QMA*COS(2*PI()*$I287/QM+QMP)</f>
        <v>-0.20705822356056494</v>
      </c>
      <c r="P287">
        <f t="shared" si="24"/>
        <v>1</v>
      </c>
    </row>
    <row r="288" spans="1:16" x14ac:dyDescent="0.25">
      <c r="A288" s="1"/>
      <c r="B288" s="4">
        <v>9863</v>
      </c>
      <c r="C288" t="s">
        <v>24</v>
      </c>
      <c r="D288" s="3">
        <v>11.583333333333334</v>
      </c>
      <c r="E288" s="5">
        <f t="shared" si="20"/>
        <v>1927</v>
      </c>
      <c r="F288">
        <v>-0.14127000000000001</v>
      </c>
      <c r="G288">
        <f t="shared" si="21"/>
        <v>2.4368499999999997</v>
      </c>
      <c r="H288">
        <f t="shared" si="22"/>
        <v>2.4368499999999997</v>
      </c>
      <c r="I288" s="5">
        <f t="shared" si="23"/>
        <v>1927</v>
      </c>
      <c r="J288">
        <f>+H288+CF*F288*(1+($I288-1850)*slope/1000)+F288*hQc*COS(2*PI()*$I288/qbo+$L288)+F288*hQs*SIN(2*PI()*$I288/qbo+$L288)+F288*hCs*SIN(2*PI()*$I288/cw)+F288*hCc*COS(2*PI()*$I288/cw) +mix*F288*(hQc*COS(2*PI()*$I288/qbo+$L288)+hQs*SIN(2*PI()*$I288/qbo+$L288))*(hCs*SIN(2*PI()*$I288/cw)+hCc*COS(2*PI()*$I288/cw))</f>
        <v>2.7738087356263201</v>
      </c>
      <c r="K288">
        <f>fQc*COS(2*PI()*$I288/qbo+$L288)+fQs*SIN(2*PI()*$I288/qbo+$L288)+fCs*SIN(2*PI()*$I288/cw)+fCc*COS(2*PI()*$I288/cw)</f>
        <v>2.8926346615027767</v>
      </c>
      <c r="L288">
        <f>+QMA*COS(2*PI()*$I288/QM+QMP)</f>
        <v>-9.5844653133902835E-2</v>
      </c>
      <c r="P288">
        <f t="shared" si="24"/>
        <v>1</v>
      </c>
    </row>
    <row r="289" spans="1:16" x14ac:dyDescent="0.25">
      <c r="A289" s="1"/>
      <c r="B289" s="4">
        <v>10228</v>
      </c>
      <c r="C289" t="s">
        <v>24</v>
      </c>
      <c r="D289" s="3">
        <v>11.625</v>
      </c>
      <c r="E289" s="5">
        <f t="shared" si="20"/>
        <v>1928</v>
      </c>
      <c r="F289">
        <v>0.26690999999999998</v>
      </c>
      <c r="G289">
        <f t="shared" si="21"/>
        <v>-1.9864899999999999</v>
      </c>
      <c r="H289">
        <f t="shared" si="22"/>
        <v>-1.9864899999999999</v>
      </c>
      <c r="I289" s="5">
        <f t="shared" si="23"/>
        <v>1928</v>
      </c>
      <c r="J289">
        <f>+H289+CF*F289*(1+($I289-1850)*slope/1000)+F289*hQc*COS(2*PI()*$I289/qbo+$L289)+F289*hQs*SIN(2*PI()*$I289/qbo+$L289)+F289*hCs*SIN(2*PI()*$I289/cw)+F289*hCc*COS(2*PI()*$I289/cw) +mix*F289*(hQc*COS(2*PI()*$I289/qbo+$L289)+hQs*SIN(2*PI()*$I289/qbo+$L289))*(hCs*SIN(2*PI()*$I289/cw)+hCc*COS(2*PI()*$I289/cw))</f>
        <v>-2.0000023574467902</v>
      </c>
      <c r="K289">
        <f>fQc*COS(2*PI()*$I289/qbo+$L289)+fQs*SIN(2*PI()*$I289/qbo+$L289)+fCs*SIN(2*PI()*$I289/cw)+fCc*COS(2*PI()*$I289/cw)</f>
        <v>-1.7386460683043443</v>
      </c>
      <c r="L289">
        <f>+QMA*COS(2*PI()*$I289/QM+QMP)</f>
        <v>1.7034307062174417E-2</v>
      </c>
      <c r="P289">
        <f t="shared" si="24"/>
        <v>1</v>
      </c>
    </row>
    <row r="290" spans="1:16" x14ac:dyDescent="0.25">
      <c r="A290" s="1"/>
      <c r="B290" s="4">
        <v>10594</v>
      </c>
      <c r="C290" t="s">
        <v>24</v>
      </c>
      <c r="D290" s="3">
        <v>11.666666666666666</v>
      </c>
      <c r="E290" s="5">
        <f t="shared" si="20"/>
        <v>1929</v>
      </c>
      <c r="F290">
        <v>-1.3113999999999999</v>
      </c>
      <c r="G290">
        <f t="shared" si="21"/>
        <v>3.6171199999999999</v>
      </c>
      <c r="H290">
        <f t="shared" si="22"/>
        <v>3.6171199999999999</v>
      </c>
      <c r="I290" s="5">
        <f t="shared" si="23"/>
        <v>1929</v>
      </c>
      <c r="J290">
        <f>+H290+CF*F290*(1+($I290-1850)*slope/1000)+F290*hQc*COS(2*PI()*$I290/qbo+$L290)+F290*hQs*SIN(2*PI()*$I290/qbo+$L290)+F290*hCs*SIN(2*PI()*$I290/cw)+F290*hCc*COS(2*PI()*$I290/cw) +mix*F290*(hQc*COS(2*PI()*$I290/qbo+$L290)+hQs*SIN(2*PI()*$I290/qbo+$L290))*(hCs*SIN(2*PI()*$I290/cw)+hCc*COS(2*PI()*$I290/cw))</f>
        <v>2.9181231205890308</v>
      </c>
      <c r="K290">
        <f>fQc*COS(2*PI()*$I290/qbo+$L290)+fQs*SIN(2*PI()*$I290/qbo+$L290)+fCs*SIN(2*PI()*$I290/cw)+fCc*COS(2*PI()*$I290/cw)</f>
        <v>-0.35063910698432499</v>
      </c>
      <c r="L290">
        <f>+QMA*COS(2*PI()*$I290/QM+QMP)</f>
        <v>0.12961728036918227</v>
      </c>
      <c r="P290">
        <f t="shared" si="24"/>
        <v>0</v>
      </c>
    </row>
    <row r="291" spans="1:16" x14ac:dyDescent="0.25">
      <c r="A291" s="1"/>
      <c r="B291" s="4">
        <v>10959</v>
      </c>
      <c r="C291" t="s">
        <v>24</v>
      </c>
      <c r="D291" s="3">
        <v>11.708333333333334</v>
      </c>
      <c r="E291" s="5">
        <f t="shared" si="20"/>
        <v>1930</v>
      </c>
      <c r="F291">
        <v>0.72741</v>
      </c>
      <c r="G291">
        <f t="shared" si="21"/>
        <v>-0.54781999999999975</v>
      </c>
      <c r="H291">
        <f t="shared" si="22"/>
        <v>-0.54781999999999975</v>
      </c>
      <c r="I291" s="5">
        <f t="shared" si="23"/>
        <v>1930</v>
      </c>
      <c r="J291">
        <f>+H291+CF*F291*(1+($I291-1850)*slope/1000)+F291*hQc*COS(2*PI()*$I291/qbo+$L291)+F291*hQs*SIN(2*PI()*$I291/qbo+$L291)+F291*hCs*SIN(2*PI()*$I291/cw)+F291*hCc*COS(2*PI()*$I291/cw) +mix*F291*(hQc*COS(2*PI()*$I291/qbo+$L291)+hQs*SIN(2*PI()*$I291/qbo+$L291))*(hCs*SIN(2*PI()*$I291/cw)+hCc*COS(2*PI()*$I291/cw))</f>
        <v>0.45180475188014302</v>
      </c>
      <c r="K291">
        <f>fQc*COS(2*PI()*$I291/qbo+$L291)+fQs*SIN(2*PI()*$I291/qbo+$L291)+fCs*SIN(2*PI()*$I291/cw)+fCc*COS(2*PI()*$I291/cw)</f>
        <v>1.725515390770574</v>
      </c>
      <c r="L291">
        <f>+QMA*COS(2*PI()*$I291/QM+QMP)</f>
        <v>0.23994803317558488</v>
      </c>
      <c r="P291">
        <f t="shared" si="24"/>
        <v>1</v>
      </c>
    </row>
    <row r="292" spans="1:16" x14ac:dyDescent="0.25">
      <c r="A292" s="1"/>
      <c r="B292" s="4">
        <v>11324</v>
      </c>
      <c r="C292" t="s">
        <v>24</v>
      </c>
      <c r="D292" s="3">
        <v>11.75</v>
      </c>
      <c r="E292" s="5">
        <f t="shared" si="20"/>
        <v>1931</v>
      </c>
      <c r="F292">
        <v>2.2183999999999999</v>
      </c>
      <c r="G292">
        <f t="shared" si="21"/>
        <v>-3.2621199999999999</v>
      </c>
      <c r="H292">
        <f t="shared" si="22"/>
        <v>-3.2621199999999999</v>
      </c>
      <c r="I292" s="5">
        <f t="shared" si="23"/>
        <v>1931</v>
      </c>
      <c r="J292">
        <f>+H292+CF*F292*(1+($I292-1850)*slope/1000)+F292*hQc*COS(2*PI()*$I292/qbo+$L292)+F292*hQs*SIN(2*PI()*$I292/qbo+$L292)+F292*hCs*SIN(2*PI()*$I292/cw)+F292*hCc*COS(2*PI()*$I292/cw) +mix*F292*(hQc*COS(2*PI()*$I292/qbo+$L292)+hQs*SIN(2*PI()*$I292/qbo+$L292))*(hCs*SIN(2*PI()*$I292/cw)+hCc*COS(2*PI()*$I292/cw))</f>
        <v>-5.2640980400829784</v>
      </c>
      <c r="K292">
        <f>fQc*COS(2*PI()*$I292/qbo+$L292)+fQs*SIN(2*PI()*$I292/qbo+$L292)+fCs*SIN(2*PI()*$I292/cw)+fCc*COS(2*PI()*$I292/cw)</f>
        <v>-3.2195442993661372</v>
      </c>
      <c r="L292">
        <f>+QMA*COS(2*PI()*$I292/QM+QMP)</f>
        <v>0.34610946629042766</v>
      </c>
      <c r="P292">
        <f t="shared" si="24"/>
        <v>1</v>
      </c>
    </row>
    <row r="293" spans="1:16" x14ac:dyDescent="0.25">
      <c r="A293" s="1"/>
      <c r="B293" s="4">
        <v>11689</v>
      </c>
      <c r="C293" t="s">
        <v>24</v>
      </c>
      <c r="D293" s="3">
        <v>11.791666666666666</v>
      </c>
      <c r="E293" s="5">
        <f t="shared" si="20"/>
        <v>1932</v>
      </c>
      <c r="F293">
        <v>0.44727</v>
      </c>
      <c r="G293">
        <f t="shared" si="21"/>
        <v>1.1273599999999999</v>
      </c>
      <c r="H293">
        <f t="shared" si="22"/>
        <v>1.1273599999999999</v>
      </c>
      <c r="I293" s="5">
        <f t="shared" si="23"/>
        <v>1932</v>
      </c>
      <c r="J293">
        <f>+H293+CF*F293*(1+($I293-1850)*slope/1000)+F293*hQc*COS(2*PI()*$I293/qbo+$L293)+F293*hQs*SIN(2*PI()*$I293/qbo+$L293)+F293*hCs*SIN(2*PI()*$I293/cw)+F293*hCc*COS(2*PI()*$I293/cw) +mix*F293*(hQc*COS(2*PI()*$I293/qbo+$L293)+hQs*SIN(2*PI()*$I293/qbo+$L293))*(hCs*SIN(2*PI()*$I293/cw)+hCc*COS(2*PI()*$I293/cw))</f>
        <v>2.6950739546529081</v>
      </c>
      <c r="K293">
        <f>fQc*COS(2*PI()*$I293/qbo+$L293)+fQs*SIN(2*PI()*$I293/qbo+$L293)+fCs*SIN(2*PI()*$I293/cw)+fCc*COS(2*PI()*$I293/cw)</f>
        <v>4.5717530500161345</v>
      </c>
      <c r="L293">
        <f>+QMA*COS(2*PI()*$I293/QM+QMP)</f>
        <v>0.44625692632054859</v>
      </c>
      <c r="P293">
        <f t="shared" si="24"/>
        <v>1</v>
      </c>
    </row>
    <row r="294" spans="1:16" x14ac:dyDescent="0.25">
      <c r="A294" s="1"/>
      <c r="B294" s="4">
        <v>12055</v>
      </c>
      <c r="C294" t="s">
        <v>24</v>
      </c>
      <c r="D294" s="3">
        <v>11.833333333333334</v>
      </c>
      <c r="E294" s="5">
        <f t="shared" si="20"/>
        <v>1933</v>
      </c>
      <c r="F294">
        <v>-0.19650000000000001</v>
      </c>
      <c r="G294">
        <f t="shared" si="21"/>
        <v>-0.84888999999999992</v>
      </c>
      <c r="H294">
        <f t="shared" si="22"/>
        <v>-0.84888999999999992</v>
      </c>
      <c r="I294" s="5">
        <f t="shared" si="23"/>
        <v>1933</v>
      </c>
      <c r="J294">
        <f>+H294+CF*F294*(1+($I294-1850)*slope/1000)+F294*hQc*COS(2*PI()*$I294/qbo+$L294)+F294*hQs*SIN(2*PI()*$I294/qbo+$L294)+F294*hCs*SIN(2*PI()*$I294/cw)+F294*hCc*COS(2*PI()*$I294/cw) +mix*F294*(hQc*COS(2*PI()*$I294/qbo+$L294)+hQs*SIN(2*PI()*$I294/qbo+$L294))*(hCs*SIN(2*PI()*$I294/cw)+hCc*COS(2*PI()*$I294/cw))</f>
        <v>-0.83789761809863417</v>
      </c>
      <c r="K294">
        <f>fQc*COS(2*PI()*$I294/qbo+$L294)+fQs*SIN(2*PI()*$I294/qbo+$L294)+fCs*SIN(2*PI()*$I294/cw)+fCc*COS(2*PI()*$I294/cw)</f>
        <v>-4.7262808150864482</v>
      </c>
      <c r="L294">
        <f>+QMA*COS(2*PI()*$I294/QM+QMP)</f>
        <v>0.53865025823480794</v>
      </c>
      <c r="P294">
        <f t="shared" si="24"/>
        <v>1</v>
      </c>
    </row>
    <row r="295" spans="1:16" x14ac:dyDescent="0.25">
      <c r="A295" s="1"/>
      <c r="B295" s="4">
        <v>12420</v>
      </c>
      <c r="C295" t="s">
        <v>24</v>
      </c>
      <c r="D295" s="3">
        <v>11.875</v>
      </c>
      <c r="E295" s="5">
        <f t="shared" si="20"/>
        <v>1934</v>
      </c>
      <c r="F295">
        <v>-1.68916</v>
      </c>
      <c r="G295">
        <f t="shared" si="21"/>
        <v>2.8805499999999999</v>
      </c>
      <c r="H295">
        <f t="shared" si="22"/>
        <v>2.8805499999999999</v>
      </c>
      <c r="I295" s="5">
        <f t="shared" si="23"/>
        <v>1934</v>
      </c>
      <c r="J295">
        <f>+H295+CF*F295*(1+($I295-1850)*slope/1000)+F295*hQc*COS(2*PI()*$I295/qbo+$L295)+F295*hQs*SIN(2*PI()*$I295/qbo+$L295)+F295*hCs*SIN(2*PI()*$I295/cw)+F295*hCc*COS(2*PI()*$I295/cw) +mix*F295*(hQc*COS(2*PI()*$I295/qbo+$L295)+hQs*SIN(2*PI()*$I295/qbo+$L295))*(hCs*SIN(2*PI()*$I295/cw)+hCc*COS(2*PI()*$I295/cw))</f>
        <v>5.3762791909483525</v>
      </c>
      <c r="K295">
        <f>fQc*COS(2*PI()*$I295/qbo+$L295)+fQs*SIN(2*PI()*$I295/qbo+$L295)+fCs*SIN(2*PI()*$I295/cw)+fCc*COS(2*PI()*$I295/cw)</f>
        <v>5.0152790255208481</v>
      </c>
      <c r="L295">
        <f>+QMA*COS(2*PI()*$I295/QM+QMP)</f>
        <v>0.62168404217191497</v>
      </c>
      <c r="P295">
        <f t="shared" si="24"/>
        <v>1</v>
      </c>
    </row>
    <row r="296" spans="1:16" x14ac:dyDescent="0.25">
      <c r="A296" s="1"/>
      <c r="B296" s="4">
        <v>12785</v>
      </c>
      <c r="C296" t="s">
        <v>24</v>
      </c>
      <c r="D296" s="3">
        <v>11.916666666666666</v>
      </c>
      <c r="E296" s="5">
        <f t="shared" si="20"/>
        <v>1935</v>
      </c>
      <c r="F296">
        <v>-0.30126999999999998</v>
      </c>
      <c r="G296">
        <f t="shared" si="21"/>
        <v>-1.0414099999999999</v>
      </c>
      <c r="H296">
        <f t="shared" si="22"/>
        <v>-1.0414099999999999</v>
      </c>
      <c r="I296" s="5">
        <f t="shared" si="23"/>
        <v>1935</v>
      </c>
      <c r="J296">
        <f>+H296+CF*F296*(1+($I296-1850)*slope/1000)+F296*hQc*COS(2*PI()*$I296/qbo+$L296)+F296*hQs*SIN(2*PI()*$I296/qbo+$L296)+F296*hCs*SIN(2*PI()*$I296/cw)+F296*hCc*COS(2*PI()*$I296/cw) +mix*F296*(hQc*COS(2*PI()*$I296/qbo+$L296)+hQs*SIN(2*PI()*$I296/qbo+$L296))*(hCs*SIN(2*PI()*$I296/cw)+hCc*COS(2*PI()*$I296/cw))</f>
        <v>-1.6667990321121509</v>
      </c>
      <c r="K296">
        <f>fQc*COS(2*PI()*$I296/qbo+$L296)+fQs*SIN(2*PI()*$I296/qbo+$L296)+fCs*SIN(2*PI()*$I296/cw)+fCc*COS(2*PI()*$I296/cw)</f>
        <v>-4.1048750030331327</v>
      </c>
      <c r="L296">
        <f>+QMA*COS(2*PI()*$I296/QM+QMP)</f>
        <v>0.69391548910028311</v>
      </c>
      <c r="P296">
        <f t="shared" si="24"/>
        <v>1</v>
      </c>
    </row>
    <row r="297" spans="1:16" x14ac:dyDescent="0.25">
      <c r="A297" s="1"/>
      <c r="B297" s="4">
        <v>13150</v>
      </c>
      <c r="C297" t="s">
        <v>24</v>
      </c>
      <c r="D297" s="3">
        <v>11.958333333333334</v>
      </c>
      <c r="E297" s="5">
        <f t="shared" si="20"/>
        <v>1936</v>
      </c>
      <c r="F297">
        <v>4.521E-2</v>
      </c>
      <c r="G297">
        <f t="shared" si="21"/>
        <v>4.8209999999999975E-2</v>
      </c>
      <c r="H297">
        <f t="shared" si="22"/>
        <v>4.8209999999999975E-2</v>
      </c>
      <c r="I297" s="5">
        <f t="shared" si="23"/>
        <v>1936</v>
      </c>
      <c r="J297">
        <f>+H297+CF*F297*(1+($I297-1850)*slope/1000)+F297*hQc*COS(2*PI()*$I297/qbo+$L297)+F297*hQs*SIN(2*PI()*$I297/qbo+$L297)+F297*hCs*SIN(2*PI()*$I297/cw)+F297*hCc*COS(2*PI()*$I297/cw) +mix*F297*(hQc*COS(2*PI()*$I297/qbo+$L297)+hQs*SIN(2*PI()*$I297/qbo+$L297))*(hCs*SIN(2*PI()*$I297/cw)+hCc*COS(2*PI()*$I297/cw))</f>
        <v>-4.8123596497144171E-2</v>
      </c>
      <c r="K297">
        <f>fQc*COS(2*PI()*$I297/qbo+$L297)+fQs*SIN(2*PI()*$I297/qbo+$L297)+fCs*SIN(2*PI()*$I297/cw)+fCc*COS(2*PI()*$I297/cw)</f>
        <v>2.5598253083489748</v>
      </c>
      <c r="L297">
        <f>+QMA*COS(2*PI()*$I297/QM+QMP)</f>
        <v>0.75408951061576168</v>
      </c>
      <c r="P297">
        <f t="shared" si="24"/>
        <v>0</v>
      </c>
    </row>
    <row r="298" spans="1:16" x14ac:dyDescent="0.25">
      <c r="A298" s="1"/>
      <c r="B298" s="4">
        <v>13516</v>
      </c>
      <c r="C298" t="s">
        <v>24</v>
      </c>
      <c r="D298" s="3">
        <v>12</v>
      </c>
      <c r="E298" s="5">
        <f t="shared" si="20"/>
        <v>1937</v>
      </c>
      <c r="F298">
        <v>0.43990000000000001</v>
      </c>
      <c r="G298">
        <f t="shared" si="21"/>
        <v>-0.63463999999999998</v>
      </c>
      <c r="H298">
        <f t="shared" si="22"/>
        <v>-0.63463999999999998</v>
      </c>
      <c r="I298" s="5">
        <f t="shared" si="23"/>
        <v>1937</v>
      </c>
      <c r="J298">
        <f>+H298+CF*F298*(1+($I298-1850)*slope/1000)+F298*hQc*COS(2*PI()*$I298/qbo+$L298)+F298*hQs*SIN(2*PI()*$I298/qbo+$L298)+F298*hCs*SIN(2*PI()*$I298/cw)+F298*hCc*COS(2*PI()*$I298/cw) +mix*F298*(hQc*COS(2*PI()*$I298/qbo+$L298)+hQs*SIN(2*PI()*$I298/qbo+$L298))*(hCs*SIN(2*PI()*$I298/cw)+hCc*COS(2*PI()*$I298/cw))</f>
        <v>-0.8745917313017777</v>
      </c>
      <c r="K298">
        <f>fQc*COS(2*PI()*$I298/qbo+$L298)+fQs*SIN(2*PI()*$I298/qbo+$L298)+fCs*SIN(2*PI()*$I298/cw)+fCc*COS(2*PI()*$I298/cw)</f>
        <v>-1.052236476770229</v>
      </c>
      <c r="L298">
        <f>+QMA*COS(2*PI()*$I298/QM+QMP)</f>
        <v>0.80116052726721443</v>
      </c>
      <c r="P298">
        <f t="shared" si="24"/>
        <v>1</v>
      </c>
    </row>
    <row r="299" spans="1:16" x14ac:dyDescent="0.25">
      <c r="A299" s="1"/>
      <c r="B299" s="4">
        <v>13881</v>
      </c>
      <c r="C299" t="s">
        <v>24</v>
      </c>
      <c r="D299" s="3">
        <v>12.041666666666666</v>
      </c>
      <c r="E299" s="5">
        <f t="shared" si="20"/>
        <v>1938</v>
      </c>
      <c r="F299">
        <v>0.19994999999999999</v>
      </c>
      <c r="G299">
        <f t="shared" si="21"/>
        <v>-0.62230999999999992</v>
      </c>
      <c r="H299">
        <f t="shared" si="22"/>
        <v>-0.62230999999999992</v>
      </c>
      <c r="I299" s="5">
        <f t="shared" si="23"/>
        <v>1938</v>
      </c>
      <c r="J299">
        <f>+H299+CF*F299*(1+($I299-1850)*slope/1000)+F299*hQc*COS(2*PI()*$I299/qbo+$L299)+F299*hQs*SIN(2*PI()*$I299/qbo+$L299)+F299*hCs*SIN(2*PI()*$I299/cw)+F299*hCc*COS(2*PI()*$I299/cw) +mix*F299*(hQc*COS(2*PI()*$I299/qbo+$L299)+hQs*SIN(2*PI()*$I299/qbo+$L299))*(hCs*SIN(2*PI()*$I299/cw)+hCc*COS(2*PI()*$I299/cw))</f>
        <v>-0.48692139694326919</v>
      </c>
      <c r="K299">
        <f>fQc*COS(2*PI()*$I299/qbo+$L299)+fQs*SIN(2*PI()*$I299/qbo+$L299)+fCs*SIN(2*PI()*$I299/cw)+fCc*COS(2*PI()*$I299/cw)</f>
        <v>-1.4348175167120605</v>
      </c>
      <c r="L299">
        <f>+QMA*COS(2*PI()*$I299/QM+QMP)</f>
        <v>0.8343106364695706</v>
      </c>
      <c r="P299">
        <f t="shared" si="24"/>
        <v>1</v>
      </c>
    </row>
    <row r="300" spans="1:16" x14ac:dyDescent="0.25">
      <c r="A300" s="1"/>
      <c r="B300" s="4">
        <v>14246</v>
      </c>
      <c r="C300" t="s">
        <v>24</v>
      </c>
      <c r="D300" s="3">
        <v>12.083333333333334</v>
      </c>
      <c r="E300" s="5">
        <f t="shared" si="20"/>
        <v>1939</v>
      </c>
      <c r="F300">
        <v>-0.66230999999999995</v>
      </c>
      <c r="G300">
        <f t="shared" si="21"/>
        <v>2.4085000000000001</v>
      </c>
      <c r="H300">
        <f t="shared" si="22"/>
        <v>2.4085000000000001</v>
      </c>
      <c r="I300" s="5">
        <f t="shared" si="23"/>
        <v>1939</v>
      </c>
      <c r="J300">
        <f>+H300+CF*F300*(1+($I300-1850)*slope/1000)+F300*hQc*COS(2*PI()*$I300/qbo+$L300)+F300*hQs*SIN(2*PI()*$I300/qbo+$L300)+F300*hCs*SIN(2*PI()*$I300/cw)+F300*hCc*COS(2*PI()*$I300/cw) +mix*F300*(hQc*COS(2*PI()*$I300/qbo+$L300)+hQs*SIN(2*PI()*$I300/qbo+$L300))*(hCs*SIN(2*PI()*$I300/cw)+hCc*COS(2*PI()*$I300/cw))</f>
        <v>1.169886317264653</v>
      </c>
      <c r="K300">
        <f>fQc*COS(2*PI()*$I300/qbo+$L300)+fQs*SIN(2*PI()*$I300/qbo+$L300)+fCs*SIN(2*PI()*$I300/cw)+fCc*COS(2*PI()*$I300/cw)</f>
        <v>3.0958172724160051</v>
      </c>
      <c r="L300">
        <f>+QMA*COS(2*PI()*$I300/QM+QMP)</f>
        <v>0.85296382431994</v>
      </c>
      <c r="P300">
        <f t="shared" si="24"/>
        <v>1</v>
      </c>
    </row>
    <row r="301" spans="1:16" x14ac:dyDescent="0.25">
      <c r="A301" s="1"/>
      <c r="B301" s="4">
        <v>14611</v>
      </c>
      <c r="C301" t="s">
        <v>24</v>
      </c>
      <c r="D301" s="3">
        <v>12.125</v>
      </c>
      <c r="E301" s="5">
        <f t="shared" si="20"/>
        <v>1940</v>
      </c>
      <c r="F301">
        <v>0.88392999999999999</v>
      </c>
      <c r="G301">
        <f t="shared" si="21"/>
        <v>0.60088000000000008</v>
      </c>
      <c r="H301">
        <f t="shared" si="22"/>
        <v>0.60088000000000008</v>
      </c>
      <c r="I301" s="5">
        <f t="shared" si="23"/>
        <v>1940</v>
      </c>
      <c r="J301">
        <f>+H301+CF*F301*(1+($I301-1850)*slope/1000)+F301*hQc*COS(2*PI()*$I301/qbo+$L301)+F301*hQs*SIN(2*PI()*$I301/qbo+$L301)+F301*hCs*SIN(2*PI()*$I301/cw)+F301*hCc*COS(2*PI()*$I301/cw) +mix*F301*(hQc*COS(2*PI()*$I301/qbo+$L301)+hQs*SIN(2*PI()*$I301/qbo+$L301))*(hCs*SIN(2*PI()*$I301/cw)+hCc*COS(2*PI()*$I301/cw))</f>
        <v>-0.70425542161496235</v>
      </c>
      <c r="K301">
        <f>fQc*COS(2*PI()*$I301/qbo+$L301)+fQs*SIN(2*PI()*$I301/qbo+$L301)+fCs*SIN(2*PI()*$I301/cw)+fCc*COS(2*PI()*$I301/cw)</f>
        <v>-4.438420712958961</v>
      </c>
      <c r="L301">
        <f>+QMA*COS(2*PI()*$I301/QM+QMP)</f>
        <v>0.85679597437366894</v>
      </c>
      <c r="P301">
        <f t="shared" si="24"/>
        <v>1</v>
      </c>
    </row>
    <row r="302" spans="1:16" x14ac:dyDescent="0.25">
      <c r="A302" s="1"/>
      <c r="B302" s="4">
        <v>14977</v>
      </c>
      <c r="C302" t="s">
        <v>24</v>
      </c>
      <c r="D302" s="3">
        <v>12.166666666666666</v>
      </c>
      <c r="E302" s="5">
        <f t="shared" si="20"/>
        <v>1941</v>
      </c>
      <c r="F302">
        <v>3.03105</v>
      </c>
      <c r="G302">
        <f t="shared" si="21"/>
        <v>-2.4285700000000001</v>
      </c>
      <c r="H302">
        <f t="shared" si="22"/>
        <v>-2.4285700000000001</v>
      </c>
      <c r="I302" s="5">
        <f t="shared" si="23"/>
        <v>1941</v>
      </c>
      <c r="J302">
        <f>+H302+CF*F302*(1+($I302-1850)*slope/1000)+F302*hQc*COS(2*PI()*$I302/qbo+$L302)+F302*hQs*SIN(2*PI()*$I302/qbo+$L302)+F302*hCs*SIN(2*PI()*$I302/cw)+F302*hCc*COS(2*PI()*$I302/cw) +mix*F302*(hQc*COS(2*PI()*$I302/qbo+$L302)+hQs*SIN(2*PI()*$I302/qbo+$L302))*(hCs*SIN(2*PI()*$I302/cw)+hCc*COS(2*PI()*$I302/cw))</f>
        <v>7.4257231980643397</v>
      </c>
      <c r="K302">
        <f>fQc*COS(2*PI()*$I302/qbo+$L302)+fQs*SIN(2*PI()*$I302/qbo+$L302)+fCs*SIN(2*PI()*$I302/cw)+fCc*COS(2*PI()*$I302/cw)</f>
        <v>5.197080742451555</v>
      </c>
      <c r="L302">
        <f>+QMA*COS(2*PI()*$I302/QM+QMP)</f>
        <v>0.84574049946824659</v>
      </c>
      <c r="P302">
        <f t="shared" si="24"/>
        <v>1</v>
      </c>
    </row>
    <row r="303" spans="1:16" x14ac:dyDescent="0.25">
      <c r="A303" s="1"/>
      <c r="B303" s="4">
        <v>15342</v>
      </c>
      <c r="C303" t="s">
        <v>24</v>
      </c>
      <c r="D303" s="3">
        <v>12.208333333333334</v>
      </c>
      <c r="E303" s="5">
        <f t="shared" si="20"/>
        <v>1942</v>
      </c>
      <c r="F303">
        <v>2.7496</v>
      </c>
      <c r="G303">
        <f t="shared" si="21"/>
        <v>-2.8032699999999999</v>
      </c>
      <c r="H303">
        <f t="shared" si="22"/>
        <v>-2.8032699999999999</v>
      </c>
      <c r="I303" s="5">
        <f t="shared" si="23"/>
        <v>1942</v>
      </c>
      <c r="J303">
        <f>+H303+CF*F303*(1+($I303-1850)*slope/1000)+F303*hQc*COS(2*PI()*$I303/qbo+$L303)+F303*hQs*SIN(2*PI()*$I303/qbo+$L303)+F303*hCs*SIN(2*PI()*$I303/cw)+F303*hCc*COS(2*PI()*$I303/cw) +mix*F303*(hQc*COS(2*PI()*$I303/qbo+$L303)+hQs*SIN(2*PI()*$I303/qbo+$L303))*(hCs*SIN(2*PI()*$I303/cw)+hCc*COS(2*PI()*$I303/cw))</f>
        <v>-2.1497403940239086</v>
      </c>
      <c r="K303">
        <f>fQc*COS(2*PI()*$I303/qbo+$L303)+fQs*SIN(2*PI()*$I303/qbo+$L303)+fCs*SIN(2*PI()*$I303/cw)+fCc*COS(2*PI()*$I303/cw)</f>
        <v>-4.1613476062572321</v>
      </c>
      <c r="L303">
        <f>+QMA*COS(2*PI()*$I303/QM+QMP)</f>
        <v>0.81998949873702054</v>
      </c>
      <c r="P303">
        <f t="shared" si="24"/>
        <v>1</v>
      </c>
    </row>
    <row r="304" spans="1:16" x14ac:dyDescent="0.25">
      <c r="A304" s="1"/>
      <c r="B304" s="4">
        <v>15707</v>
      </c>
      <c r="C304" t="s">
        <v>24</v>
      </c>
      <c r="D304" s="3">
        <v>12.25</v>
      </c>
      <c r="E304" s="5">
        <f t="shared" si="20"/>
        <v>1943</v>
      </c>
      <c r="F304">
        <v>-0.33511999999999997</v>
      </c>
      <c r="G304">
        <f t="shared" si="21"/>
        <v>4.7054</v>
      </c>
      <c r="H304">
        <f t="shared" si="22"/>
        <v>4.7054</v>
      </c>
      <c r="I304" s="5">
        <f t="shared" si="23"/>
        <v>1943</v>
      </c>
      <c r="J304">
        <f>+H304+CF*F304*(1+($I304-1850)*slope/1000)+F304*hQc*COS(2*PI()*$I304/qbo+$L304)+F304*hQs*SIN(2*PI()*$I304/qbo+$L304)+F304*hCs*SIN(2*PI()*$I304/cw)+F304*hCc*COS(2*PI()*$I304/cw) +mix*F304*(hQc*COS(2*PI()*$I304/qbo+$L304)+hQs*SIN(2*PI()*$I304/qbo+$L304))*(hCs*SIN(2*PI()*$I304/cw)+hCc*COS(2*PI()*$I304/cw))</f>
        <v>4.9778911969455377</v>
      </c>
      <c r="K304">
        <f>fQc*COS(2*PI()*$I304/qbo+$L304)+fQs*SIN(2*PI()*$I304/qbo+$L304)+fCs*SIN(2*PI()*$I304/cw)+fCc*COS(2*PI()*$I304/cw)</f>
        <v>2.846562417014709</v>
      </c>
      <c r="L304">
        <f>+QMA*COS(2*PI()*$I304/QM+QMP)</f>
        <v>0.77999041970856631</v>
      </c>
      <c r="P304">
        <f t="shared" si="24"/>
        <v>1</v>
      </c>
    </row>
    <row r="305" spans="1:16" x14ac:dyDescent="0.25">
      <c r="A305" s="1"/>
      <c r="B305" s="4">
        <v>16072</v>
      </c>
      <c r="C305" t="s">
        <v>24</v>
      </c>
      <c r="D305" s="3">
        <v>12.291666666666666</v>
      </c>
      <c r="E305" s="5">
        <f t="shared" si="20"/>
        <v>1944</v>
      </c>
      <c r="F305">
        <v>1.28556</v>
      </c>
      <c r="G305">
        <f t="shared" si="21"/>
        <v>-2.65632</v>
      </c>
      <c r="H305">
        <f t="shared" si="22"/>
        <v>-2.65632</v>
      </c>
      <c r="I305" s="5">
        <f t="shared" si="23"/>
        <v>1944</v>
      </c>
      <c r="J305">
        <f>+H305+CF*F305*(1+($I305-1850)*slope/1000)+F305*hQc*COS(2*PI()*$I305/qbo+$L305)+F305*hQs*SIN(2*PI()*$I305/qbo+$L305)+F305*hCs*SIN(2*PI()*$I305/cw)+F305*hCc*COS(2*PI()*$I305/cw) +mix*F305*(hQc*COS(2*PI()*$I305/qbo+$L305)+hQs*SIN(2*PI()*$I305/qbo+$L305))*(hCs*SIN(2*PI()*$I305/cw)+hCc*COS(2*PI()*$I305/cw))</f>
        <v>-4.1807924859262213</v>
      </c>
      <c r="K305">
        <f>fQc*COS(2*PI()*$I305/qbo+$L305)+fQs*SIN(2*PI()*$I305/qbo+$L305)+fCs*SIN(2*PI()*$I305/cw)+fCc*COS(2*PI()*$I305/cw)</f>
        <v>-0.3722313491616317</v>
      </c>
      <c r="L305">
        <f>+QMA*COS(2*PI()*$I305/QM+QMP)</f>
        <v>0.7264382834906723</v>
      </c>
      <c r="P305">
        <f t="shared" si="24"/>
        <v>1</v>
      </c>
    </row>
    <row r="306" spans="1:16" x14ac:dyDescent="0.25">
      <c r="A306" s="1"/>
      <c r="B306" s="4">
        <v>16438</v>
      </c>
      <c r="C306" t="s">
        <v>24</v>
      </c>
      <c r="D306" s="3">
        <v>12.333333333333334</v>
      </c>
      <c r="E306" s="5">
        <f t="shared" si="20"/>
        <v>1945</v>
      </c>
      <c r="F306">
        <v>0.24992</v>
      </c>
      <c r="G306">
        <f t="shared" si="21"/>
        <v>-0.86904999999999988</v>
      </c>
      <c r="H306">
        <f t="shared" si="22"/>
        <v>-0.86904999999999988</v>
      </c>
      <c r="I306" s="5">
        <f t="shared" si="23"/>
        <v>1945</v>
      </c>
      <c r="J306">
        <f>+H306+CF*F306*(1+($I306-1850)*slope/1000)+F306*hQc*COS(2*PI()*$I306/qbo+$L306)+F306*hQs*SIN(2*PI()*$I306/qbo+$L306)+F306*hCs*SIN(2*PI()*$I306/cw)+F306*hCc*COS(2*PI()*$I306/cw) +mix*F306*(hQc*COS(2*PI()*$I306/qbo+$L306)+hQs*SIN(2*PI()*$I306/qbo+$L306))*(hCs*SIN(2*PI()*$I306/cw)+hCc*COS(2*PI()*$I306/cw))</f>
        <v>-0.36610096517040636</v>
      </c>
      <c r="K306">
        <f>fQc*COS(2*PI()*$I306/qbo+$L306)+fQs*SIN(2*PI()*$I306/qbo+$L306)+fCs*SIN(2*PI()*$I306/cw)+fCc*COS(2*PI()*$I306/cw)</f>
        <v>-2.3294378372468567</v>
      </c>
      <c r="L306">
        <f>+QMA*COS(2*PI()*$I306/QM+QMP)</f>
        <v>0.66026360813391072</v>
      </c>
      <c r="P306">
        <f t="shared" si="24"/>
        <v>1</v>
      </c>
    </row>
    <row r="307" spans="1:16" x14ac:dyDescent="0.25">
      <c r="A307" s="1"/>
      <c r="B307" s="4">
        <v>16803</v>
      </c>
      <c r="C307" t="s">
        <v>24</v>
      </c>
      <c r="D307" s="3">
        <v>12.375</v>
      </c>
      <c r="E307" s="5">
        <f t="shared" si="20"/>
        <v>1946</v>
      </c>
      <c r="F307">
        <v>-1.6547700000000001</v>
      </c>
      <c r="G307">
        <f t="shared" si="21"/>
        <v>4.01302</v>
      </c>
      <c r="H307">
        <f t="shared" si="22"/>
        <v>4.01302</v>
      </c>
      <c r="I307" s="5">
        <f t="shared" si="23"/>
        <v>1946</v>
      </c>
      <c r="J307">
        <f>+H307+CF*F307*(1+($I307-1850)*slope/1000)+F307*hQc*COS(2*PI()*$I307/qbo+$L307)+F307*hQs*SIN(2*PI()*$I307/qbo+$L307)+F307*hCs*SIN(2*PI()*$I307/cw)+F307*hCc*COS(2*PI()*$I307/cw) +mix*F307*(hQc*COS(2*PI()*$I307/qbo+$L307)+hQs*SIN(2*PI()*$I307/qbo+$L307))*(hCs*SIN(2*PI()*$I307/cw)+hCc*COS(2*PI()*$I307/cw))</f>
        <v>9.2505173202985258</v>
      </c>
      <c r="K307">
        <f>fQc*COS(2*PI()*$I307/qbo+$L307)+fQs*SIN(2*PI()*$I307/qbo+$L307)+fCs*SIN(2*PI()*$I307/cw)+fCc*COS(2*PI()*$I307/cw)</f>
        <v>3.9216645525554821</v>
      </c>
      <c r="L307">
        <f>+QMA*COS(2*PI()*$I307/QM+QMP)</f>
        <v>0.5826162400170265</v>
      </c>
      <c r="P307">
        <f t="shared" si="24"/>
        <v>1</v>
      </c>
    </row>
    <row r="308" spans="1:16" x14ac:dyDescent="0.25">
      <c r="A308" s="1"/>
      <c r="B308" s="4">
        <v>17168</v>
      </c>
      <c r="C308" t="s">
        <v>24</v>
      </c>
      <c r="D308" s="3">
        <v>12.416666666666666</v>
      </c>
      <c r="E308" s="5">
        <f t="shared" si="20"/>
        <v>1947</v>
      </c>
      <c r="F308">
        <v>0.45356000000000002</v>
      </c>
      <c r="G308">
        <f t="shared" si="21"/>
        <v>-2.3007200000000001</v>
      </c>
      <c r="H308">
        <f t="shared" si="22"/>
        <v>-2.3007200000000001</v>
      </c>
      <c r="I308" s="5">
        <f t="shared" si="23"/>
        <v>1947</v>
      </c>
      <c r="J308">
        <f>+H308+CF*F308*(1+($I308-1850)*slope/1000)+F308*hQc*COS(2*PI()*$I308/qbo+$L308)+F308*hQs*SIN(2*PI()*$I308/qbo+$L308)+F308*hCs*SIN(2*PI()*$I308/cw)+F308*hCc*COS(2*PI()*$I308/cw) +mix*F308*(hQc*COS(2*PI()*$I308/qbo+$L308)+hQs*SIN(2*PI()*$I308/qbo+$L308))*(hCs*SIN(2*PI()*$I308/cw)+hCc*COS(2*PI()*$I308/cw))</f>
        <v>-1.9068180245580892</v>
      </c>
      <c r="K308">
        <f>fQc*COS(2*PI()*$I308/qbo+$L308)+fQs*SIN(2*PI()*$I308/qbo+$L308)+fCs*SIN(2*PI()*$I308/cw)+fCc*COS(2*PI()*$I308/cw)</f>
        <v>-5.1666434105026253</v>
      </c>
      <c r="L308">
        <f>+QMA*COS(2*PI()*$I308/QM+QMP)</f>
        <v>0.49484537419950475</v>
      </c>
      <c r="P308">
        <f t="shared" si="24"/>
        <v>1</v>
      </c>
    </row>
    <row r="309" spans="1:16" x14ac:dyDescent="0.25">
      <c r="A309" s="1"/>
      <c r="B309" s="4">
        <v>17533</v>
      </c>
      <c r="C309" t="s">
        <v>24</v>
      </c>
      <c r="D309" s="3">
        <v>12.458333333333334</v>
      </c>
      <c r="E309" s="5">
        <f t="shared" si="20"/>
        <v>1948</v>
      </c>
      <c r="F309">
        <v>0.26117000000000001</v>
      </c>
      <c r="G309">
        <f t="shared" si="21"/>
        <v>0.22387999999999997</v>
      </c>
      <c r="H309">
        <f t="shared" si="22"/>
        <v>0.22387999999999997</v>
      </c>
      <c r="I309" s="5">
        <f t="shared" si="23"/>
        <v>1948</v>
      </c>
      <c r="J309">
        <f>+H309+CF*F309*(1+($I309-1850)*slope/1000)+F309*hQc*COS(2*PI()*$I309/qbo+$L309)+F309*hQs*SIN(2*PI()*$I309/qbo+$L309)+F309*hCs*SIN(2*PI()*$I309/cw)+F309*hCc*COS(2*PI()*$I309/cw) +mix*F309*(hQc*COS(2*PI()*$I309/qbo+$L309)+hQs*SIN(2*PI()*$I309/qbo+$L309))*(hCs*SIN(2*PI()*$I309/cw)+hCc*COS(2*PI()*$I309/cw))</f>
        <v>0.75798549570470242</v>
      </c>
      <c r="K309">
        <f>fQc*COS(2*PI()*$I309/qbo+$L309)+fQs*SIN(2*PI()*$I309/qbo+$L309)+fCs*SIN(2*PI()*$I309/cw)+fCc*COS(2*PI()*$I309/cw)</f>
        <v>4.3532438398026301</v>
      </c>
      <c r="L309">
        <f>+QMA*COS(2*PI()*$I309/QM+QMP)</f>
        <v>0.39847611090561291</v>
      </c>
      <c r="P309">
        <f t="shared" si="24"/>
        <v>1</v>
      </c>
    </row>
    <row r="310" spans="1:16" x14ac:dyDescent="0.25">
      <c r="A310" s="1"/>
      <c r="B310" s="4">
        <v>17899</v>
      </c>
      <c r="C310" t="s">
        <v>24</v>
      </c>
      <c r="D310" s="3">
        <v>12.5</v>
      </c>
      <c r="E310" s="5">
        <f t="shared" si="20"/>
        <v>1949</v>
      </c>
      <c r="F310">
        <v>0.29265999999999998</v>
      </c>
      <c r="G310">
        <f t="shared" si="21"/>
        <v>-1.9669099999999999</v>
      </c>
      <c r="H310">
        <f t="shared" si="22"/>
        <v>-1.9669099999999999</v>
      </c>
      <c r="I310" s="5">
        <f t="shared" si="23"/>
        <v>1949</v>
      </c>
      <c r="J310">
        <f>+H310+CF*F310*(1+($I310-1850)*slope/1000)+F310*hQc*COS(2*PI()*$I310/qbo+$L310)+F310*hQs*SIN(2*PI()*$I310/qbo+$L310)+F310*hCs*SIN(2*PI()*$I310/cw)+F310*hCc*COS(2*PI()*$I310/cw) +mix*F310*(hQc*COS(2*PI()*$I310/qbo+$L310)+hQs*SIN(2*PI()*$I310/qbo+$L310))*(hCs*SIN(2*PI()*$I310/cw)+hCc*COS(2*PI()*$I310/cw))</f>
        <v>-1.8852101821758547</v>
      </c>
      <c r="K310">
        <f>fQc*COS(2*PI()*$I310/qbo+$L310)+fQs*SIN(2*PI()*$I310/qbo+$L310)+fCs*SIN(2*PI()*$I310/cw)+fCc*COS(2*PI()*$I310/cw)</f>
        <v>-2.3733959721859512</v>
      </c>
      <c r="L310">
        <f>+QMA*COS(2*PI()*$I310/QM+QMP)</f>
        <v>0.29518295549292739</v>
      </c>
      <c r="P310">
        <f t="shared" si="24"/>
        <v>1</v>
      </c>
    </row>
    <row r="311" spans="1:16" x14ac:dyDescent="0.25">
      <c r="A311" s="1"/>
      <c r="B311" s="4">
        <v>18264</v>
      </c>
      <c r="C311" t="s">
        <v>24</v>
      </c>
      <c r="D311" s="3">
        <v>12.541666666666666</v>
      </c>
      <c r="E311" s="5">
        <f t="shared" si="20"/>
        <v>1950</v>
      </c>
      <c r="F311">
        <v>-1.64276</v>
      </c>
      <c r="G311">
        <f t="shared" si="21"/>
        <v>1.5607</v>
      </c>
      <c r="H311">
        <f t="shared" si="22"/>
        <v>1.5607</v>
      </c>
      <c r="I311" s="5">
        <f t="shared" si="23"/>
        <v>1950</v>
      </c>
      <c r="J311">
        <f>+H311+CF*F311*(1+($I311-1850)*slope/1000)+F311*hQc*COS(2*PI()*$I311/qbo+$L311)+F311*hQs*SIN(2*PI()*$I311/qbo+$L311)+F311*hCs*SIN(2*PI()*$I311/cw)+F311*hCc*COS(2*PI()*$I311/cw) +mix*F311*(hQc*COS(2*PI()*$I311/qbo+$L311)+hQs*SIN(2*PI()*$I311/qbo+$L311))*(hCs*SIN(2*PI()*$I311/cw)+hCc*COS(2*PI()*$I311/cw))</f>
        <v>0.96288368203699193</v>
      </c>
      <c r="K311">
        <f>fQc*COS(2*PI()*$I311/qbo+$L311)+fQs*SIN(2*PI()*$I311/qbo+$L311)+fCs*SIN(2*PI()*$I311/cw)+fCc*COS(2*PI()*$I311/cw)</f>
        <v>8.5391927494937736E-3</v>
      </c>
      <c r="L311">
        <f>+QMA*COS(2*PI()*$I311/QM+QMP)</f>
        <v>0.18676072236844876</v>
      </c>
      <c r="P311">
        <f t="shared" si="24"/>
        <v>1</v>
      </c>
    </row>
    <row r="312" spans="1:16" x14ac:dyDescent="0.25">
      <c r="A312" s="1"/>
      <c r="B312" s="4">
        <v>18629</v>
      </c>
      <c r="C312" t="s">
        <v>24</v>
      </c>
      <c r="D312" s="3">
        <v>12.583333333333334</v>
      </c>
      <c r="E312" s="5">
        <f t="shared" si="20"/>
        <v>1951</v>
      </c>
      <c r="F312">
        <v>-2.0174799999999999</v>
      </c>
      <c r="G312">
        <f t="shared" si="21"/>
        <v>3.1111800000000001</v>
      </c>
      <c r="H312">
        <f t="shared" si="22"/>
        <v>3.1111800000000001</v>
      </c>
      <c r="I312" s="5">
        <f t="shared" si="23"/>
        <v>1951</v>
      </c>
      <c r="J312">
        <f>+H312+CF*F312*(1+($I312-1850)*slope/1000)+F312*hQc*COS(2*PI()*$I312/qbo+$L312)+F312*hQs*SIN(2*PI()*$I312/qbo+$L312)+F312*hCs*SIN(2*PI()*$I312/cw)+F312*hCc*COS(2*PI()*$I312/cw) +mix*F312*(hQc*COS(2*PI()*$I312/qbo+$L312)+hQs*SIN(2*PI()*$I312/qbo+$L312))*(hCs*SIN(2*PI()*$I312/cw)+hCc*COS(2*PI()*$I312/cw))</f>
        <v>2.2795294756658118</v>
      </c>
      <c r="K312">
        <f>fQc*COS(2*PI()*$I312/qbo+$L312)+fQs*SIN(2*PI()*$I312/qbo+$L312)+fCs*SIN(2*PI()*$I312/cw)+fCc*COS(2*PI()*$I312/cw)</f>
        <v>3.0477655257188503</v>
      </c>
      <c r="L312">
        <f>+QMA*COS(2*PI()*$I312/QM+QMP)</f>
        <v>7.5093348423002262E-2</v>
      </c>
      <c r="P312">
        <f t="shared" si="24"/>
        <v>1</v>
      </c>
    </row>
    <row r="313" spans="1:16" x14ac:dyDescent="0.25">
      <c r="A313" s="1"/>
      <c r="B313" s="4">
        <v>18994</v>
      </c>
      <c r="C313" t="s">
        <v>24</v>
      </c>
      <c r="D313" s="3">
        <v>12.625</v>
      </c>
      <c r="E313" s="5">
        <f t="shared" si="20"/>
        <v>1952</v>
      </c>
      <c r="F313">
        <v>0.71897999999999995</v>
      </c>
      <c r="G313">
        <f t="shared" si="21"/>
        <v>-4.4628800000000002</v>
      </c>
      <c r="H313">
        <f t="shared" si="22"/>
        <v>-4.4628800000000002</v>
      </c>
      <c r="I313" s="5">
        <f t="shared" si="23"/>
        <v>1952</v>
      </c>
      <c r="J313">
        <f>+H313+CF*F313*(1+($I313-1850)*slope/1000)+F313*hQc*COS(2*PI()*$I313/qbo+$L313)+F313*hQs*SIN(2*PI()*$I313/qbo+$L313)+F313*hCs*SIN(2*PI()*$I313/cw)+F313*hCc*COS(2*PI()*$I313/cw) +mix*F313*(hQc*COS(2*PI()*$I313/qbo+$L313)+hQs*SIN(2*PI()*$I313/qbo+$L313))*(hCs*SIN(2*PI()*$I313/cw)+hCc*COS(2*PI()*$I313/cw))</f>
        <v>-2.9266351720962671</v>
      </c>
      <c r="K313">
        <f>fQc*COS(2*PI()*$I313/qbo+$L313)+fQs*SIN(2*PI()*$I313/qbo+$L313)+fCs*SIN(2*PI()*$I313/cw)+fCc*COS(2*PI()*$I313/cw)</f>
        <v>-4.4931011081462859</v>
      </c>
      <c r="L313">
        <f>+QMA*COS(2*PI()*$I313/QM+QMP)</f>
        <v>-3.7878842120242708E-2</v>
      </c>
      <c r="P313">
        <f t="shared" si="24"/>
        <v>1</v>
      </c>
    </row>
    <row r="314" spans="1:16" x14ac:dyDescent="0.25">
      <c r="A314" s="1"/>
      <c r="B314" s="4">
        <v>19360</v>
      </c>
      <c r="C314" t="s">
        <v>24</v>
      </c>
      <c r="D314" s="3">
        <v>12.666666666666666</v>
      </c>
      <c r="E314" s="5">
        <f t="shared" si="20"/>
        <v>1953</v>
      </c>
      <c r="F314">
        <v>-1.0074399999999999</v>
      </c>
      <c r="G314">
        <f t="shared" si="21"/>
        <v>1.6179499999999998</v>
      </c>
      <c r="H314">
        <f t="shared" si="22"/>
        <v>1.6179499999999998</v>
      </c>
      <c r="I314" s="5">
        <f t="shared" si="23"/>
        <v>1953</v>
      </c>
      <c r="J314">
        <f>+H314+CF*F314*(1+($I314-1850)*slope/1000)+F314*hQc*COS(2*PI()*$I314/qbo+$L314)+F314*hQs*SIN(2*PI()*$I314/qbo+$L314)+F314*hCs*SIN(2*PI()*$I314/cw)+F314*hCc*COS(2*PI()*$I314/cw) +mix*F314*(hQc*COS(2*PI()*$I314/qbo+$L314)+hQs*SIN(2*PI()*$I314/qbo+$L314))*(hCs*SIN(2*PI()*$I314/cw)+hCc*COS(2*PI()*$I314/cw))</f>
        <v>6.1689763892304077</v>
      </c>
      <c r="K314">
        <f>fQc*COS(2*PI()*$I314/qbo+$L314)+fQs*SIN(2*PI()*$I314/qbo+$L314)+fCs*SIN(2*PI()*$I314/cw)+fCc*COS(2*PI()*$I314/cw)</f>
        <v>4.8844835206652917</v>
      </c>
      <c r="L314">
        <f>+QMA*COS(2*PI()*$I314/QM+QMP)</f>
        <v>-0.15019285263902446</v>
      </c>
      <c r="P314">
        <f t="shared" si="24"/>
        <v>1</v>
      </c>
    </row>
    <row r="315" spans="1:16" x14ac:dyDescent="0.25">
      <c r="A315" s="1"/>
      <c r="B315" s="4">
        <v>19725</v>
      </c>
      <c r="C315" t="s">
        <v>24</v>
      </c>
      <c r="D315" s="3">
        <v>12.708333333333334</v>
      </c>
      <c r="E315" s="5">
        <f t="shared" si="20"/>
        <v>1954</v>
      </c>
      <c r="F315">
        <v>-1.11591</v>
      </c>
      <c r="G315">
        <f t="shared" si="21"/>
        <v>-2.1549999999999958E-2</v>
      </c>
      <c r="H315">
        <f t="shared" si="22"/>
        <v>-2.1549999999999958E-2</v>
      </c>
      <c r="I315" s="5">
        <f t="shared" si="23"/>
        <v>1954</v>
      </c>
      <c r="J315">
        <f>+H315+CF*F315*(1+($I315-1850)*slope/1000)+F315*hQc*COS(2*PI()*$I315/qbo+$L315)+F315*hQs*SIN(2*PI()*$I315/qbo+$L315)+F315*hCs*SIN(2*PI()*$I315/cw)+F315*hCc*COS(2*PI()*$I315/cw) +mix*F315*(hQc*COS(2*PI()*$I315/qbo+$L315)+hQs*SIN(2*PI()*$I315/qbo+$L315))*(hCs*SIN(2*PI()*$I315/cw)+hCc*COS(2*PI()*$I315/cw))</f>
        <v>-1.9698920154503372</v>
      </c>
      <c r="K315">
        <f>fQc*COS(2*PI()*$I315/qbo+$L315)+fQs*SIN(2*PI()*$I315/qbo+$L315)+fCs*SIN(2*PI()*$I315/cw)+fCc*COS(2*PI()*$I315/cw)</f>
        <v>-3.9212504265128851</v>
      </c>
      <c r="L315">
        <f>+QMA*COS(2*PI()*$I315/QM+QMP)</f>
        <v>-0.25989712299964313</v>
      </c>
      <c r="P315">
        <f t="shared" si="24"/>
        <v>1</v>
      </c>
    </row>
    <row r="316" spans="1:16" x14ac:dyDescent="0.25">
      <c r="A316" s="1"/>
      <c r="B316" s="4">
        <v>20090</v>
      </c>
      <c r="C316" t="s">
        <v>24</v>
      </c>
      <c r="D316" s="3">
        <v>12.75</v>
      </c>
      <c r="E316" s="5">
        <f t="shared" si="20"/>
        <v>1955</v>
      </c>
      <c r="F316">
        <v>-1.24593</v>
      </c>
      <c r="G316">
        <f t="shared" si="21"/>
        <v>-0.64243000000000006</v>
      </c>
      <c r="H316">
        <f t="shared" si="22"/>
        <v>-0.64243000000000006</v>
      </c>
      <c r="I316" s="5">
        <f t="shared" si="23"/>
        <v>1955</v>
      </c>
      <c r="J316">
        <f>+H316+CF*F316*(1+($I316-1850)*slope/1000)+F316*hQc*COS(2*PI()*$I316/qbo+$L316)+F316*hQs*SIN(2*PI()*$I316/qbo+$L316)+F316*hCs*SIN(2*PI()*$I316/cw)+F316*hCc*COS(2*PI()*$I316/cw) +mix*F316*(hQc*COS(2*PI()*$I316/qbo+$L316)+hQs*SIN(2*PI()*$I316/qbo+$L316))*(hCs*SIN(2*PI()*$I316/cw)+hCc*COS(2*PI()*$I316/cw))</f>
        <v>9.2700269360450616E-3</v>
      </c>
      <c r="K316">
        <f>fQc*COS(2*PI()*$I316/qbo+$L316)+fQs*SIN(2*PI()*$I316/qbo+$L316)+fCs*SIN(2*PI()*$I316/cw)+fCc*COS(2*PI()*$I316/cw)</f>
        <v>1.2022399249409741</v>
      </c>
      <c r="L316">
        <f>+QMA*COS(2*PI()*$I316/QM+QMP)</f>
        <v>-0.36508543972501067</v>
      </c>
      <c r="P316">
        <f t="shared" si="24"/>
        <v>1</v>
      </c>
    </row>
    <row r="317" spans="1:16" x14ac:dyDescent="0.25">
      <c r="A317" s="1"/>
      <c r="B317" s="4">
        <v>20455</v>
      </c>
      <c r="C317" t="s">
        <v>24</v>
      </c>
      <c r="D317" s="3">
        <v>12.791666666666666</v>
      </c>
      <c r="E317" s="5">
        <f t="shared" si="20"/>
        <v>1956</v>
      </c>
      <c r="F317">
        <v>-2.0183800000000001</v>
      </c>
      <c r="G317">
        <f t="shared" si="21"/>
        <v>2.0367800000000003</v>
      </c>
      <c r="H317">
        <f t="shared" si="22"/>
        <v>2.0367800000000003</v>
      </c>
      <c r="I317" s="5">
        <f t="shared" si="23"/>
        <v>1956</v>
      </c>
      <c r="J317">
        <f>+H317+CF*F317*(1+($I317-1850)*slope/1000)+F317*hQc*COS(2*PI()*$I317/qbo+$L317)+F317*hQs*SIN(2*PI()*$I317/qbo+$L317)+F317*hCs*SIN(2*PI()*$I317/cw)+F317*hCc*COS(2*PI()*$I317/cw) +mix*F317*(hQc*COS(2*PI()*$I317/qbo+$L317)+hQs*SIN(2*PI()*$I317/qbo+$L317))*(hCs*SIN(2*PI()*$I317/cw)+hCc*COS(2*PI()*$I317/cw))</f>
        <v>1.7423790316840653</v>
      </c>
      <c r="K317">
        <f>fQc*COS(2*PI()*$I317/qbo+$L317)+fQs*SIN(2*PI()*$I317/qbo+$L317)+fCs*SIN(2*PI()*$I317/cw)+fCc*COS(2*PI()*$I317/cw)</f>
        <v>1.1323557645885876</v>
      </c>
      <c r="L317">
        <f>+QMA*COS(2*PI()*$I317/QM+QMP)</f>
        <v>-0.46393005822200722</v>
      </c>
      <c r="P317">
        <f t="shared" si="24"/>
        <v>1</v>
      </c>
    </row>
    <row r="318" spans="1:16" x14ac:dyDescent="0.25">
      <c r="A318" s="1"/>
      <c r="B318" s="4">
        <v>20821</v>
      </c>
      <c r="C318" t="s">
        <v>24</v>
      </c>
      <c r="D318" s="3">
        <v>12.833333333333334</v>
      </c>
      <c r="E318" s="5">
        <f t="shared" si="20"/>
        <v>1957</v>
      </c>
      <c r="F318">
        <v>-0.75405</v>
      </c>
      <c r="G318">
        <f t="shared" si="21"/>
        <v>1.1063399999999999</v>
      </c>
      <c r="H318">
        <f t="shared" si="22"/>
        <v>1.1063399999999999</v>
      </c>
      <c r="I318" s="5">
        <f t="shared" si="23"/>
        <v>1957</v>
      </c>
      <c r="J318">
        <f>+H318+CF*F318*(1+($I318-1850)*slope/1000)+F318*hQc*COS(2*PI()*$I318/qbo+$L318)+F318*hQs*SIN(2*PI()*$I318/qbo+$L318)+F318*hCs*SIN(2*PI()*$I318/cw)+F318*hCc*COS(2*PI()*$I318/cw) +mix*F318*(hQc*COS(2*PI()*$I318/qbo+$L318)+hQs*SIN(2*PI()*$I318/qbo+$L318))*(hCs*SIN(2*PI()*$I318/cw)+hCc*COS(2*PI()*$I318/cw))</f>
        <v>1.7256442036631283</v>
      </c>
      <c r="K318">
        <f>fQc*COS(2*PI()*$I318/qbo+$L318)+fQs*SIN(2*PI()*$I318/qbo+$L318)+fCs*SIN(2*PI()*$I318/cw)+fCc*COS(2*PI()*$I318/cw)</f>
        <v>-3.6202865259188513</v>
      </c>
      <c r="L318">
        <f>+QMA*COS(2*PI()*$I318/QM+QMP)</f>
        <v>-0.55471346153985912</v>
      </c>
      <c r="P318">
        <f t="shared" si="24"/>
        <v>0</v>
      </c>
    </row>
    <row r="319" spans="1:16" x14ac:dyDescent="0.25">
      <c r="A319" s="1"/>
      <c r="B319" s="4">
        <v>21186</v>
      </c>
      <c r="C319" t="s">
        <v>24</v>
      </c>
      <c r="D319" s="3">
        <v>12.875</v>
      </c>
      <c r="E319" s="5">
        <f t="shared" si="20"/>
        <v>1958</v>
      </c>
      <c r="F319">
        <v>1.6166199999999999</v>
      </c>
      <c r="G319">
        <f t="shared" si="21"/>
        <v>-4.0720499999999999</v>
      </c>
      <c r="H319">
        <f t="shared" si="22"/>
        <v>-4.0720499999999999</v>
      </c>
      <c r="I319" s="5">
        <f t="shared" si="23"/>
        <v>1958</v>
      </c>
      <c r="J319">
        <f>+H319+CF*F319*(1+($I319-1850)*slope/1000)+F319*hQc*COS(2*PI()*$I319/qbo+$L319)+F319*hQs*SIN(2*PI()*$I319/qbo+$L319)+F319*hCs*SIN(2*PI()*$I319/cw)+F319*hCc*COS(2*PI()*$I319/cw) +mix*F319*(hQc*COS(2*PI()*$I319/qbo+$L319)+hQs*SIN(2*PI()*$I319/qbo+$L319))*(hCs*SIN(2*PI()*$I319/cw)+hCc*COS(2*PI()*$I319/cw))</f>
        <v>1.9978045529051958</v>
      </c>
      <c r="K319">
        <f>fQc*COS(2*PI()*$I319/qbo+$L319)+fQs*SIN(2*PI()*$I319/qbo+$L319)+fCs*SIN(2*PI()*$I319/cw)+fCc*COS(2*PI()*$I319/cw)</f>
        <v>4.9925517163937423</v>
      </c>
      <c r="L319">
        <f>+QMA*COS(2*PI()*$I319/QM+QMP)</f>
        <v>-0.63585820382030622</v>
      </c>
      <c r="P319">
        <f t="shared" si="24"/>
        <v>1</v>
      </c>
    </row>
    <row r="320" spans="1:16" x14ac:dyDescent="0.25">
      <c r="A320" s="1"/>
      <c r="B320" s="4">
        <v>21551</v>
      </c>
      <c r="C320" t="s">
        <v>24</v>
      </c>
      <c r="D320" s="3">
        <v>12.916666666666666</v>
      </c>
      <c r="E320" s="5">
        <f t="shared" si="20"/>
        <v>1959</v>
      </c>
      <c r="F320">
        <v>-8.4760000000000002E-2</v>
      </c>
      <c r="G320">
        <f t="shared" si="21"/>
        <v>1.8968999999999998</v>
      </c>
      <c r="H320">
        <f t="shared" si="22"/>
        <v>1.8968999999999998</v>
      </c>
      <c r="I320" s="5">
        <f t="shared" si="23"/>
        <v>1959</v>
      </c>
      <c r="J320">
        <f>+H320+CF*F320*(1+($I320-1850)*slope/1000)+F320*hQc*COS(2*PI()*$I320/qbo+$L320)+F320*hQs*SIN(2*PI()*$I320/qbo+$L320)+F320*hCs*SIN(2*PI()*$I320/cw)+F320*hCc*COS(2*PI()*$I320/cw) +mix*F320*(hQc*COS(2*PI()*$I320/qbo+$L320)+hQs*SIN(2*PI()*$I320/qbo+$L320))*(hCs*SIN(2*PI()*$I320/cw)+hCc*COS(2*PI()*$I320/cw))</f>
        <v>1.9678158726797876</v>
      </c>
      <c r="K320">
        <f>fQc*COS(2*PI()*$I320/qbo+$L320)+fQs*SIN(2*PI()*$I320/qbo+$L320)+fCs*SIN(2*PI()*$I320/cw)+fCc*COS(2*PI()*$I320/cw)</f>
        <v>-4.5732422790748668</v>
      </c>
      <c r="L320">
        <f>+QMA*COS(2*PI()*$I320/QM+QMP)</f>
        <v>-0.70595431988303181</v>
      </c>
      <c r="P320">
        <f t="shared" si="24"/>
        <v>0</v>
      </c>
    </row>
    <row r="321" spans="1:16" x14ac:dyDescent="0.25">
      <c r="A321" s="1"/>
      <c r="B321" s="4">
        <v>21916</v>
      </c>
      <c r="C321" t="s">
        <v>24</v>
      </c>
      <c r="D321" s="3">
        <v>12.958333333333334</v>
      </c>
      <c r="E321" s="5">
        <f t="shared" si="20"/>
        <v>1960</v>
      </c>
      <c r="F321">
        <v>0.11076</v>
      </c>
      <c r="G321">
        <f t="shared" si="21"/>
        <v>-1.1359599999999999</v>
      </c>
      <c r="H321">
        <f t="shared" si="22"/>
        <v>-1.1359599999999999</v>
      </c>
      <c r="I321" s="5">
        <f t="shared" si="23"/>
        <v>1960</v>
      </c>
      <c r="J321">
        <f>+H321+CF*F321*(1+($I321-1850)*slope/1000)+F321*hQc*COS(2*PI()*$I321/qbo+$L321)+F321*hQs*SIN(2*PI()*$I321/qbo+$L321)+F321*hCs*SIN(2*PI()*$I321/cw)+F321*hCc*COS(2*PI()*$I321/cw) +mix*F321*(hQc*COS(2*PI()*$I321/qbo+$L321)+hQs*SIN(2*PI()*$I321/qbo+$L321))*(hCs*SIN(2*PI()*$I321/cw)+hCc*COS(2*PI()*$I321/cw))</f>
        <v>-1.1311055506587899</v>
      </c>
      <c r="K321">
        <f>fQc*COS(2*PI()*$I321/qbo+$L321)+fQs*SIN(2*PI()*$I321/qbo+$L321)+fCs*SIN(2*PI()*$I321/cw)+fCc*COS(2*PI()*$I321/cw)</f>
        <v>3.6857142307321578</v>
      </c>
      <c r="L321">
        <f>+QMA*COS(2*PI()*$I321/QM+QMP)</f>
        <v>-0.76378382467885719</v>
      </c>
      <c r="P321">
        <f t="shared" si="24"/>
        <v>0</v>
      </c>
    </row>
    <row r="322" spans="1:16" x14ac:dyDescent="0.25">
      <c r="A322" s="1"/>
      <c r="B322" s="4">
        <v>22282</v>
      </c>
      <c r="C322" t="s">
        <v>24</v>
      </c>
      <c r="D322" s="3">
        <v>13</v>
      </c>
      <c r="E322" s="5">
        <f t="shared" si="20"/>
        <v>1961</v>
      </c>
      <c r="F322">
        <v>-0.82967999999999997</v>
      </c>
      <c r="G322">
        <f t="shared" si="21"/>
        <v>1.8454699999999999</v>
      </c>
      <c r="H322">
        <f t="shared" si="22"/>
        <v>1.8454699999999999</v>
      </c>
      <c r="I322" s="5">
        <f t="shared" si="23"/>
        <v>1961</v>
      </c>
      <c r="J322">
        <f>+H322+CF*F322*(1+($I322-1850)*slope/1000)+F322*hQc*COS(2*PI()*$I322/qbo+$L322)+F322*hQs*SIN(2*PI()*$I322/qbo+$L322)+F322*hCs*SIN(2*PI()*$I322/cw)+F322*hCc*COS(2*PI()*$I322/cw) +mix*F322*(hQc*COS(2*PI()*$I322/qbo+$L322)+hQs*SIN(2*PI()*$I322/qbo+$L322))*(hCs*SIN(2*PI()*$I322/cw)+hCc*COS(2*PI()*$I322/cw))</f>
        <v>2.0623586306555377</v>
      </c>
      <c r="K322">
        <f>fQc*COS(2*PI()*$I322/qbo+$L322)+fQs*SIN(2*PI()*$I322/qbo+$L322)+fCs*SIN(2*PI()*$I322/cw)+fCc*COS(2*PI()*$I322/cw)</f>
        <v>-1.2742091670230926</v>
      </c>
      <c r="L322">
        <f>+QMA*COS(2*PI()*$I322/QM+QMP)</f>
        <v>-0.80834187690979276</v>
      </c>
      <c r="P322">
        <f t="shared" si="24"/>
        <v>0</v>
      </c>
    </row>
    <row r="323" spans="1:16" x14ac:dyDescent="0.25">
      <c r="A323" s="1"/>
      <c r="B323" s="4">
        <v>22647</v>
      </c>
      <c r="C323" t="s">
        <v>24</v>
      </c>
      <c r="D323" s="3">
        <v>13.041666666666666</v>
      </c>
      <c r="E323" s="5">
        <f t="shared" si="20"/>
        <v>1962</v>
      </c>
      <c r="F323">
        <v>7.535E-2</v>
      </c>
      <c r="G323">
        <f t="shared" si="21"/>
        <v>-1.6600299999999999</v>
      </c>
      <c r="H323">
        <f t="shared" si="22"/>
        <v>-1.6600299999999999</v>
      </c>
      <c r="I323" s="5">
        <f t="shared" si="23"/>
        <v>1962</v>
      </c>
      <c r="J323">
        <f>+H323+CF*F323*(1+($I323-1850)*slope/1000)+F323*hQc*COS(2*PI()*$I323/qbo+$L323)+F323*hQs*SIN(2*PI()*$I323/qbo+$L323)+F323*hCs*SIN(2*PI()*$I323/cw)+F323*hCc*COS(2*PI()*$I323/cw) +mix*F323*(hQc*COS(2*PI()*$I323/qbo+$L323)+hQs*SIN(2*PI()*$I323/qbo+$L323))*(hCs*SIN(2*PI()*$I323/cw)+hCc*COS(2*PI()*$I323/cw))</f>
        <v>-1.5860524437537542</v>
      </c>
      <c r="K323">
        <f>fQc*COS(2*PI()*$I323/qbo+$L323)+fQs*SIN(2*PI()*$I323/qbo+$L323)+fCs*SIN(2*PI()*$I323/cw)+fCc*COS(2*PI()*$I323/cw)</f>
        <v>-1.0977971724312694</v>
      </c>
      <c r="L323">
        <f>+QMA*COS(2*PI()*$I323/QM+QMP)</f>
        <v>-0.83885423907896139</v>
      </c>
      <c r="P323">
        <f t="shared" si="24"/>
        <v>1</v>
      </c>
    </row>
    <row r="324" spans="1:16" x14ac:dyDescent="0.25">
      <c r="A324" s="1"/>
      <c r="B324" s="4">
        <v>23012</v>
      </c>
      <c r="C324" t="s">
        <v>24</v>
      </c>
      <c r="D324" s="3">
        <v>13.083333333333334</v>
      </c>
      <c r="E324" s="5">
        <f t="shared" si="20"/>
        <v>1963</v>
      </c>
      <c r="F324">
        <v>-0.67964999999999998</v>
      </c>
      <c r="G324">
        <f t="shared" si="21"/>
        <v>2.6599699999999999</v>
      </c>
      <c r="H324">
        <f t="shared" si="22"/>
        <v>2.6599699999999999</v>
      </c>
      <c r="I324" s="5">
        <f t="shared" si="23"/>
        <v>1963</v>
      </c>
      <c r="J324">
        <f>+H324+CF*F324*(1+($I324-1850)*slope/1000)+F324*hQc*COS(2*PI()*$I324/qbo+$L324)+F324*hQs*SIN(2*PI()*$I324/qbo+$L324)+F324*hCs*SIN(2*PI()*$I324/cw)+F324*hCc*COS(2*PI()*$I324/cw) +mix*F324*(hQc*COS(2*PI()*$I324/qbo+$L324)+hQs*SIN(2*PI()*$I324/qbo+$L324))*(hCs*SIN(2*PI()*$I324/cw)+hCc*COS(2*PI()*$I324/cw))</f>
        <v>5.3558279154764472</v>
      </c>
      <c r="K324">
        <f>fQc*COS(2*PI()*$I324/qbo+$L324)+fQs*SIN(2*PI()*$I324/qbo+$L324)+fCs*SIN(2*PI()*$I324/cw)+fCc*COS(2*PI()*$I324/cw)</f>
        <v>2.9314157940557446</v>
      </c>
      <c r="L324">
        <f>+QMA*COS(2*PI()*$I324/QM+QMP)</f>
        <v>-0.85479073058543065</v>
      </c>
      <c r="P324">
        <f t="shared" si="24"/>
        <v>1</v>
      </c>
    </row>
    <row r="325" spans="1:16" x14ac:dyDescent="0.25">
      <c r="A325" s="1"/>
      <c r="B325" s="4">
        <v>23377</v>
      </c>
      <c r="C325" t="s">
        <v>24</v>
      </c>
      <c r="D325" s="3">
        <v>13.125</v>
      </c>
      <c r="E325" s="5">
        <f t="shared" si="20"/>
        <v>1964</v>
      </c>
      <c r="F325">
        <v>1.22532</v>
      </c>
      <c r="G325">
        <f t="shared" si="21"/>
        <v>-2.9074200000000001</v>
      </c>
      <c r="H325">
        <f t="shared" si="22"/>
        <v>-2.9074200000000001</v>
      </c>
      <c r="I325" s="5">
        <f t="shared" si="23"/>
        <v>1964</v>
      </c>
      <c r="J325">
        <f>+H325+CF*F325*(1+($I325-1850)*slope/1000)+F325*hQc*COS(2*PI()*$I325/qbo+$L325)+F325*hQs*SIN(2*PI()*$I325/qbo+$L325)+F325*hCs*SIN(2*PI()*$I325/cw)+F325*hCc*COS(2*PI()*$I325/cw) +mix*F325*(hQc*COS(2*PI()*$I325/qbo+$L325)+hQs*SIN(2*PI()*$I325/qbo+$L325))*(hCs*SIN(2*PI()*$I325/cw)+hCc*COS(2*PI()*$I325/cw))</f>
        <v>-0.48460136551849065</v>
      </c>
      <c r="K325">
        <f>fQc*COS(2*PI()*$I325/qbo+$L325)+fQs*SIN(2*PI()*$I325/qbo+$L325)+fCs*SIN(2*PI()*$I325/cw)+fCc*COS(2*PI()*$I325/cw)</f>
        <v>-4.7364351854512581</v>
      </c>
      <c r="L325">
        <f>+QMA*COS(2*PI()*$I325/QM+QMP)</f>
        <v>-0.8558744401039573</v>
      </c>
      <c r="P325">
        <f t="shared" si="24"/>
        <v>1</v>
      </c>
    </row>
    <row r="326" spans="1:16" x14ac:dyDescent="0.25">
      <c r="A326" s="1"/>
      <c r="B326" s="4">
        <v>23743</v>
      </c>
      <c r="C326" t="s">
        <v>24</v>
      </c>
      <c r="D326" s="3">
        <v>13.166666666666666</v>
      </c>
      <c r="E326" s="5">
        <f t="shared" si="20"/>
        <v>1965</v>
      </c>
      <c r="F326">
        <v>0.22287000000000001</v>
      </c>
      <c r="G326">
        <f t="shared" si="21"/>
        <v>2.5870000000000002</v>
      </c>
      <c r="H326">
        <f t="shared" si="22"/>
        <v>2.5870000000000002</v>
      </c>
      <c r="I326" s="5">
        <f t="shared" si="23"/>
        <v>1965</v>
      </c>
      <c r="J326">
        <f>+H326+CF*F326*(1+($I326-1850)*slope/1000)+F326*hQc*COS(2*PI()*$I326/qbo+$L326)+F326*hQs*SIN(2*PI()*$I326/qbo+$L326)+F326*hCs*SIN(2*PI()*$I326/cw)+F326*hCc*COS(2*PI()*$I326/cw) +mix*F326*(hQc*COS(2*PI()*$I326/qbo+$L326)+hQs*SIN(2*PI()*$I326/qbo+$L326))*(hCs*SIN(2*PI()*$I326/cw)+hCc*COS(2*PI()*$I326/cw))</f>
        <v>2.6771098078713282</v>
      </c>
      <c r="K326">
        <f>fQc*COS(2*PI()*$I326/qbo+$L326)+fQs*SIN(2*PI()*$I326/qbo+$L326)+fCs*SIN(2*PI()*$I326/cw)+fCc*COS(2*PI()*$I326/cw)</f>
        <v>4.8549108583963854</v>
      </c>
      <c r="L326">
        <f>+QMA*COS(2*PI()*$I326/QM+QMP)</f>
        <v>-0.84208653717623927</v>
      </c>
      <c r="P326">
        <f t="shared" si="24"/>
        <v>1</v>
      </c>
    </row>
    <row r="327" spans="1:16" x14ac:dyDescent="0.25">
      <c r="A327" s="1"/>
      <c r="B327" s="4">
        <v>24108</v>
      </c>
      <c r="C327" t="s">
        <v>24</v>
      </c>
      <c r="D327" s="3">
        <v>13.208333333333334</v>
      </c>
      <c r="E327" s="5">
        <f t="shared" si="20"/>
        <v>1966</v>
      </c>
      <c r="F327">
        <v>1.80742</v>
      </c>
      <c r="G327">
        <f t="shared" si="21"/>
        <v>-3.9504299999999999</v>
      </c>
      <c r="H327">
        <f t="shared" si="22"/>
        <v>-3.9504299999999999</v>
      </c>
      <c r="I327" s="5">
        <f t="shared" si="23"/>
        <v>1966</v>
      </c>
      <c r="J327">
        <f>+H327+CF*F327*(1+($I327-1850)*slope/1000)+F327*hQc*COS(2*PI()*$I327/qbo+$L327)+F327*hQs*SIN(2*PI()*$I327/qbo+$L327)+F327*hCs*SIN(2*PI()*$I327/cw)+F327*hCc*COS(2*PI()*$I327/cw) +mix*F327*(hQc*COS(2*PI()*$I327/qbo+$L327)+hQs*SIN(2*PI()*$I327/qbo+$L327))*(hCs*SIN(2*PI()*$I327/cw)+hCc*COS(2*PI()*$I327/cw))</f>
        <v>-5.5965153963650751</v>
      </c>
      <c r="K327">
        <f>fQc*COS(2*PI()*$I327/qbo+$L327)+fQs*SIN(2*PI()*$I327/qbo+$L327)+fCs*SIN(2*PI()*$I327/cw)+fCc*COS(2*PI()*$I327/cw)</f>
        <v>-4.5609226803658478</v>
      </c>
      <c r="L327">
        <f>+QMA*COS(2*PI()*$I327/QM+QMP)</f>
        <v>-0.81366659940755315</v>
      </c>
      <c r="P327">
        <f t="shared" si="24"/>
        <v>1</v>
      </c>
    </row>
    <row r="328" spans="1:16" x14ac:dyDescent="0.25">
      <c r="A328" s="1"/>
      <c r="B328" s="4">
        <v>24473</v>
      </c>
      <c r="C328" t="s">
        <v>24</v>
      </c>
      <c r="D328" s="3">
        <v>13.25</v>
      </c>
      <c r="E328" s="5">
        <f t="shared" si="20"/>
        <v>1967</v>
      </c>
      <c r="F328">
        <v>-0.55845999999999996</v>
      </c>
      <c r="G328">
        <f t="shared" si="21"/>
        <v>3.9300299999999995</v>
      </c>
      <c r="H328">
        <f t="shared" si="22"/>
        <v>3.9300299999999995</v>
      </c>
      <c r="I328" s="5">
        <f t="shared" si="23"/>
        <v>1967</v>
      </c>
      <c r="J328">
        <f>+H328+CF*F328*(1+($I328-1850)*slope/1000)+F328*hQc*COS(2*PI()*$I328/qbo+$L328)+F328*hQs*SIN(2*PI()*$I328/qbo+$L328)+F328*hCs*SIN(2*PI()*$I328/cw)+F328*hCc*COS(2*PI()*$I328/cw) +mix*F328*(hQc*COS(2*PI()*$I328/qbo+$L328)+hQs*SIN(2*PI()*$I328/qbo+$L328))*(hCs*SIN(2*PI()*$I328/cw)+hCc*COS(2*PI()*$I328/cw))</f>
        <v>2.6532119963110912</v>
      </c>
      <c r="K328">
        <f>fQc*COS(2*PI()*$I328/qbo+$L328)+fQs*SIN(2*PI()*$I328/qbo+$L328)+fCs*SIN(2*PI()*$I328/cw)+fCc*COS(2*PI()*$I328/cw)</f>
        <v>3.5266865172704951</v>
      </c>
      <c r="L328">
        <f>+QMA*COS(2*PI()*$I328/QM+QMP)</f>
        <v>-0.77110844958364733</v>
      </c>
      <c r="P328">
        <f t="shared" si="24"/>
        <v>1</v>
      </c>
    </row>
    <row r="329" spans="1:16" x14ac:dyDescent="0.25">
      <c r="A329" s="1"/>
      <c r="B329" s="4">
        <v>24838</v>
      </c>
      <c r="C329" t="s">
        <v>24</v>
      </c>
      <c r="D329" s="3">
        <v>13.291666666666666</v>
      </c>
      <c r="E329" s="5">
        <f t="shared" si="20"/>
        <v>1968</v>
      </c>
      <c r="F329">
        <v>1.00569</v>
      </c>
      <c r="G329">
        <f t="shared" si="21"/>
        <v>-1.7698700000000001</v>
      </c>
      <c r="H329">
        <f t="shared" si="22"/>
        <v>-1.7698700000000001</v>
      </c>
      <c r="I329" s="5">
        <f t="shared" si="23"/>
        <v>1968</v>
      </c>
      <c r="J329">
        <f>+H329+CF*F329*(1+($I329-1850)*slope/1000)+F329*hQc*COS(2*PI()*$I329/qbo+$L329)+F329*hQs*SIN(2*PI()*$I329/qbo+$L329)+F329*hCs*SIN(2*PI()*$I329/cw)+F329*hCc*COS(2*PI()*$I329/cw) +mix*F329*(hQc*COS(2*PI()*$I329/qbo+$L329)+hQs*SIN(2*PI()*$I329/qbo+$L329))*(hCs*SIN(2*PI()*$I329/cw)+hCc*COS(2*PI()*$I329/cw))</f>
        <v>-1.3187378344200285</v>
      </c>
      <c r="K329">
        <f>fQc*COS(2*PI()*$I329/qbo+$L329)+fQs*SIN(2*PI()*$I329/qbo+$L329)+fCs*SIN(2*PI()*$I329/cw)+fCc*COS(2*PI()*$I329/cw)</f>
        <v>-1.4736524680482006</v>
      </c>
      <c r="L329">
        <f>+QMA*COS(2*PI()*$I329/QM+QMP)</f>
        <v>-0.71515157504159266</v>
      </c>
      <c r="P329">
        <f t="shared" si="24"/>
        <v>1</v>
      </c>
    </row>
    <row r="330" spans="1:16" x14ac:dyDescent="0.25">
      <c r="A330" s="1"/>
      <c r="B330" s="4">
        <v>25204</v>
      </c>
      <c r="C330" t="s">
        <v>24</v>
      </c>
      <c r="D330" s="3">
        <v>13.333333333333334</v>
      </c>
      <c r="E330" s="5">
        <f t="shared" si="20"/>
        <v>1969</v>
      </c>
      <c r="F330">
        <v>0.79996999999999996</v>
      </c>
      <c r="G330">
        <f t="shared" si="21"/>
        <v>-0.42859999999999998</v>
      </c>
      <c r="H330">
        <f t="shared" si="22"/>
        <v>-0.42859999999999998</v>
      </c>
      <c r="I330" s="5">
        <f t="shared" si="23"/>
        <v>1969</v>
      </c>
      <c r="J330">
        <f>+H330+CF*F330*(1+($I330-1850)*slope/1000)+F330*hQc*COS(2*PI()*$I330/qbo+$L330)+F330*hQs*SIN(2*PI()*$I330/qbo+$L330)+F330*hCs*SIN(2*PI()*$I330/cw)+F330*hCc*COS(2*PI()*$I330/cw) +mix*F330*(hQc*COS(2*PI()*$I330/qbo+$L330)+hQs*SIN(2*PI()*$I330/qbo+$L330))*(hCs*SIN(2*PI()*$I330/cw)+hCc*COS(2*PI()*$I330/cw))</f>
        <v>-0.23973275522264789</v>
      </c>
      <c r="K330">
        <f>fQc*COS(2*PI()*$I330/qbo+$L330)+fQs*SIN(2*PI()*$I330/qbo+$L330)+fCs*SIN(2*PI()*$I330/cw)+fCc*COS(2*PI()*$I330/cw)</f>
        <v>-1.4957863833647833E-4</v>
      </c>
      <c r="L330">
        <f>+QMA*COS(2*PI()*$I330/QM+QMP)</f>
        <v>-0.64676827839134332</v>
      </c>
      <c r="P330">
        <f t="shared" si="24"/>
        <v>1</v>
      </c>
    </row>
    <row r="331" spans="1:16" x14ac:dyDescent="0.25">
      <c r="A331" s="1"/>
      <c r="B331" s="4">
        <v>25569</v>
      </c>
      <c r="C331" t="s">
        <v>24</v>
      </c>
      <c r="D331" s="3">
        <v>13.375</v>
      </c>
      <c r="E331" s="5">
        <f t="shared" si="20"/>
        <v>1970</v>
      </c>
      <c r="F331">
        <v>0.16564999999999999</v>
      </c>
      <c r="G331">
        <f t="shared" si="21"/>
        <v>-2.63009</v>
      </c>
      <c r="H331">
        <f t="shared" si="22"/>
        <v>-2.63009</v>
      </c>
      <c r="I331" s="5">
        <f t="shared" si="23"/>
        <v>1970</v>
      </c>
      <c r="J331">
        <f>+H331+CF*F331*(1+($I331-1850)*slope/1000)+F331*hQc*COS(2*PI()*$I331/qbo+$L331)+F331*hQs*SIN(2*PI()*$I331/qbo+$L331)+F331*hCs*SIN(2*PI()*$I331/cw)+F331*hCc*COS(2*PI()*$I331/cw) +mix*F331*(hQc*COS(2*PI()*$I331/qbo+$L331)+hQs*SIN(2*PI()*$I331/qbo+$L331))*(hCs*SIN(2*PI()*$I331/cw)+hCc*COS(2*PI()*$I331/cw))</f>
        <v>-3.0227139090771029</v>
      </c>
      <c r="K331">
        <f>fQc*COS(2*PI()*$I331/qbo+$L331)+fQs*SIN(2*PI()*$I331/qbo+$L331)+fCs*SIN(2*PI()*$I331/cw)+fCc*COS(2*PI()*$I331/cw)</f>
        <v>2.0543554662216081</v>
      </c>
      <c r="L331">
        <f>+QMA*COS(2*PI()*$I331/QM+QMP)</f>
        <v>-0.56714678285579112</v>
      </c>
      <c r="P331">
        <f t="shared" si="24"/>
        <v>0</v>
      </c>
    </row>
    <row r="332" spans="1:16" x14ac:dyDescent="0.25">
      <c r="A332" s="1"/>
      <c r="B332" s="4">
        <v>25934</v>
      </c>
      <c r="C332" t="s">
        <v>24</v>
      </c>
      <c r="D332" s="3">
        <v>13.416666666666666</v>
      </c>
      <c r="E332" s="5">
        <f t="shared" si="20"/>
        <v>1971</v>
      </c>
      <c r="F332">
        <v>-3.09876</v>
      </c>
      <c r="G332">
        <f t="shared" si="21"/>
        <v>5.3416499999999996</v>
      </c>
      <c r="H332">
        <f t="shared" si="22"/>
        <v>5.3416499999999996</v>
      </c>
      <c r="I332" s="5">
        <f t="shared" si="23"/>
        <v>1971</v>
      </c>
      <c r="J332">
        <f>+H332+CF*F332*(1+($I332-1850)*slope/1000)+F332*hQc*COS(2*PI()*$I332/qbo+$L332)+F332*hQs*SIN(2*PI()*$I332/qbo+$L332)+F332*hCs*SIN(2*PI()*$I332/cw)+F332*hCc*COS(2*PI()*$I332/cw) +mix*F332*(hQc*COS(2*PI()*$I332/qbo+$L332)+hQs*SIN(2*PI()*$I332/qbo+$L332))*(hCs*SIN(2*PI()*$I332/cw)+hCc*COS(2*PI()*$I332/cw))</f>
        <v>-3.2201095789890832</v>
      </c>
      <c r="K332">
        <f>fQc*COS(2*PI()*$I332/qbo+$L332)+fQs*SIN(2*PI()*$I332/qbo+$L332)+fCs*SIN(2*PI()*$I332/cw)+fCc*COS(2*PI()*$I332/cw)</f>
        <v>-3.5804910639324556</v>
      </c>
      <c r="L332">
        <f>+QMA*COS(2*PI()*$I332/QM+QMP)</f>
        <v>-0.47767058578975058</v>
      </c>
      <c r="P332">
        <f t="shared" si="24"/>
        <v>1</v>
      </c>
    </row>
    <row r="333" spans="1:16" x14ac:dyDescent="0.25">
      <c r="A333" s="1"/>
      <c r="B333" s="4">
        <v>26299</v>
      </c>
      <c r="C333" t="s">
        <v>24</v>
      </c>
      <c r="D333" s="3">
        <v>13.458333333333334</v>
      </c>
      <c r="E333" s="5">
        <f t="shared" ref="E333:E338" si="25">+E332+1</f>
        <v>1972</v>
      </c>
      <c r="F333">
        <v>-1.02152</v>
      </c>
      <c r="G333">
        <f t="shared" ref="G333:G337" si="26">+(F334-F333)-(F333-F332)</f>
        <v>0.82197999999999993</v>
      </c>
      <c r="H333">
        <f t="shared" ref="H333:H337" si="27">+G333</f>
        <v>0.82197999999999993</v>
      </c>
      <c r="I333" s="5">
        <f t="shared" si="23"/>
        <v>1972</v>
      </c>
      <c r="J333">
        <f>+H333+CF*F333*(1+($I333-1850)*slope/1000)+F333*hQc*COS(2*PI()*$I333/qbo+$L333)+F333*hQs*SIN(2*PI()*$I333/qbo+$L333)+F333*hCs*SIN(2*PI()*$I333/cw)+F333*hCc*COS(2*PI()*$I333/cw) +mix*F333*(hQc*COS(2*PI()*$I333/qbo+$L333)+hQs*SIN(2*PI()*$I333/qbo+$L333))*(hCs*SIN(2*PI()*$I333/cw)+hCc*COS(2*PI()*$I333/cw))</f>
        <v>5.536004954119397</v>
      </c>
      <c r="K333">
        <f>fQc*COS(2*PI()*$I333/qbo+$L333)+fQs*SIN(2*PI()*$I333/qbo+$L333)+fCs*SIN(2*PI()*$I333/cw)+fCc*COS(2*PI()*$I333/cw)</f>
        <v>4.3100087986085658</v>
      </c>
      <c r="L333">
        <f>+QMA*COS(2*PI()*$I333/QM+QMP)</f>
        <v>-0.37989441913006572</v>
      </c>
      <c r="P333">
        <f t="shared" si="24"/>
        <v>1</v>
      </c>
    </row>
    <row r="334" spans="1:16" x14ac:dyDescent="0.25">
      <c r="A334" s="1"/>
      <c r="B334" s="4">
        <v>26665</v>
      </c>
      <c r="C334" t="s">
        <v>24</v>
      </c>
      <c r="D334" s="3">
        <v>13.5</v>
      </c>
      <c r="E334" s="5">
        <f t="shared" si="25"/>
        <v>1973</v>
      </c>
      <c r="F334">
        <v>1.8776999999999999</v>
      </c>
      <c r="G334">
        <f t="shared" si="26"/>
        <v>-7.8435699999999997</v>
      </c>
      <c r="H334">
        <f t="shared" si="27"/>
        <v>-7.8435699999999997</v>
      </c>
      <c r="I334" s="5">
        <f t="shared" ref="I334:I336" si="28">+E334</f>
        <v>1973</v>
      </c>
      <c r="J334">
        <f>+H334+CF*F334*(1+($I334-1850)*slope/1000)+F334*hQc*COS(2*PI()*$I334/qbo+$L334)+F334*hQs*SIN(2*PI()*$I334/qbo+$L334)+F334*hCs*SIN(2*PI()*$I334/cw)+F334*hCc*COS(2*PI()*$I334/cw) +mix*F334*(hQc*COS(2*PI()*$I334/qbo+$L334)+hQs*SIN(2*PI()*$I334/qbo+$L334))*(hCs*SIN(2*PI()*$I334/cw)+hCc*COS(2*PI()*$I334/cw))</f>
        <v>-4.6787254035286399</v>
      </c>
      <c r="K334">
        <f>fQc*COS(2*PI()*$I334/qbo+$L334)+fQs*SIN(2*PI()*$I334/qbo+$L334)+fCs*SIN(2*PI()*$I334/cw)+fCc*COS(2*PI()*$I334/cw)</f>
        <v>-5.1896456126797901</v>
      </c>
      <c r="L334">
        <f>+QMA*COS(2*PI()*$I334/QM+QMP)</f>
        <v>-0.27551723448569693</v>
      </c>
      <c r="P334">
        <f t="shared" ref="P334:P336" si="29">+IF(J334*K334&gt;0,1, 0)</f>
        <v>1</v>
      </c>
    </row>
    <row r="335" spans="1:16" x14ac:dyDescent="0.25">
      <c r="A335" s="1"/>
      <c r="B335" s="4">
        <v>27030</v>
      </c>
      <c r="C335" t="s">
        <v>24</v>
      </c>
      <c r="D335" s="3">
        <v>13.541666666666666</v>
      </c>
      <c r="E335" s="5">
        <f t="shared" si="25"/>
        <v>1974</v>
      </c>
      <c r="F335">
        <v>-3.0666500000000001</v>
      </c>
      <c r="G335">
        <f t="shared" si="26"/>
        <v>7.5886700000000005</v>
      </c>
      <c r="H335">
        <f t="shared" si="27"/>
        <v>7.5886700000000005</v>
      </c>
      <c r="I335" s="5">
        <f t="shared" si="28"/>
        <v>1974</v>
      </c>
      <c r="J335">
        <f>+H335+CF*F335*(1+($I335-1850)*slope/1000)+F335*hQc*COS(2*PI()*$I335/qbo+$L335)+F335*hQs*SIN(2*PI()*$I335/qbo+$L335)+F335*hCs*SIN(2*PI()*$I335/cw)+F335*hCc*COS(2*PI()*$I335/cw) +mix*F335*(hQc*COS(2*PI()*$I335/qbo+$L335)+hQs*SIN(2*PI()*$I335/qbo+$L335))*(hCs*SIN(2*PI()*$I335/cw)+hCc*COS(2*PI()*$I335/cw))</f>
        <v>5.3149655620793483</v>
      </c>
      <c r="K335">
        <f>fQc*COS(2*PI()*$I335/qbo+$L335)+fQs*SIN(2*PI()*$I335/qbo+$L335)+fCs*SIN(2*PI()*$I335/cw)+fCc*COS(2*PI()*$I335/cw)</f>
        <v>4.723179279531351</v>
      </c>
      <c r="L335">
        <f>+QMA*COS(2*PI()*$I335/QM+QMP)</f>
        <v>-0.16635268227713892</v>
      </c>
      <c r="P335">
        <f t="shared" si="29"/>
        <v>1</v>
      </c>
    </row>
    <row r="336" spans="1:16" x14ac:dyDescent="0.25">
      <c r="A336" s="1"/>
      <c r="B336" s="4">
        <v>27395</v>
      </c>
      <c r="C336" t="s">
        <v>24</v>
      </c>
      <c r="D336" s="3">
        <v>13.583333333333334</v>
      </c>
      <c r="E336" s="5">
        <f t="shared" si="25"/>
        <v>1975</v>
      </c>
      <c r="F336">
        <v>-0.42232999999999998</v>
      </c>
      <c r="G336">
        <f t="shared" si="26"/>
        <v>-2.9693899999999998</v>
      </c>
      <c r="H336">
        <f t="shared" si="27"/>
        <v>-2.9693899999999998</v>
      </c>
      <c r="I336" s="5">
        <f t="shared" si="28"/>
        <v>1975</v>
      </c>
      <c r="J336">
        <f>+H336+CF*F336*(1+($I336-1850)*slope/1000)+F336*hQc*COS(2*PI()*$I336/qbo+$L336)+F336*hQs*SIN(2*PI()*$I336/qbo+$L336)+F336*hCs*SIN(2*PI()*$I336/cw)+F336*hCc*COS(2*PI()*$I336/cw) +mix*F336*(hQc*COS(2*PI()*$I336/qbo+$L336)+hQs*SIN(2*PI()*$I336/qbo+$L336))*(hCs*SIN(2*PI()*$I336/cw)+hCc*COS(2*PI()*$I336/cw))</f>
        <v>-2.619515258002894</v>
      </c>
      <c r="K336">
        <f>fQc*COS(2*PI()*$I336/qbo+$L336)+fQs*SIN(2*PI()*$I336/qbo+$L336)+fCs*SIN(2*PI()*$I336/cw)+fCc*COS(2*PI()*$I336/cw)</f>
        <v>-4.1348417527282377</v>
      </c>
      <c r="L336">
        <f>+QMA*COS(2*PI()*$I336/QM+QMP)</f>
        <v>-5.4297597877994742E-2</v>
      </c>
      <c r="P336">
        <f t="shared" si="29"/>
        <v>1</v>
      </c>
    </row>
    <row r="337" spans="1:8" x14ac:dyDescent="0.25">
      <c r="A337" s="1"/>
      <c r="B337" s="4">
        <v>27760</v>
      </c>
      <c r="C337" t="s">
        <v>24</v>
      </c>
      <c r="D337" s="3">
        <v>13.625</v>
      </c>
      <c r="E337" s="5">
        <f t="shared" si="25"/>
        <v>1976</v>
      </c>
      <c r="F337">
        <v>-0.74739999999999995</v>
      </c>
      <c r="G337">
        <f t="shared" si="26"/>
        <v>1.7224299999999999</v>
      </c>
      <c r="H337">
        <f t="shared" si="27"/>
        <v>1.7224299999999999</v>
      </c>
    </row>
    <row r="338" spans="1:8" x14ac:dyDescent="0.25">
      <c r="A338" s="1"/>
      <c r="B338" s="4">
        <v>28126</v>
      </c>
      <c r="C338" t="s">
        <v>24</v>
      </c>
      <c r="D338" s="3">
        <v>13.666666666666666</v>
      </c>
      <c r="E338" s="5">
        <f t="shared" si="25"/>
        <v>1977</v>
      </c>
      <c r="F338">
        <v>0.64995999999999998</v>
      </c>
    </row>
  </sheetData>
  <scenarios current="0">
    <scenario name="one" count="11" user="pp" comment="Created by pp on 5/2/2015">
      <inputCells r="J2" val="2.44727948999265"/>
      <inputCells r="K2" val="6.07934967694303"/>
      <inputCells r="J3" val="0.347720040202742"/>
      <inputCells r="K3" val="3.61739153290966"/>
      <inputCells r="J4" val="0.776554919003634"/>
      <inputCells r="K4" val="0.589496773979215"/>
      <inputCells r="J5" val="1.02769968466291"/>
      <inputCells r="K5" val="-0.946007353755426"/>
      <inputCells r="K6" val="-1.43772752989027"/>
      <inputCells r="J6" val="-2.46737299932513"/>
      <inputCells r="J7" val="1.65313392088483"/>
    </scenario>
  </scenarios>
  <pageMargins left="0.25" right="0.25" top="0.75" bottom="0.75" header="0.3" footer="0.3"/>
  <pageSetup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8"/>
  <sheetViews>
    <sheetView tabSelected="1" topLeftCell="D1" zoomScale="82" zoomScaleNormal="82" workbookViewId="0">
      <selection activeCell="N1" sqref="N1:N1048576"/>
    </sheetView>
  </sheetViews>
  <sheetFormatPr defaultRowHeight="15" x14ac:dyDescent="0.25"/>
  <cols>
    <col min="5" max="5" width="9.140625" style="5"/>
    <col min="9" max="9" width="12.7109375" bestFit="1" customWidth="1"/>
    <col min="11" max="11" width="10.5703125" customWidth="1"/>
  </cols>
  <sheetData>
    <row r="1" spans="1:16" x14ac:dyDescent="0.25">
      <c r="A1" s="1"/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K1" t="s">
        <v>16</v>
      </c>
    </row>
    <row r="2" spans="1:16" x14ac:dyDescent="0.25">
      <c r="A2" s="1"/>
      <c r="B2" t="s">
        <v>7</v>
      </c>
      <c r="C2" t="s">
        <v>8</v>
      </c>
      <c r="D2" t="s">
        <v>1</v>
      </c>
      <c r="E2" t="s">
        <v>12</v>
      </c>
      <c r="F2" t="s">
        <v>9</v>
      </c>
      <c r="G2" t="s">
        <v>10</v>
      </c>
      <c r="H2" t="s">
        <v>11</v>
      </c>
      <c r="I2" t="s">
        <v>284</v>
      </c>
      <c r="J2">
        <v>2.6470801229545189</v>
      </c>
      <c r="K2">
        <f>1/(1-2/$J$2)</f>
        <v>4.0908073498968731</v>
      </c>
    </row>
    <row r="3" spans="1:16" x14ac:dyDescent="0.25">
      <c r="A3" s="1"/>
      <c r="B3" t="s">
        <v>13</v>
      </c>
      <c r="C3" t="s">
        <v>1</v>
      </c>
      <c r="D3" t="s">
        <v>14</v>
      </c>
      <c r="I3" t="s">
        <v>285</v>
      </c>
      <c r="J3">
        <v>0.82043391230217633</v>
      </c>
      <c r="K3">
        <v>3.4999514721901579</v>
      </c>
    </row>
    <row r="4" spans="1:16" x14ac:dyDescent="0.25">
      <c r="A4" s="1"/>
      <c r="B4" t="s">
        <v>15</v>
      </c>
      <c r="C4" t="s">
        <v>1</v>
      </c>
      <c r="I4" t="s">
        <v>286</v>
      </c>
      <c r="J4">
        <v>-0.74614546184859265</v>
      </c>
      <c r="K4">
        <v>3.6608463552953618</v>
      </c>
    </row>
    <row r="5" spans="1:16" x14ac:dyDescent="0.25">
      <c r="A5" s="1"/>
      <c r="B5" t="s">
        <v>17</v>
      </c>
      <c r="C5" t="s">
        <v>1</v>
      </c>
      <c r="D5">
        <v>328</v>
      </c>
      <c r="F5" t="s">
        <v>18</v>
      </c>
      <c r="G5" t="s">
        <v>19</v>
      </c>
      <c r="I5" t="s">
        <v>287</v>
      </c>
      <c r="J5">
        <v>0.78129488992779716</v>
      </c>
      <c r="K5">
        <v>2.9765869666945304</v>
      </c>
    </row>
    <row r="6" spans="1:16" x14ac:dyDescent="0.25">
      <c r="A6" s="1"/>
      <c r="B6" t="s">
        <v>20</v>
      </c>
      <c r="C6" t="s">
        <v>21</v>
      </c>
      <c r="I6" t="s">
        <v>288</v>
      </c>
      <c r="J6">
        <v>0.17774294478407615</v>
      </c>
      <c r="K6">
        <v>1.6277308744505137</v>
      </c>
    </row>
    <row r="7" spans="1:16" x14ac:dyDescent="0.25">
      <c r="A7" s="1"/>
      <c r="B7" t="s">
        <v>22</v>
      </c>
      <c r="C7" t="s">
        <v>1</v>
      </c>
      <c r="D7">
        <v>0</v>
      </c>
      <c r="I7" t="s">
        <v>289</v>
      </c>
      <c r="J7">
        <v>3.4062332391075096</v>
      </c>
      <c r="K7">
        <v>44.29578619393228</v>
      </c>
    </row>
    <row r="8" spans="1:16" x14ac:dyDescent="0.25">
      <c r="A8" s="1"/>
      <c r="B8" t="s">
        <v>21</v>
      </c>
      <c r="I8" t="s">
        <v>290</v>
      </c>
      <c r="J8">
        <v>-2.0079476080743333</v>
      </c>
      <c r="K8">
        <v>-1.2345715383333644</v>
      </c>
    </row>
    <row r="9" spans="1:16" x14ac:dyDescent="0.25">
      <c r="A9" s="1">
        <v>1</v>
      </c>
      <c r="H9">
        <f>+AVERAGE(F11:F338)</f>
        <v>-1.25238572899789E-17</v>
      </c>
      <c r="I9" t="s">
        <v>291</v>
      </c>
      <c r="J9">
        <v>18.221072096051866</v>
      </c>
      <c r="K9">
        <v>-92.640069920988225</v>
      </c>
    </row>
    <row r="10" spans="1:16" x14ac:dyDescent="0.25">
      <c r="A10" s="1"/>
      <c r="K10" s="6">
        <f>+CORREL(J13:J230,K13:K230)</f>
        <v>0.45046876586779055</v>
      </c>
      <c r="L10">
        <f>+K10*P10</f>
        <v>0.25948661628328945</v>
      </c>
      <c r="P10">
        <f>+SUM(P13:P230)/(230-13)</f>
        <v>0.57603686635944695</v>
      </c>
    </row>
    <row r="11" spans="1:16" x14ac:dyDescent="0.25">
      <c r="A11" s="1"/>
      <c r="B11" t="s">
        <v>23</v>
      </c>
      <c r="C11" t="s">
        <v>24</v>
      </c>
      <c r="D11" s="2">
        <v>4.1666666666666664E-2</v>
      </c>
      <c r="E11" s="5">
        <v>1650</v>
      </c>
      <c r="F11">
        <v>0.34445999999999999</v>
      </c>
      <c r="K11" s="6">
        <f>+CORREL(J231:J335,K231:K335)</f>
        <v>-6.9704623234774499E-2</v>
      </c>
      <c r="L11">
        <f>+K11*P11</f>
        <v>-3.3192677730844999E-2</v>
      </c>
      <c r="P11">
        <f>+SUM(P231:P335)/(335-230)</f>
        <v>0.47619047619047616</v>
      </c>
    </row>
    <row r="12" spans="1:16" x14ac:dyDescent="0.25">
      <c r="A12" s="1"/>
      <c r="B12" t="s">
        <v>25</v>
      </c>
      <c r="C12" t="s">
        <v>24</v>
      </c>
      <c r="D12" s="2">
        <v>8.3333333333333329E-2</v>
      </c>
      <c r="E12" s="5">
        <f>+E11+1</f>
        <v>1651</v>
      </c>
      <c r="F12">
        <v>1.25427</v>
      </c>
      <c r="G12">
        <f>+(F13-F12)-(F12-F11)</f>
        <v>-1.4716800000000001</v>
      </c>
      <c r="H12">
        <f>+G12</f>
        <v>-1.4716800000000001</v>
      </c>
      <c r="K12" s="6">
        <f>+CORREL(J13:J336,K13:K336)</f>
        <v>0.23291239124146432</v>
      </c>
      <c r="L12">
        <f>+K12*P12</f>
        <v>0.12619092404723301</v>
      </c>
      <c r="P12">
        <f>+SUM(P13:P336)/(335-12)</f>
        <v>0.54179566563467496</v>
      </c>
    </row>
    <row r="13" spans="1:16" x14ac:dyDescent="0.25">
      <c r="A13" s="1"/>
      <c r="B13" t="s">
        <v>26</v>
      </c>
      <c r="C13" t="s">
        <v>24</v>
      </c>
      <c r="D13" s="2">
        <v>0.125</v>
      </c>
      <c r="E13" s="5">
        <f t="shared" ref="E13:E76" si="0">+E12+1</f>
        <v>1652</v>
      </c>
      <c r="F13">
        <v>0.69240000000000002</v>
      </c>
      <c r="G13">
        <f t="shared" ref="G13:G76" si="1">+(F14-F13)-(F13-F12)</f>
        <v>-0.72932999999999992</v>
      </c>
      <c r="H13">
        <f t="shared" ref="H13:H76" si="2">+G13</f>
        <v>-0.72932999999999992</v>
      </c>
      <c r="I13" s="5">
        <f>+E13</f>
        <v>1652</v>
      </c>
      <c r="J13">
        <f>+H13+CF*F13*(1+($I13-1850)*slope/1000)+F13*hQc*COS(2*PI()*$I13/qbo+$L13)+F13*hQs*SIN(2*PI()*$I13/qbo+$L13)+F13*hCs*SIN(2*PI()*$I13/cw)+F13*hCc*COS(2*PI()*$I13/cw) +mix*F13*(hQc*COS(2*PI()*$I13/qbo+$L13)+hQs*SIN(2*PI()*$I13/qbo+$L13))*(hCs*SIN(2*PI()*$I13/cw)+hCc*COS(2*PI()*$I13/cw))</f>
        <v>72.592973777991432</v>
      </c>
      <c r="K13">
        <f>fQc*COS(2*PI()*$I13/qbo+$L13)+fQs*SIN(2*PI()*$I13/qbo+$L13)+fCs*SIN(2*PI()*$I13/cw)+fCc*COS(2*PI()*$I13/cw)</f>
        <v>1.2725876664329694</v>
      </c>
      <c r="L13">
        <f>+QMA*COS(2*PI()*$I13/QM+QMP)</f>
        <v>-1.6373011386267902</v>
      </c>
      <c r="N13">
        <f>+$K$8*COS(2*PI()*$I13/$K$6+$K$5*COS($J$5*$I13+$K$8)+$K$7)</f>
        <v>-1.2052046896046029</v>
      </c>
      <c r="P13">
        <f>+IF(J13*K13&gt;0,1, 0)</f>
        <v>1</v>
      </c>
    </row>
    <row r="14" spans="1:16" x14ac:dyDescent="0.25">
      <c r="A14" s="1"/>
      <c r="B14" t="s">
        <v>27</v>
      </c>
      <c r="C14" t="s">
        <v>24</v>
      </c>
      <c r="D14" s="2">
        <v>0.16666666666666666</v>
      </c>
      <c r="E14" s="5">
        <f t="shared" si="0"/>
        <v>1653</v>
      </c>
      <c r="F14">
        <v>-0.5988</v>
      </c>
      <c r="G14">
        <f t="shared" si="1"/>
        <v>1.2937099999999999</v>
      </c>
      <c r="H14">
        <f t="shared" si="2"/>
        <v>1.2937099999999999</v>
      </c>
      <c r="I14" s="5">
        <f t="shared" ref="I14:I77" si="3">+E14</f>
        <v>1653</v>
      </c>
      <c r="J14">
        <f>+H14+CF*F14*(1+($I14-1850)*slope/1000)+F14*hQc*COS(2*PI()*$I14/qbo+$L14)+F14*hQs*SIN(2*PI()*$I14/qbo+$L14)+F14*hCs*SIN(2*PI()*$I14/cw)+F14*hCc*COS(2*PI()*$I14/cw) +mix*F14*(hQc*COS(2*PI()*$I14/qbo+$L14)+hQs*SIN(2*PI()*$I14/qbo+$L14))*(hCs*SIN(2*PI()*$I14/cw)+hCc*COS(2*PI()*$I14/cw))</f>
        <v>-80.177669856155944</v>
      </c>
      <c r="K14">
        <f>fQc*COS(2*PI()*$I14/qbo+$L14)+fQs*SIN(2*PI()*$I14/qbo+$L14)+fCs*SIN(2*PI()*$I14/cw)+fCc*COS(2*PI()*$I14/cw)</f>
        <v>2.6759536835694657</v>
      </c>
      <c r="L14">
        <f>+QMA*COS(2*PI()*$I14/QM+QMP)</f>
        <v>-1.4565322268613026</v>
      </c>
      <c r="P14">
        <f t="shared" ref="P14:P77" si="4">+IF(J14*K14&gt;0,1, 0)</f>
        <v>0</v>
      </c>
    </row>
    <row r="15" spans="1:16" x14ac:dyDescent="0.25">
      <c r="A15" s="1"/>
      <c r="B15" t="s">
        <v>28</v>
      </c>
      <c r="C15" t="s">
        <v>24</v>
      </c>
      <c r="D15" s="2">
        <v>0.20833333333333334</v>
      </c>
      <c r="E15" s="5">
        <f t="shared" si="0"/>
        <v>1654</v>
      </c>
      <c r="F15">
        <v>-0.59628999999999999</v>
      </c>
      <c r="G15">
        <f t="shared" si="1"/>
        <v>0.75729999999999997</v>
      </c>
      <c r="H15">
        <f t="shared" si="2"/>
        <v>0.75729999999999997</v>
      </c>
      <c r="I15" s="5">
        <f t="shared" si="3"/>
        <v>1654</v>
      </c>
      <c r="J15">
        <f>+H15+CF*F15*(1+($I15-1850)*slope/1000)+F15*hQc*COS(2*PI()*$I15/qbo+$L15)+F15*hQs*SIN(2*PI()*$I15/qbo+$L15)+F15*hCs*SIN(2*PI()*$I15/cw)+F15*hCc*COS(2*PI()*$I15/cw) +mix*F15*(hQc*COS(2*PI()*$I15/qbo+$L15)+hQs*SIN(2*PI()*$I15/qbo+$L15))*(hCs*SIN(2*PI()*$I15/cw)+hCc*COS(2*PI()*$I15/cw))</f>
        <v>-104.9346023134445</v>
      </c>
      <c r="K15">
        <f>fQc*COS(2*PI()*$I15/qbo+$L15)+fQs*SIN(2*PI()*$I15/qbo+$L15)+fCs*SIN(2*PI()*$I15/cw)+fCc*COS(2*PI()*$I15/cw)</f>
        <v>-3.0312483467086193</v>
      </c>
      <c r="L15">
        <f>+QMA*COS(2*PI()*$I15/QM+QMP)</f>
        <v>-1.2465065230019428</v>
      </c>
      <c r="P15">
        <f t="shared" si="4"/>
        <v>1</v>
      </c>
    </row>
    <row r="16" spans="1:16" x14ac:dyDescent="0.25">
      <c r="A16" s="1"/>
      <c r="B16" t="s">
        <v>29</v>
      </c>
      <c r="C16" t="s">
        <v>24</v>
      </c>
      <c r="D16" s="2">
        <v>0.25</v>
      </c>
      <c r="E16" s="5">
        <f t="shared" si="0"/>
        <v>1655</v>
      </c>
      <c r="F16">
        <v>0.16352</v>
      </c>
      <c r="G16">
        <f t="shared" si="1"/>
        <v>0.10324</v>
      </c>
      <c r="H16">
        <f t="shared" si="2"/>
        <v>0.10324</v>
      </c>
      <c r="I16" s="5">
        <f t="shared" si="3"/>
        <v>1655</v>
      </c>
      <c r="J16">
        <f>+H16+CF*F16*(1+($I16-1850)*slope/1000)+F16*hQc*COS(2*PI()*$I16/qbo+$L16)+F16*hQs*SIN(2*PI()*$I16/qbo+$L16)+F16*hCs*SIN(2*PI()*$I16/cw)+F16*hCc*COS(2*PI()*$I16/cw) +mix*F16*(hQc*COS(2*PI()*$I16/qbo+$L16)+hQs*SIN(2*PI()*$I16/qbo+$L16))*(hCs*SIN(2*PI()*$I16/cw)+hCc*COS(2*PI()*$I16/cw))</f>
        <v>-21.66980361482813</v>
      </c>
      <c r="K16">
        <f>fQc*COS(2*PI()*$I16/qbo+$L16)+fQs*SIN(2*PI()*$I16/qbo+$L16)+fCs*SIN(2*PI()*$I16/cw)+fCc*COS(2*PI()*$I16/cw)</f>
        <v>1.5005303055940216</v>
      </c>
      <c r="L16">
        <f>+QMA*COS(2*PI()*$I16/QM+QMP)</f>
        <v>-1.0114427310628777</v>
      </c>
      <c r="P16">
        <f t="shared" si="4"/>
        <v>0</v>
      </c>
    </row>
    <row r="17" spans="1:16" x14ac:dyDescent="0.25">
      <c r="A17" s="1"/>
      <c r="B17" t="s">
        <v>30</v>
      </c>
      <c r="C17" t="s">
        <v>24</v>
      </c>
      <c r="D17" s="2">
        <v>0.29166666666666669</v>
      </c>
      <c r="E17" s="5">
        <f t="shared" si="0"/>
        <v>1656</v>
      </c>
      <c r="F17">
        <v>1.02657</v>
      </c>
      <c r="G17">
        <f t="shared" si="1"/>
        <v>-1.7184300000000001</v>
      </c>
      <c r="H17">
        <f t="shared" si="2"/>
        <v>-1.7184300000000001</v>
      </c>
      <c r="I17" s="5">
        <f t="shared" si="3"/>
        <v>1656</v>
      </c>
      <c r="J17">
        <f>+H17+CF*F17*(1+($I17-1850)*slope/1000)+F17*hQc*COS(2*PI()*$I17/qbo+$L17)+F17*hQs*SIN(2*PI()*$I17/qbo+$L17)+F17*hCs*SIN(2*PI()*$I17/cw)+F17*hCc*COS(2*PI()*$I17/cw) +mix*F17*(hQc*COS(2*PI()*$I17/qbo+$L17)+hQs*SIN(2*PI()*$I17/qbo+$L17))*(hCs*SIN(2*PI()*$I17/cw)+hCc*COS(2*PI()*$I17/cw))</f>
        <v>-63.7565078361433</v>
      </c>
      <c r="K17">
        <f>fQc*COS(2*PI()*$I17/qbo+$L17)+fQs*SIN(2*PI()*$I17/qbo+$L17)+fCs*SIN(2*PI()*$I17/cw)+fCc*COS(2*PI()*$I17/cw)</f>
        <v>-2.3802571286432457</v>
      </c>
      <c r="L17">
        <f>+QMA*COS(2*PI()*$I17/QM+QMP)</f>
        <v>-0.7560624853222917</v>
      </c>
      <c r="P17">
        <f t="shared" si="4"/>
        <v>1</v>
      </c>
    </row>
    <row r="18" spans="1:16" x14ac:dyDescent="0.25">
      <c r="A18" s="1"/>
      <c r="B18" t="s">
        <v>31</v>
      </c>
      <c r="C18" t="s">
        <v>24</v>
      </c>
      <c r="D18" s="2">
        <v>0.33333333333333331</v>
      </c>
      <c r="E18" s="5">
        <f t="shared" si="0"/>
        <v>1657</v>
      </c>
      <c r="F18">
        <v>0.17119000000000001</v>
      </c>
      <c r="G18">
        <f t="shared" si="1"/>
        <v>1.14673</v>
      </c>
      <c r="H18">
        <f t="shared" si="2"/>
        <v>1.14673</v>
      </c>
      <c r="I18" s="5">
        <f t="shared" si="3"/>
        <v>1657</v>
      </c>
      <c r="J18">
        <f>+H18+CF*F18*(1+($I18-1850)*slope/1000)+F18*hQc*COS(2*PI()*$I18/qbo+$L18)+F18*hQs*SIN(2*PI()*$I18/qbo+$L18)+F18*hCs*SIN(2*PI()*$I18/cw)+F18*hCc*COS(2*PI()*$I18/cw) +mix*F18*(hQc*COS(2*PI()*$I18/qbo+$L18)+hQs*SIN(2*PI()*$I18/qbo+$L18))*(hCs*SIN(2*PI()*$I18/cw)+hCc*COS(2*PI()*$I18/cw))</f>
        <v>35.741932615264986</v>
      </c>
      <c r="K18">
        <f>fQc*COS(2*PI()*$I18/qbo+$L18)+fQs*SIN(2*PI()*$I18/qbo+$L18)+fCs*SIN(2*PI()*$I18/cw)+fCc*COS(2*PI()*$I18/cw)</f>
        <v>3.4732002702956608</v>
      </c>
      <c r="L18">
        <f>+QMA*COS(2*PI()*$I18/QM+QMP)</f>
        <v>-0.48549550870459723</v>
      </c>
      <c r="P18">
        <f t="shared" si="4"/>
        <v>1</v>
      </c>
    </row>
    <row r="19" spans="1:16" x14ac:dyDescent="0.25">
      <c r="A19" s="1"/>
      <c r="B19" t="s">
        <v>32</v>
      </c>
      <c r="C19" t="s">
        <v>24</v>
      </c>
      <c r="D19" s="2">
        <v>0.375</v>
      </c>
      <c r="E19" s="5">
        <f t="shared" si="0"/>
        <v>1658</v>
      </c>
      <c r="F19">
        <v>0.46254000000000001</v>
      </c>
      <c r="G19">
        <f t="shared" si="1"/>
        <v>-0.77851999999999999</v>
      </c>
      <c r="H19">
        <f t="shared" si="2"/>
        <v>-0.77851999999999999</v>
      </c>
      <c r="I19" s="5">
        <f t="shared" si="3"/>
        <v>1658</v>
      </c>
      <c r="J19">
        <f>+H19+CF*F19*(1+($I19-1850)*slope/1000)+F19*hQc*COS(2*PI()*$I19/qbo+$L19)+F19*hQs*SIN(2*PI()*$I19/qbo+$L19)+F19*hCs*SIN(2*PI()*$I19/cw)+F19*hCc*COS(2*PI()*$I19/cw) +mix*F19*(hQc*COS(2*PI()*$I19/qbo+$L19)+hQs*SIN(2*PI()*$I19/qbo+$L19))*(hCs*SIN(2*PI()*$I19/cw)+hCc*COS(2*PI()*$I19/cw))</f>
        <v>38.398925532188272</v>
      </c>
      <c r="K19">
        <f>fQc*COS(2*PI()*$I19/qbo+$L19)+fQs*SIN(2*PI()*$I19/qbo+$L19)+fCs*SIN(2*PI()*$I19/cw)+fCc*COS(2*PI()*$I19/cw)</f>
        <v>-0.84326963458461124</v>
      </c>
      <c r="L19">
        <f>+QMA*COS(2*PI()*$I19/QM+QMP)</f>
        <v>-0.20517657404667827</v>
      </c>
      <c r="P19">
        <f t="shared" si="4"/>
        <v>0</v>
      </c>
    </row>
    <row r="20" spans="1:16" x14ac:dyDescent="0.25">
      <c r="A20" s="1"/>
      <c r="B20" t="s">
        <v>33</v>
      </c>
      <c r="C20" t="s">
        <v>24</v>
      </c>
      <c r="D20" s="2">
        <v>0.41666666666666669</v>
      </c>
      <c r="E20" s="5">
        <f t="shared" si="0"/>
        <v>1659</v>
      </c>
      <c r="F20">
        <v>-2.4629999999999999E-2</v>
      </c>
      <c r="G20">
        <f t="shared" si="1"/>
        <v>0.71074999999999999</v>
      </c>
      <c r="H20">
        <f t="shared" si="2"/>
        <v>0.71074999999999999</v>
      </c>
      <c r="I20" s="5">
        <f t="shared" si="3"/>
        <v>1659</v>
      </c>
      <c r="J20">
        <f>+H20+CF*F20*(1+($I20-1850)*slope/1000)+F20*hQc*COS(2*PI()*$I20/qbo+$L20)+F20*hQs*SIN(2*PI()*$I20/qbo+$L20)+F20*hCs*SIN(2*PI()*$I20/cw)+F20*hCc*COS(2*PI()*$I20/cw) +mix*F20*(hQc*COS(2*PI()*$I20/qbo+$L20)+hQs*SIN(2*PI()*$I20/qbo+$L20))*(hCs*SIN(2*PI()*$I20/cw)+hCc*COS(2*PI()*$I20/cw))</f>
        <v>-2.2709015570147848</v>
      </c>
      <c r="K20">
        <f>fQc*COS(2*PI()*$I20/qbo+$L20)+fQs*SIN(2*PI()*$I20/qbo+$L20)+fCs*SIN(2*PI()*$I20/cw)+fCc*COS(2*PI()*$I20/cw)</f>
        <v>-2.5654387029872177</v>
      </c>
      <c r="L20">
        <f>+QMA*COS(2*PI()*$I20/QM+QMP)</f>
        <v>7.9263662054918541E-2</v>
      </c>
      <c r="P20">
        <f t="shared" si="4"/>
        <v>1</v>
      </c>
    </row>
    <row r="21" spans="1:16" x14ac:dyDescent="0.25">
      <c r="A21" s="1"/>
      <c r="B21" t="s">
        <v>34</v>
      </c>
      <c r="C21" t="s">
        <v>24</v>
      </c>
      <c r="D21" s="2">
        <v>0.45833333333333331</v>
      </c>
      <c r="E21" s="5">
        <f t="shared" si="0"/>
        <v>1660</v>
      </c>
      <c r="F21">
        <v>0.19894999999999999</v>
      </c>
      <c r="G21">
        <f t="shared" si="1"/>
        <v>0.13978000000000002</v>
      </c>
      <c r="H21">
        <f t="shared" si="2"/>
        <v>0.13978000000000002</v>
      </c>
      <c r="I21" s="5">
        <f t="shared" si="3"/>
        <v>1660</v>
      </c>
      <c r="J21">
        <f>+H21+CF*F21*(1+($I21-1850)*slope/1000)+F21*hQc*COS(2*PI()*$I21/qbo+$L21)+F21*hQs*SIN(2*PI()*$I21/qbo+$L21)+F21*hCs*SIN(2*PI()*$I21/cw)+F21*hCc*COS(2*PI()*$I21/cw) +mix*F21*(hQc*COS(2*PI()*$I21/qbo+$L21)+hQs*SIN(2*PI()*$I21/qbo+$L21))*(hCs*SIN(2*PI()*$I21/cw)+hCc*COS(2*PI()*$I21/cw))</f>
        <v>28.003779263755938</v>
      </c>
      <c r="K21">
        <f>fQc*COS(2*PI()*$I21/qbo+$L21)+fQs*SIN(2*PI()*$I21/qbo+$L21)+fCs*SIN(2*PI()*$I21/cw)+fCc*COS(2*PI()*$I21/cw)</f>
        <v>2.416272407444886</v>
      </c>
      <c r="L21">
        <f>+QMA*COS(2*PI()*$I21/QM+QMP)</f>
        <v>0.36211176003661144</v>
      </c>
      <c r="P21">
        <f t="shared" si="4"/>
        <v>1</v>
      </c>
    </row>
    <row r="22" spans="1:16" x14ac:dyDescent="0.25">
      <c r="A22" s="1"/>
      <c r="B22" t="s">
        <v>35</v>
      </c>
      <c r="C22" t="s">
        <v>24</v>
      </c>
      <c r="D22" s="2">
        <v>0.5</v>
      </c>
      <c r="E22" s="5">
        <f t="shared" si="0"/>
        <v>1661</v>
      </c>
      <c r="F22">
        <v>0.56230999999999998</v>
      </c>
      <c r="G22">
        <f t="shared" si="1"/>
        <v>-0.79430999999999996</v>
      </c>
      <c r="H22">
        <f t="shared" si="2"/>
        <v>-0.79430999999999996</v>
      </c>
      <c r="I22" s="5">
        <f t="shared" si="3"/>
        <v>1661</v>
      </c>
      <c r="J22">
        <f>+H22+CF*F22*(1+($I22-1850)*slope/1000)+F22*hQc*COS(2*PI()*$I22/qbo+$L22)+F22*hQs*SIN(2*PI()*$I22/qbo+$L22)+F22*hCs*SIN(2*PI()*$I22/cw)+F22*hCc*COS(2*PI()*$I22/cw) +mix*F22*(hQc*COS(2*PI()*$I22/qbo+$L22)+hQs*SIN(2*PI()*$I22/qbo+$L22))*(hCs*SIN(2*PI()*$I22/cw)+hCc*COS(2*PI()*$I22/cw))</f>
        <v>-85.989108924046946</v>
      </c>
      <c r="K22">
        <f>fQc*COS(2*PI()*$I22/qbo+$L22)+fQs*SIN(2*PI()*$I22/qbo+$L22)+fCs*SIN(2*PI()*$I22/cw)+fCc*COS(2*PI()*$I22/cw)</f>
        <v>-1.327896653418583</v>
      </c>
      <c r="L22">
        <f>+QMA*COS(2*PI()*$I22/QM+QMP)</f>
        <v>0.63768626098923198</v>
      </c>
      <c r="P22">
        <f t="shared" si="4"/>
        <v>1</v>
      </c>
    </row>
    <row r="23" spans="1:16" x14ac:dyDescent="0.25">
      <c r="A23" s="1"/>
      <c r="B23" t="s">
        <v>36</v>
      </c>
      <c r="C23" t="s">
        <v>24</v>
      </c>
      <c r="D23" s="2">
        <v>0.54166666666666663</v>
      </c>
      <c r="E23" s="5">
        <f t="shared" si="0"/>
        <v>1662</v>
      </c>
      <c r="F23">
        <v>0.13136</v>
      </c>
      <c r="G23">
        <f t="shared" si="1"/>
        <v>-7.5390000000000068E-2</v>
      </c>
      <c r="H23">
        <f t="shared" si="2"/>
        <v>-7.5390000000000068E-2</v>
      </c>
      <c r="I23" s="5">
        <f t="shared" si="3"/>
        <v>1662</v>
      </c>
      <c r="J23">
        <f>+H23+CF*F23*(1+($I23-1850)*slope/1000)+F23*hQc*COS(2*PI()*$I23/qbo+$L23)+F23*hQs*SIN(2*PI()*$I23/qbo+$L23)+F23*hCs*SIN(2*PI()*$I23/cw)+F23*hCc*COS(2*PI()*$I23/cw) +mix*F23*(hQc*COS(2*PI()*$I23/qbo+$L23)+hQs*SIN(2*PI()*$I23/qbo+$L23))*(hCs*SIN(2*PI()*$I23/cw)+hCc*COS(2*PI()*$I23/cw))</f>
        <v>-2.9225222224304446</v>
      </c>
      <c r="K23">
        <f>fQc*COS(2*PI()*$I23/qbo+$L23)+fQs*SIN(2*PI()*$I23/qbo+$L23)+fCs*SIN(2*PI()*$I23/cw)+fCc*COS(2*PI()*$I23/cw)</f>
        <v>2.902069117868348</v>
      </c>
      <c r="L23">
        <f>+QMA*COS(2*PI()*$I23/QM+QMP)</f>
        <v>0.90045180789679224</v>
      </c>
      <c r="P23">
        <f t="shared" si="4"/>
        <v>0</v>
      </c>
    </row>
    <row r="24" spans="1:16" x14ac:dyDescent="0.25">
      <c r="A24" s="1"/>
      <c r="B24" t="s">
        <v>37</v>
      </c>
      <c r="C24" t="s">
        <v>24</v>
      </c>
      <c r="D24" s="2">
        <v>0.58333333333333337</v>
      </c>
      <c r="E24" s="5">
        <f t="shared" si="0"/>
        <v>1663</v>
      </c>
      <c r="F24">
        <v>-0.37497999999999998</v>
      </c>
      <c r="G24">
        <f t="shared" si="1"/>
        <v>-9.8799999999999999E-2</v>
      </c>
      <c r="H24">
        <f t="shared" si="2"/>
        <v>-9.8799999999999999E-2</v>
      </c>
      <c r="I24" s="5">
        <f t="shared" si="3"/>
        <v>1663</v>
      </c>
      <c r="J24">
        <f>+H24+CF*F24*(1+($I24-1850)*slope/1000)+F24*hQc*COS(2*PI()*$I24/qbo+$L24)+F24*hQs*SIN(2*PI()*$I24/qbo+$L24)+F24*hCs*SIN(2*PI()*$I24/cw)+F24*hCc*COS(2*PI()*$I24/cw) +mix*F24*(hQc*COS(2*PI()*$I24/qbo+$L24)+hQs*SIN(2*PI()*$I24/qbo+$L24))*(hCs*SIN(2*PI()*$I24/cw)+hCc*COS(2*PI()*$I24/cw))</f>
        <v>-86.188656746152887</v>
      </c>
      <c r="K24">
        <f>fQc*COS(2*PI()*$I24/qbo+$L24)+fQs*SIN(2*PI()*$I24/qbo+$L24)+fCs*SIN(2*PI()*$I24/cw)+fCc*COS(2*PI()*$I24/cw)</f>
        <v>-3.890669038224567</v>
      </c>
      <c r="L24">
        <f>+QMA*COS(2*PI()*$I24/QM+QMP)</f>
        <v>1.1451303321842976</v>
      </c>
      <c r="P24">
        <f t="shared" si="4"/>
        <v>1</v>
      </c>
    </row>
    <row r="25" spans="1:16" x14ac:dyDescent="0.25">
      <c r="A25" s="1"/>
      <c r="B25" t="s">
        <v>38</v>
      </c>
      <c r="C25" t="s">
        <v>24</v>
      </c>
      <c r="D25" s="2">
        <v>0.625</v>
      </c>
      <c r="E25" s="5">
        <f t="shared" si="0"/>
        <v>1664</v>
      </c>
      <c r="F25">
        <v>-0.98011999999999999</v>
      </c>
      <c r="G25">
        <f t="shared" si="1"/>
        <v>1.1643399999999999</v>
      </c>
      <c r="H25">
        <f t="shared" si="2"/>
        <v>1.1643399999999999</v>
      </c>
      <c r="I25" s="5">
        <f t="shared" si="3"/>
        <v>1664</v>
      </c>
      <c r="J25">
        <f>+H25+CF*F25*(1+($I25-1850)*slope/1000)+F25*hQc*COS(2*PI()*$I25/qbo+$L25)+F25*hQs*SIN(2*PI()*$I25/qbo+$L25)+F25*hCs*SIN(2*PI()*$I25/cw)+F25*hCc*COS(2*PI()*$I25/cw) +mix*F25*(hQc*COS(2*PI()*$I25/qbo+$L25)+hQs*SIN(2*PI()*$I25/qbo+$L25))*(hCs*SIN(2*PI()*$I25/cw)+hCc*COS(2*PI()*$I25/cw))</f>
        <v>-82.873764289700048</v>
      </c>
      <c r="K25">
        <f>fQc*COS(2*PI()*$I25/qbo+$L25)+fQs*SIN(2*PI()*$I25/qbo+$L25)+fCs*SIN(2*PI()*$I25/cw)+fCc*COS(2*PI()*$I25/cw)</f>
        <v>0.82023862787400048</v>
      </c>
      <c r="L25">
        <f>+QMA*COS(2*PI()*$I25/QM+QMP)</f>
        <v>1.3668070722124459</v>
      </c>
      <c r="P25">
        <f t="shared" si="4"/>
        <v>0</v>
      </c>
    </row>
    <row r="26" spans="1:16" x14ac:dyDescent="0.25">
      <c r="A26" s="1"/>
      <c r="B26" t="s">
        <v>39</v>
      </c>
      <c r="C26" t="s">
        <v>24</v>
      </c>
      <c r="D26" s="2">
        <v>0.66666666666666663</v>
      </c>
      <c r="E26" s="5">
        <f t="shared" si="0"/>
        <v>1665</v>
      </c>
      <c r="F26">
        <v>-0.42092000000000002</v>
      </c>
      <c r="G26">
        <f t="shared" si="1"/>
        <v>-0.38831999999999989</v>
      </c>
      <c r="H26">
        <f t="shared" si="2"/>
        <v>-0.38831999999999989</v>
      </c>
      <c r="I26" s="5">
        <f t="shared" si="3"/>
        <v>1665</v>
      </c>
      <c r="J26">
        <f>+H26+CF*F26*(1+($I26-1850)*slope/1000)+F26*hQc*COS(2*PI()*$I26/qbo+$L26)+F26*hQs*SIN(2*PI()*$I26/qbo+$L26)+F26*hCs*SIN(2*PI()*$I26/cw)+F26*hCc*COS(2*PI()*$I26/cw) +mix*F26*(hQc*COS(2*PI()*$I26/qbo+$L26)+hQs*SIN(2*PI()*$I26/qbo+$L26))*(hCs*SIN(2*PI()*$I26/cw)+hCc*COS(2*PI()*$I26/cw))</f>
        <v>-55.011826958632355</v>
      </c>
      <c r="K26">
        <f>fQc*COS(2*PI()*$I26/qbo+$L26)+fQs*SIN(2*PI()*$I26/qbo+$L26)+fCs*SIN(2*PI()*$I26/cw)+fCc*COS(2*PI()*$I26/cw)</f>
        <v>2.5400499902532774</v>
      </c>
      <c r="L26">
        <f>+QMA*COS(2*PI()*$I26/QM+QMP)</f>
        <v>1.5610292941690427</v>
      </c>
      <c r="P26">
        <f t="shared" si="4"/>
        <v>0</v>
      </c>
    </row>
    <row r="27" spans="1:16" x14ac:dyDescent="0.25">
      <c r="A27" s="1"/>
      <c r="B27" t="s">
        <v>40</v>
      </c>
      <c r="C27" t="s">
        <v>24</v>
      </c>
      <c r="D27" s="2">
        <v>0.70833333333333337</v>
      </c>
      <c r="E27" s="5">
        <f t="shared" si="0"/>
        <v>1666</v>
      </c>
      <c r="F27">
        <v>-0.25003999999999998</v>
      </c>
      <c r="G27">
        <f t="shared" si="1"/>
        <v>-0.16959000000000005</v>
      </c>
      <c r="H27">
        <f t="shared" si="2"/>
        <v>-0.16959000000000005</v>
      </c>
      <c r="I27" s="5">
        <f t="shared" si="3"/>
        <v>1666</v>
      </c>
      <c r="J27">
        <f>+H27+CF*F27*(1+($I27-1850)*slope/1000)+F27*hQc*COS(2*PI()*$I27/qbo+$L27)+F27*hQs*SIN(2*PI()*$I27/qbo+$L27)+F27*hCs*SIN(2*PI()*$I27/cw)+F27*hCc*COS(2*PI()*$I27/cw) +mix*F27*(hQc*COS(2*PI()*$I27/qbo+$L27)+hQs*SIN(2*PI()*$I27/qbo+$L27))*(hCs*SIN(2*PI()*$I27/cw)+hCc*COS(2*PI()*$I27/cw))</f>
        <v>-25.35029187901344</v>
      </c>
      <c r="K27">
        <f>fQc*COS(2*PI()*$I27/qbo+$L27)+fQs*SIN(2*PI()*$I27/qbo+$L27)+fCs*SIN(2*PI()*$I27/cw)+fCc*COS(2*PI()*$I27/cw)</f>
        <v>-2.2861190034691226</v>
      </c>
      <c r="L27">
        <f>+QMA*COS(2*PI()*$I27/QM+QMP)</f>
        <v>1.723895732388393</v>
      </c>
      <c r="P27">
        <f t="shared" si="4"/>
        <v>1</v>
      </c>
    </row>
    <row r="28" spans="1:16" x14ac:dyDescent="0.25">
      <c r="A28" s="1"/>
      <c r="B28" t="s">
        <v>41</v>
      </c>
      <c r="C28" t="s">
        <v>24</v>
      </c>
      <c r="D28" s="2">
        <v>0.75</v>
      </c>
      <c r="E28" s="5">
        <f t="shared" si="0"/>
        <v>1667</v>
      </c>
      <c r="F28">
        <v>-0.24875</v>
      </c>
      <c r="G28">
        <f t="shared" si="1"/>
        <v>-0.28654000000000002</v>
      </c>
      <c r="H28">
        <f t="shared" si="2"/>
        <v>-0.28654000000000002</v>
      </c>
      <c r="I28" s="5">
        <f t="shared" si="3"/>
        <v>1667</v>
      </c>
      <c r="J28">
        <f>+H28+CF*F28*(1+($I28-1850)*slope/1000)+F28*hQc*COS(2*PI()*$I28/qbo+$L28)+F28*hQs*SIN(2*PI()*$I28/qbo+$L28)+F28*hCs*SIN(2*PI()*$I28/cw)+F28*hCc*COS(2*PI()*$I28/cw) +mix*F28*(hQc*COS(2*PI()*$I28/qbo+$L28)+hQs*SIN(2*PI()*$I28/qbo+$L28))*(hCs*SIN(2*PI()*$I28/cw)+hCc*COS(2*PI()*$I28/cw))</f>
        <v>44.154616743130028</v>
      </c>
      <c r="K28">
        <f>fQc*COS(2*PI()*$I28/qbo+$L28)+fQs*SIN(2*PI()*$I28/qbo+$L28)+fCs*SIN(2*PI()*$I28/cw)+fCc*COS(2*PI()*$I28/cw)</f>
        <v>1.4496248103923097</v>
      </c>
      <c r="L28">
        <f>+QMA*COS(2*PI()*$I28/QM+QMP)</f>
        <v>1.8521349525456037</v>
      </c>
      <c r="P28">
        <f t="shared" si="4"/>
        <v>1</v>
      </c>
    </row>
    <row r="29" spans="1:16" x14ac:dyDescent="0.25">
      <c r="A29" s="1"/>
      <c r="B29" t="s">
        <v>42</v>
      </c>
      <c r="C29" t="s">
        <v>24</v>
      </c>
      <c r="D29" s="2">
        <v>0.79166666666666663</v>
      </c>
      <c r="E29" s="5">
        <f t="shared" si="0"/>
        <v>1668</v>
      </c>
      <c r="F29">
        <v>-0.53400000000000003</v>
      </c>
      <c r="G29">
        <f t="shared" si="1"/>
        <v>0.54977000000000009</v>
      </c>
      <c r="H29">
        <f t="shared" si="2"/>
        <v>0.54977000000000009</v>
      </c>
      <c r="I29" s="5">
        <f t="shared" si="3"/>
        <v>1668</v>
      </c>
      <c r="J29">
        <f>+H29+CF*F29*(1+($I29-1850)*slope/1000)+F29*hQc*COS(2*PI()*$I29/qbo+$L29)+F29*hQs*SIN(2*PI()*$I29/qbo+$L29)+F29*hCs*SIN(2*PI()*$I29/cw)+F29*hCc*COS(2*PI()*$I29/cw) +mix*F29*(hQc*COS(2*PI()*$I29/qbo+$L29)+hQs*SIN(2*PI()*$I29/qbo+$L29))*(hCs*SIN(2*PI()*$I29/cw)+hCc*COS(2*PI()*$I29/cw))</f>
        <v>-13.778508380504494</v>
      </c>
      <c r="K29">
        <f>fQc*COS(2*PI()*$I29/qbo+$L29)+fQs*SIN(2*PI()*$I29/qbo+$L29)+fCs*SIN(2*PI()*$I29/cw)+fCc*COS(2*PI()*$I29/cw)</f>
        <v>-2.695669438289757</v>
      </c>
      <c r="L29">
        <f>+QMA*COS(2*PI()*$I29/QM+QMP)</f>
        <v>1.9431710636765056</v>
      </c>
      <c r="P29">
        <f t="shared" si="4"/>
        <v>1</v>
      </c>
    </row>
    <row r="30" spans="1:16" x14ac:dyDescent="0.25">
      <c r="A30" s="1"/>
      <c r="B30" t="s">
        <v>43</v>
      </c>
      <c r="C30" t="s">
        <v>24</v>
      </c>
      <c r="D30" s="2">
        <v>0.83333333333333337</v>
      </c>
      <c r="E30" s="5">
        <f t="shared" si="0"/>
        <v>1669</v>
      </c>
      <c r="F30">
        <v>-0.26948</v>
      </c>
      <c r="G30">
        <f t="shared" si="1"/>
        <v>-0.27870000000000006</v>
      </c>
      <c r="H30">
        <f t="shared" si="2"/>
        <v>-0.27870000000000006</v>
      </c>
      <c r="I30" s="5">
        <f t="shared" si="3"/>
        <v>1669</v>
      </c>
      <c r="J30">
        <f>+H30+CF*F30*(1+($I30-1850)*slope/1000)+F30*hQc*COS(2*PI()*$I30/qbo+$L30)+F30*hQs*SIN(2*PI()*$I30/qbo+$L30)+F30*hCs*SIN(2*PI()*$I30/cw)+F30*hCc*COS(2*PI()*$I30/cw) +mix*F30*(hQc*COS(2*PI()*$I30/qbo+$L30)+hQs*SIN(2*PI()*$I30/qbo+$L30))*(hCs*SIN(2*PI()*$I30/cw)+hCc*COS(2*PI()*$I30/cw))</f>
        <v>-32.857829199613697</v>
      </c>
      <c r="K30">
        <f>fQc*COS(2*PI()*$I30/qbo+$L30)+fQs*SIN(2*PI()*$I30/qbo+$L30)+fCs*SIN(2*PI()*$I30/cw)+fCc*COS(2*PI()*$I30/cw)</f>
        <v>2.237921526766065</v>
      </c>
      <c r="L30">
        <f>+QMA*COS(2*PI()*$I30/QM+QMP)</f>
        <v>1.9951754590895283</v>
      </c>
      <c r="P30">
        <f t="shared" si="4"/>
        <v>0</v>
      </c>
    </row>
    <row r="31" spans="1:16" x14ac:dyDescent="0.25">
      <c r="A31" s="1"/>
      <c r="B31" t="s">
        <v>44</v>
      </c>
      <c r="C31" t="s">
        <v>24</v>
      </c>
      <c r="D31" s="2">
        <v>0.875</v>
      </c>
      <c r="E31" s="5">
        <f t="shared" si="0"/>
        <v>1670</v>
      </c>
      <c r="F31">
        <v>-0.28366000000000002</v>
      </c>
      <c r="G31">
        <f t="shared" si="1"/>
        <v>0.70045000000000002</v>
      </c>
      <c r="H31">
        <f t="shared" si="2"/>
        <v>0.70045000000000002</v>
      </c>
      <c r="I31" s="5">
        <f t="shared" si="3"/>
        <v>1670</v>
      </c>
      <c r="J31">
        <f>+H31+CF*F31*(1+($I31-1850)*slope/1000)+F31*hQc*COS(2*PI()*$I31/qbo+$L31)+F31*hQs*SIN(2*PI()*$I31/qbo+$L31)+F31*hCs*SIN(2*PI()*$I31/cw)+F31*hCc*COS(2*PI()*$I31/cw) +mix*F31*(hQc*COS(2*PI()*$I31/qbo+$L31)+hQs*SIN(2*PI()*$I31/qbo+$L31))*(hCs*SIN(2*PI()*$I31/cw)+hCc*COS(2*PI()*$I31/cw))</f>
        <v>-13.659381517004165</v>
      </c>
      <c r="K31">
        <f>fQc*COS(2*PI()*$I31/qbo+$L31)+fQs*SIN(2*PI()*$I31/qbo+$L31)+fCs*SIN(2*PI()*$I31/cw)+fCc*COS(2*PI()*$I31/cw)</f>
        <v>1.9661448331784281</v>
      </c>
      <c r="L31">
        <f>+QMA*COS(2*PI()*$I31/QM+QMP)</f>
        <v>2.0071035468721341</v>
      </c>
      <c r="P31">
        <f t="shared" si="4"/>
        <v>0</v>
      </c>
    </row>
    <row r="32" spans="1:16" x14ac:dyDescent="0.25">
      <c r="A32" s="1"/>
      <c r="B32" t="s">
        <v>45</v>
      </c>
      <c r="C32" t="s">
        <v>24</v>
      </c>
      <c r="D32" s="2">
        <v>0.91666666666666663</v>
      </c>
      <c r="E32" s="5">
        <f t="shared" si="0"/>
        <v>1671</v>
      </c>
      <c r="F32">
        <v>0.40261000000000002</v>
      </c>
      <c r="G32">
        <f t="shared" si="1"/>
        <v>-1.4431400000000001</v>
      </c>
      <c r="H32">
        <f t="shared" si="2"/>
        <v>-1.4431400000000001</v>
      </c>
      <c r="I32" s="5">
        <f t="shared" si="3"/>
        <v>1671</v>
      </c>
      <c r="J32">
        <f>+H32+CF*F32*(1+($I32-1850)*slope/1000)+F32*hQc*COS(2*PI()*$I32/qbo+$L32)+F32*hQs*SIN(2*PI()*$I32/qbo+$L32)+F32*hCs*SIN(2*PI()*$I32/cw)+F32*hCc*COS(2*PI()*$I32/cw) +mix*F32*(hQc*COS(2*PI()*$I32/qbo+$L32)+hQs*SIN(2*PI()*$I32/qbo+$L32))*(hCs*SIN(2*PI()*$I32/cw)+hCc*COS(2*PI()*$I32/cw))</f>
        <v>115.0713429907663</v>
      </c>
      <c r="K32">
        <f>fQc*COS(2*PI()*$I32/qbo+$L32)+fQs*SIN(2*PI()*$I32/qbo+$L32)+fCs*SIN(2*PI()*$I32/cw)+fCc*COS(2*PI()*$I32/cw)</f>
        <v>-4.5852247281874181</v>
      </c>
      <c r="L32">
        <f>+QMA*COS(2*PI()*$I32/QM+QMP)</f>
        <v>1.9787157321991</v>
      </c>
      <c r="P32">
        <f t="shared" si="4"/>
        <v>0</v>
      </c>
    </row>
    <row r="33" spans="1:16" x14ac:dyDescent="0.25">
      <c r="A33" s="1"/>
      <c r="B33" t="s">
        <v>46</v>
      </c>
      <c r="C33" t="s">
        <v>24</v>
      </c>
      <c r="D33" s="2">
        <v>0.95833333333333337</v>
      </c>
      <c r="E33" s="5">
        <f t="shared" si="0"/>
        <v>1672</v>
      </c>
      <c r="F33">
        <v>-0.35426000000000002</v>
      </c>
      <c r="G33">
        <f t="shared" si="1"/>
        <v>0.87363000000000013</v>
      </c>
      <c r="H33">
        <f t="shared" si="2"/>
        <v>0.87363000000000013</v>
      </c>
      <c r="I33" s="5">
        <f t="shared" si="3"/>
        <v>1672</v>
      </c>
      <c r="J33">
        <f>+H33+CF*F33*(1+($I33-1850)*slope/1000)+F33*hQc*COS(2*PI()*$I33/qbo+$L33)+F33*hQs*SIN(2*PI()*$I33/qbo+$L33)+F33*hCs*SIN(2*PI()*$I33/cw)+F33*hCc*COS(2*PI()*$I33/cw) +mix*F33*(hQc*COS(2*PI()*$I33/qbo+$L33)+hQs*SIN(2*PI()*$I33/qbo+$L33))*(hCs*SIN(2*PI()*$I33/cw)+hCc*COS(2*PI()*$I33/cw))</f>
        <v>-22.807050349480136</v>
      </c>
      <c r="K33">
        <f>fQc*COS(2*PI()*$I33/qbo+$L33)+fQs*SIN(2*PI()*$I33/qbo+$L33)+fCs*SIN(2*PI()*$I33/cw)+fCc*COS(2*PI()*$I33/cw)</f>
        <v>2.0517224133857281</v>
      </c>
      <c r="L33">
        <f>+QMA*COS(2*PI()*$I33/QM+QMP)</f>
        <v>1.9105822299798776</v>
      </c>
      <c r="P33">
        <f t="shared" si="4"/>
        <v>0</v>
      </c>
    </row>
    <row r="34" spans="1:16" x14ac:dyDescent="0.25">
      <c r="A34" s="1"/>
      <c r="B34" t="s">
        <v>47</v>
      </c>
      <c r="C34" t="s">
        <v>24</v>
      </c>
      <c r="D34" s="3">
        <v>1</v>
      </c>
      <c r="E34" s="5">
        <f t="shared" si="0"/>
        <v>1673</v>
      </c>
      <c r="F34">
        <v>-0.23749999999999999</v>
      </c>
      <c r="G34">
        <f t="shared" si="1"/>
        <v>0.73222000000000009</v>
      </c>
      <c r="H34">
        <f t="shared" si="2"/>
        <v>0.73222000000000009</v>
      </c>
      <c r="I34" s="5">
        <f t="shared" si="3"/>
        <v>1673</v>
      </c>
      <c r="J34">
        <f>+H34+CF*F34*(1+($I34-1850)*slope/1000)+F34*hQc*COS(2*PI()*$I34/qbo+$L34)+F34*hQs*SIN(2*PI()*$I34/qbo+$L34)+F34*hCs*SIN(2*PI()*$I34/cw)+F34*hCc*COS(2*PI()*$I34/cw) +mix*F34*(hQc*COS(2*PI()*$I34/qbo+$L34)+hQs*SIN(2*PI()*$I34/qbo+$L34))*(hCs*SIN(2*PI()*$I34/cw)+hCc*COS(2*PI()*$I34/cw))</f>
        <v>-7.7149382312549113</v>
      </c>
      <c r="K34">
        <f>fQc*COS(2*PI()*$I34/qbo+$L34)+fQs*SIN(2*PI()*$I34/qbo+$L34)+fCs*SIN(2*PI()*$I34/cw)+fCc*COS(2*PI()*$I34/cw)</f>
        <v>1.29316036676698</v>
      </c>
      <c r="L34">
        <f>+QMA*COS(2*PI()*$I34/QM+QMP)</f>
        <v>1.8040716111752515</v>
      </c>
      <c r="P34">
        <f t="shared" si="4"/>
        <v>0</v>
      </c>
    </row>
    <row r="35" spans="1:16" x14ac:dyDescent="0.25">
      <c r="A35" s="1"/>
      <c r="B35" t="s">
        <v>48</v>
      </c>
      <c r="C35" t="s">
        <v>24</v>
      </c>
      <c r="D35" s="3">
        <v>1.0416666666666667</v>
      </c>
      <c r="E35" s="5">
        <f t="shared" si="0"/>
        <v>1674</v>
      </c>
      <c r="F35">
        <v>0.61148000000000002</v>
      </c>
      <c r="G35">
        <f t="shared" si="1"/>
        <v>-1.57823</v>
      </c>
      <c r="H35">
        <f t="shared" si="2"/>
        <v>-1.57823</v>
      </c>
      <c r="I35" s="5">
        <f t="shared" si="3"/>
        <v>1674</v>
      </c>
      <c r="J35">
        <f>+H35+CF*F35*(1+($I35-1850)*slope/1000)+F35*hQc*COS(2*PI()*$I35/qbo+$L35)+F35*hQs*SIN(2*PI()*$I35/qbo+$L35)+F35*hCs*SIN(2*PI()*$I35/cw)+F35*hCc*COS(2*PI()*$I35/cw) +mix*F35*(hQc*COS(2*PI()*$I35/qbo+$L35)+hQs*SIN(2*PI()*$I35/qbo+$L35))*(hCs*SIN(2*PI()*$I35/cw)+hCc*COS(2*PI()*$I35/cw))</f>
        <v>27.725817288939524</v>
      </c>
      <c r="K35">
        <f>fQc*COS(2*PI()*$I35/qbo+$L35)+fQs*SIN(2*PI()*$I35/qbo+$L35)+fCs*SIN(2*PI()*$I35/cw)+fCc*COS(2*PI()*$I35/cw)</f>
        <v>-1.688288326518314</v>
      </c>
      <c r="L35">
        <f>+QMA*COS(2*PI()*$I35/QM+QMP)</f>
        <v>1.6613233128485478</v>
      </c>
      <c r="P35">
        <f t="shared" si="4"/>
        <v>0</v>
      </c>
    </row>
    <row r="36" spans="1:16" x14ac:dyDescent="0.25">
      <c r="A36" s="1"/>
      <c r="B36" t="s">
        <v>49</v>
      </c>
      <c r="C36" t="s">
        <v>24</v>
      </c>
      <c r="D36" s="3">
        <v>1.0833333333333333</v>
      </c>
      <c r="E36" s="5">
        <f t="shared" si="0"/>
        <v>1675</v>
      </c>
      <c r="F36">
        <v>-0.11777</v>
      </c>
      <c r="G36">
        <f t="shared" si="1"/>
        <v>0.11476000000000008</v>
      </c>
      <c r="H36">
        <f t="shared" si="2"/>
        <v>0.11476000000000008</v>
      </c>
      <c r="I36" s="5">
        <f t="shared" si="3"/>
        <v>1675</v>
      </c>
      <c r="J36">
        <f>+H36+CF*F36*(1+($I36-1850)*slope/1000)+F36*hQc*COS(2*PI()*$I36/qbo+$L36)+F36*hQs*SIN(2*PI()*$I36/qbo+$L36)+F36*hCs*SIN(2*PI()*$I36/cw)+F36*hCc*COS(2*PI()*$I36/cw) +mix*F36*(hQc*COS(2*PI()*$I36/qbo+$L36)+hQs*SIN(2*PI()*$I36/qbo+$L36))*(hCs*SIN(2*PI()*$I36/cw)+hCc*COS(2*PI()*$I36/cw))</f>
        <v>21.520494186655533</v>
      </c>
      <c r="K36">
        <f>fQc*COS(2*PI()*$I36/qbo+$L36)+fQs*SIN(2*PI()*$I36/qbo+$L36)+fCs*SIN(2*PI()*$I36/cw)+fCc*COS(2*PI()*$I36/cw)</f>
        <v>1.5041871166733121</v>
      </c>
      <c r="L36">
        <f>+QMA*COS(2*PI()*$I36/QM+QMP)</f>
        <v>1.4852046641318652</v>
      </c>
      <c r="P36">
        <f t="shared" si="4"/>
        <v>1</v>
      </c>
    </row>
    <row r="37" spans="1:16" x14ac:dyDescent="0.25">
      <c r="A37" s="1"/>
      <c r="B37" t="s">
        <v>50</v>
      </c>
      <c r="C37" t="s">
        <v>24</v>
      </c>
      <c r="D37" s="3">
        <v>1.125</v>
      </c>
      <c r="E37" s="5">
        <f t="shared" si="0"/>
        <v>1676</v>
      </c>
      <c r="F37">
        <v>-0.73226000000000002</v>
      </c>
      <c r="G37">
        <f t="shared" si="1"/>
        <v>1.7616499999999999</v>
      </c>
      <c r="H37">
        <f t="shared" si="2"/>
        <v>1.7616499999999999</v>
      </c>
      <c r="I37" s="5">
        <f t="shared" si="3"/>
        <v>1676</v>
      </c>
      <c r="J37">
        <f>+H37+CF*F37*(1+($I37-1850)*slope/1000)+F37*hQc*COS(2*PI()*$I37/qbo+$L37)+F37*hQs*SIN(2*PI()*$I37/qbo+$L37)+F37*hCs*SIN(2*PI()*$I37/cw)+F37*hCc*COS(2*PI()*$I37/cw) +mix*F37*(hQc*COS(2*PI()*$I37/qbo+$L37)+hQs*SIN(2*PI()*$I37/qbo+$L37))*(hCs*SIN(2*PI()*$I37/cw)+hCc*COS(2*PI()*$I37/cw))</f>
        <v>-48.267951629610067</v>
      </c>
      <c r="K37">
        <f>fQc*COS(2*PI()*$I37/qbo+$L37)+fQs*SIN(2*PI()*$I37/qbo+$L37)+fCs*SIN(2*PI()*$I37/cw)+fCc*COS(2*PI()*$I37/cw)</f>
        <v>-1.8709719058792356</v>
      </c>
      <c r="L37">
        <f>+QMA*COS(2*PI()*$I37/QM+QMP)</f>
        <v>1.2792532913093262</v>
      </c>
      <c r="P37">
        <f t="shared" si="4"/>
        <v>1</v>
      </c>
    </row>
    <row r="38" spans="1:16" x14ac:dyDescent="0.25">
      <c r="A38" s="1"/>
      <c r="B38" t="s">
        <v>51</v>
      </c>
      <c r="C38" t="s">
        <v>24</v>
      </c>
      <c r="D38" s="3">
        <v>1.1666666666666667</v>
      </c>
      <c r="E38" s="5">
        <f t="shared" si="0"/>
        <v>1677</v>
      </c>
      <c r="F38">
        <v>0.41489999999999999</v>
      </c>
      <c r="G38">
        <f t="shared" si="1"/>
        <v>-1.8254699999999999</v>
      </c>
      <c r="H38">
        <f t="shared" si="2"/>
        <v>-1.8254699999999999</v>
      </c>
      <c r="I38" s="5">
        <f t="shared" si="3"/>
        <v>1677</v>
      </c>
      <c r="J38">
        <f>+H38+CF*F38*(1+($I38-1850)*slope/1000)+F38*hQc*COS(2*PI()*$I38/qbo+$L38)+F38*hQs*SIN(2*PI()*$I38/qbo+$L38)+F38*hCs*SIN(2*PI()*$I38/cw)+F38*hCc*COS(2*PI()*$I38/cw) +mix*F38*(hQc*COS(2*PI()*$I38/qbo+$L38)+hQs*SIN(2*PI()*$I38/qbo+$L38))*(hCs*SIN(2*PI()*$I38/cw)+hCc*COS(2*PI()*$I38/cw))</f>
        <v>-31.697040156911278</v>
      </c>
      <c r="K38">
        <f>fQc*COS(2*PI()*$I38/qbo+$L38)+fQs*SIN(2*PI()*$I38/qbo+$L38)+fCs*SIN(2*PI()*$I38/cw)+fCc*COS(2*PI()*$I38/cw)</f>
        <v>-0.27932200982574584</v>
      </c>
      <c r="L38">
        <f>+QMA*COS(2*PI()*$I38/QM+QMP)</f>
        <v>1.0476060589039373</v>
      </c>
      <c r="P38">
        <f t="shared" si="4"/>
        <v>1</v>
      </c>
    </row>
    <row r="39" spans="1:16" x14ac:dyDescent="0.25">
      <c r="A39" s="1"/>
      <c r="B39" t="s">
        <v>52</v>
      </c>
      <c r="C39" t="s">
        <v>24</v>
      </c>
      <c r="D39" s="3">
        <v>1.2083333333333333</v>
      </c>
      <c r="E39" s="5">
        <f t="shared" si="0"/>
        <v>1678</v>
      </c>
      <c r="F39">
        <v>-0.26340999999999998</v>
      </c>
      <c r="G39">
        <f t="shared" si="1"/>
        <v>0.3245599999999999</v>
      </c>
      <c r="H39">
        <f t="shared" si="2"/>
        <v>0.3245599999999999</v>
      </c>
      <c r="I39" s="5">
        <f t="shared" si="3"/>
        <v>1678</v>
      </c>
      <c r="J39">
        <f>+H39+CF*F39*(1+($I39-1850)*slope/1000)+F39*hQc*COS(2*PI()*$I39/qbo+$L39)+F39*hQs*SIN(2*PI()*$I39/qbo+$L39)+F39*hCs*SIN(2*PI()*$I39/cw)+F39*hCc*COS(2*PI()*$I39/cw) +mix*F39*(hQc*COS(2*PI()*$I39/qbo+$L39)+hQs*SIN(2*PI()*$I39/qbo+$L39))*(hCs*SIN(2*PI()*$I39/cw)+hCc*COS(2*PI()*$I39/cw))</f>
        <v>-28.083541622115085</v>
      </c>
      <c r="K39">
        <f>fQc*COS(2*PI()*$I39/qbo+$L39)+fQs*SIN(2*PI()*$I39/qbo+$L39)+fCs*SIN(2*PI()*$I39/cw)+fCc*COS(2*PI()*$I39/cw)</f>
        <v>3.8559964837432887</v>
      </c>
      <c r="L39">
        <f>+QMA*COS(2*PI()*$I39/QM+QMP)</f>
        <v>0.79491597410145098</v>
      </c>
      <c r="P39">
        <f t="shared" si="4"/>
        <v>0</v>
      </c>
    </row>
    <row r="40" spans="1:16" x14ac:dyDescent="0.25">
      <c r="A40" s="1"/>
      <c r="B40" t="s">
        <v>53</v>
      </c>
      <c r="C40" t="s">
        <v>24</v>
      </c>
      <c r="D40" s="3">
        <v>1.25</v>
      </c>
      <c r="E40" s="5">
        <f t="shared" si="0"/>
        <v>1679</v>
      </c>
      <c r="F40">
        <v>-0.61716000000000004</v>
      </c>
      <c r="G40">
        <f t="shared" si="1"/>
        <v>1.15364</v>
      </c>
      <c r="H40">
        <f t="shared" si="2"/>
        <v>1.15364</v>
      </c>
      <c r="I40" s="5">
        <f t="shared" si="3"/>
        <v>1679</v>
      </c>
      <c r="J40">
        <f>+H40+CF*F40*(1+($I40-1850)*slope/1000)+F40*hQc*COS(2*PI()*$I40/qbo+$L40)+F40*hQs*SIN(2*PI()*$I40/qbo+$L40)+F40*hCs*SIN(2*PI()*$I40/cw)+F40*hCc*COS(2*PI()*$I40/cw) +mix*F40*(hQc*COS(2*PI()*$I40/qbo+$L40)+hQs*SIN(2*PI()*$I40/qbo+$L40))*(hCs*SIN(2*PI()*$I40/cw)+hCc*COS(2*PI()*$I40/cw))</f>
        <v>-102.59787811672672</v>
      </c>
      <c r="K40">
        <f>fQc*COS(2*PI()*$I40/qbo+$L40)+fQs*SIN(2*PI()*$I40/qbo+$L40)+fCs*SIN(2*PI()*$I40/cw)+fCc*COS(2*PI()*$I40/cw)</f>
        <v>-2.8361349721950435</v>
      </c>
      <c r="L40">
        <f>+QMA*COS(2*PI()*$I40/QM+QMP)</f>
        <v>0.52625872361767723</v>
      </c>
      <c r="P40">
        <f t="shared" si="4"/>
        <v>1</v>
      </c>
    </row>
    <row r="41" spans="1:16" x14ac:dyDescent="0.25">
      <c r="A41" s="1"/>
      <c r="B41" t="s">
        <v>54</v>
      </c>
      <c r="C41" t="s">
        <v>24</v>
      </c>
      <c r="D41" s="3">
        <v>1.2916666666666667</v>
      </c>
      <c r="E41" s="5">
        <f t="shared" si="0"/>
        <v>1680</v>
      </c>
      <c r="F41">
        <v>0.18273</v>
      </c>
      <c r="G41">
        <f t="shared" si="1"/>
        <v>-0.71388000000000007</v>
      </c>
      <c r="H41">
        <f t="shared" si="2"/>
        <v>-0.71388000000000007</v>
      </c>
      <c r="I41" s="5">
        <f t="shared" si="3"/>
        <v>1680</v>
      </c>
      <c r="J41">
        <f>+H41+CF*F41*(1+($I41-1850)*slope/1000)+F41*hQc*COS(2*PI()*$I41/qbo+$L41)+F41*hQs*SIN(2*PI()*$I41/qbo+$L41)+F41*hCs*SIN(2*PI()*$I41/cw)+F41*hCc*COS(2*PI()*$I41/cw) +mix*F41*(hQc*COS(2*PI()*$I41/qbo+$L41)+hQs*SIN(2*PI()*$I41/qbo+$L41))*(hCs*SIN(2*PI()*$I41/cw)+hCc*COS(2*PI()*$I41/cw))</f>
        <v>15.062857092577701</v>
      </c>
      <c r="K41">
        <f>fQc*COS(2*PI()*$I41/qbo+$L41)+fQs*SIN(2*PI()*$I41/qbo+$L41)+fCs*SIN(2*PI()*$I41/cw)+fCc*COS(2*PI()*$I41/cw)</f>
        <v>-2.529694798944516</v>
      </c>
      <c r="L41">
        <f>+QMA*COS(2*PI()*$I41/QM+QMP)</f>
        <v>0.24703072036887214</v>
      </c>
      <c r="P41">
        <f t="shared" si="4"/>
        <v>0</v>
      </c>
    </row>
    <row r="42" spans="1:16" x14ac:dyDescent="0.25">
      <c r="A42" s="1"/>
      <c r="B42" t="s">
        <v>55</v>
      </c>
      <c r="C42" t="s">
        <v>24</v>
      </c>
      <c r="D42" s="3">
        <v>1.3333333333333333</v>
      </c>
      <c r="E42" s="5">
        <f t="shared" si="0"/>
        <v>1681</v>
      </c>
      <c r="F42">
        <v>0.26873999999999998</v>
      </c>
      <c r="G42">
        <f t="shared" si="1"/>
        <v>0.38514000000000009</v>
      </c>
      <c r="H42">
        <f t="shared" si="2"/>
        <v>0.38514000000000009</v>
      </c>
      <c r="I42" s="5">
        <f t="shared" si="3"/>
        <v>1681</v>
      </c>
      <c r="J42">
        <f>+H42+CF*F42*(1+($I42-1850)*slope/1000)+F42*hQc*COS(2*PI()*$I42/qbo+$L42)+F42*hQs*SIN(2*PI()*$I42/qbo+$L42)+F42*hCs*SIN(2*PI()*$I42/cw)+F42*hCc*COS(2*PI()*$I42/cw) +mix*F42*(hQc*COS(2*PI()*$I42/qbo+$L42)+hQs*SIN(2*PI()*$I42/qbo+$L42))*(hCs*SIN(2*PI()*$I42/cw)+hCc*COS(2*PI()*$I42/cw))</f>
        <v>80.505339389543664</v>
      </c>
      <c r="K42">
        <f>fQc*COS(2*PI()*$I42/qbo+$L42)+fQs*SIN(2*PI()*$I42/qbo+$L42)+fCs*SIN(2*PI()*$I42/cw)+fCc*COS(2*PI()*$I42/cw)</f>
        <v>4.4226360279408388</v>
      </c>
      <c r="L42">
        <f>+QMA*COS(2*PI()*$I42/QM+QMP)</f>
        <v>-3.7159292160094615E-2</v>
      </c>
      <c r="P42">
        <f t="shared" si="4"/>
        <v>1</v>
      </c>
    </row>
    <row r="43" spans="1:16" x14ac:dyDescent="0.25">
      <c r="A43" s="1"/>
      <c r="B43" t="s">
        <v>56</v>
      </c>
      <c r="C43" t="s">
        <v>24</v>
      </c>
      <c r="D43" s="3">
        <v>1.375</v>
      </c>
      <c r="E43" s="5">
        <f t="shared" si="0"/>
        <v>1682</v>
      </c>
      <c r="F43">
        <v>0.73989000000000005</v>
      </c>
      <c r="G43">
        <f t="shared" si="1"/>
        <v>-1.0157100000000001</v>
      </c>
      <c r="H43">
        <f t="shared" si="2"/>
        <v>-1.0157100000000001</v>
      </c>
      <c r="I43" s="5">
        <f t="shared" si="3"/>
        <v>1682</v>
      </c>
      <c r="J43">
        <f>+H43+CF*F43*(1+($I43-1850)*slope/1000)+F43*hQc*COS(2*PI()*$I43/qbo+$L43)+F43*hQs*SIN(2*PI()*$I43/qbo+$L43)+F43*hCs*SIN(2*PI()*$I43/cw)+F43*hCc*COS(2*PI()*$I43/cw) +mix*F43*(hQc*COS(2*PI()*$I43/qbo+$L43)+hQs*SIN(2*PI()*$I43/qbo+$L43))*(hCs*SIN(2*PI()*$I43/cw)+hCc*COS(2*PI()*$I43/cw))</f>
        <v>12.417732293434437</v>
      </c>
      <c r="K43">
        <f>fQc*COS(2*PI()*$I43/qbo+$L43)+fQs*SIN(2*PI()*$I43/qbo+$L43)+fCs*SIN(2*PI()*$I43/cw)+fCc*COS(2*PI()*$I43/cw)</f>
        <v>-0.42595760807742378</v>
      </c>
      <c r="L43">
        <f>+QMA*COS(2*PI()*$I43/QM+QMP)</f>
        <v>-0.32060290054854995</v>
      </c>
      <c r="P43">
        <f t="shared" si="4"/>
        <v>0</v>
      </c>
    </row>
    <row r="44" spans="1:16" x14ac:dyDescent="0.25">
      <c r="A44" s="1"/>
      <c r="B44" t="s">
        <v>57</v>
      </c>
      <c r="C44" t="s">
        <v>24</v>
      </c>
      <c r="D44" s="3">
        <v>1.4166666666666667</v>
      </c>
      <c r="E44" s="5">
        <f t="shared" si="0"/>
        <v>1683</v>
      </c>
      <c r="F44">
        <v>0.19533</v>
      </c>
      <c r="G44">
        <f t="shared" si="1"/>
        <v>0.24701000000000006</v>
      </c>
      <c r="H44">
        <f t="shared" si="2"/>
        <v>0.24701000000000006</v>
      </c>
      <c r="I44" s="5">
        <f t="shared" si="3"/>
        <v>1683</v>
      </c>
      <c r="J44">
        <f>+H44+CF*F44*(1+($I44-1850)*slope/1000)+F44*hQc*COS(2*PI()*$I44/qbo+$L44)+F44*hQs*SIN(2*PI()*$I44/qbo+$L44)+F44*hCs*SIN(2*PI()*$I44/cw)+F44*hCc*COS(2*PI()*$I44/cw) +mix*F44*(hQc*COS(2*PI()*$I44/qbo+$L44)+hQs*SIN(2*PI()*$I44/qbo+$L44))*(hCs*SIN(2*PI()*$I44/cw)+hCc*COS(2*PI()*$I44/cw))</f>
        <v>33.357907444317483</v>
      </c>
      <c r="K44">
        <f>fQc*COS(2*PI()*$I44/qbo+$L44)+fQs*SIN(2*PI()*$I44/qbo+$L44)+fCs*SIN(2*PI()*$I44/cw)+fCc*COS(2*PI()*$I44/cw)</f>
        <v>-2.9471651956063014</v>
      </c>
      <c r="L44">
        <f>+QMA*COS(2*PI()*$I44/QM+QMP)</f>
        <v>-0.59760668410297024</v>
      </c>
      <c r="P44">
        <f t="shared" si="4"/>
        <v>0</v>
      </c>
    </row>
    <row r="45" spans="1:16" x14ac:dyDescent="0.25">
      <c r="A45" s="1"/>
      <c r="B45" t="s">
        <v>58</v>
      </c>
      <c r="C45" t="s">
        <v>24</v>
      </c>
      <c r="D45" s="3">
        <v>1.4583333333333333</v>
      </c>
      <c r="E45" s="5">
        <f t="shared" si="0"/>
        <v>1684</v>
      </c>
      <c r="F45">
        <v>-0.10222000000000001</v>
      </c>
      <c r="G45">
        <f t="shared" si="1"/>
        <v>-0.73465000000000003</v>
      </c>
      <c r="H45">
        <f t="shared" si="2"/>
        <v>-0.73465000000000003</v>
      </c>
      <c r="I45" s="5">
        <f t="shared" si="3"/>
        <v>1684</v>
      </c>
      <c r="J45">
        <f>+H45+CF*F45*(1+($I45-1850)*slope/1000)+F45*hQc*COS(2*PI()*$I45/qbo+$L45)+F45*hQs*SIN(2*PI()*$I45/qbo+$L45)+F45*hCs*SIN(2*PI()*$I45/cw)+F45*hCc*COS(2*PI()*$I45/cw) +mix*F45*(hQc*COS(2*PI()*$I45/qbo+$L45)+hQs*SIN(2*PI()*$I45/qbo+$L45))*(hCs*SIN(2*PI()*$I45/cw)+hCc*COS(2*PI()*$I45/cw))</f>
        <v>3.0344317057635042</v>
      </c>
      <c r="K45">
        <f>fQc*COS(2*PI()*$I45/qbo+$L45)+fQs*SIN(2*PI()*$I45/qbo+$L45)+fCs*SIN(2*PI()*$I45/cw)+fCc*COS(2*PI()*$I45/cw)</f>
        <v>2.0111765887344291</v>
      </c>
      <c r="L45">
        <f>+QMA*COS(2*PI()*$I45/QM+QMP)</f>
        <v>-0.86260657636798121</v>
      </c>
      <c r="P45">
        <f t="shared" si="4"/>
        <v>1</v>
      </c>
    </row>
    <row r="46" spans="1:16" x14ac:dyDescent="0.25">
      <c r="A46" s="1"/>
      <c r="B46" t="s">
        <v>59</v>
      </c>
      <c r="C46" t="s">
        <v>24</v>
      </c>
      <c r="D46" s="3">
        <v>1.5</v>
      </c>
      <c r="E46" s="5">
        <f t="shared" si="0"/>
        <v>1685</v>
      </c>
      <c r="F46">
        <v>-1.13442</v>
      </c>
      <c r="G46">
        <f t="shared" si="1"/>
        <v>2.4325399999999999</v>
      </c>
      <c r="H46">
        <f t="shared" si="2"/>
        <v>2.4325399999999999</v>
      </c>
      <c r="I46" s="5">
        <f t="shared" si="3"/>
        <v>1685</v>
      </c>
      <c r="J46">
        <f>+H46+CF*F46*(1+($I46-1850)*slope/1000)+F46*hQc*COS(2*PI()*$I46/qbo+$L46)+F46*hQs*SIN(2*PI()*$I46/qbo+$L46)+F46*hCs*SIN(2*PI()*$I46/cw)+F46*hCc*COS(2*PI()*$I46/cw) +mix*F46*(hQc*COS(2*PI()*$I46/qbo+$L46)+hQs*SIN(2*PI()*$I46/qbo+$L46))*(hCs*SIN(2*PI()*$I46/cw)+hCc*COS(2*PI()*$I46/cw))</f>
        <v>68.896179826065833</v>
      </c>
      <c r="K46">
        <f>fQc*COS(2*PI()*$I46/qbo+$L46)+fQs*SIN(2*PI()*$I46/qbo+$L46)+fCs*SIN(2*PI()*$I46/cw)+fCc*COS(2*PI()*$I46/cw)</f>
        <v>-0.3246314318353074</v>
      </c>
      <c r="L46">
        <f>+QMA*COS(2*PI()*$I46/QM+QMP)</f>
        <v>-1.1102796283488738</v>
      </c>
      <c r="P46">
        <f t="shared" si="4"/>
        <v>0</v>
      </c>
    </row>
    <row r="47" spans="1:16" x14ac:dyDescent="0.25">
      <c r="A47" s="1"/>
      <c r="B47" t="s">
        <v>60</v>
      </c>
      <c r="C47" t="s">
        <v>24</v>
      </c>
      <c r="D47" s="3">
        <v>1.5416666666666667</v>
      </c>
      <c r="E47" s="5">
        <f t="shared" si="0"/>
        <v>1686</v>
      </c>
      <c r="F47">
        <v>0.26591999999999999</v>
      </c>
      <c r="G47">
        <f t="shared" si="1"/>
        <v>-0.68174000000000001</v>
      </c>
      <c r="H47">
        <f t="shared" si="2"/>
        <v>-0.68174000000000001</v>
      </c>
      <c r="I47" s="5">
        <f t="shared" si="3"/>
        <v>1686</v>
      </c>
      <c r="J47">
        <f>+H47+CF*F47*(1+($I47-1850)*slope/1000)+F47*hQc*COS(2*PI()*$I47/qbo+$L47)+F47*hQs*SIN(2*PI()*$I47/qbo+$L47)+F47*hCs*SIN(2*PI()*$I47/cw)+F47*hCc*COS(2*PI()*$I47/cw) +mix*F47*(hQc*COS(2*PI()*$I47/qbo+$L47)+hQs*SIN(2*PI()*$I47/qbo+$L47))*(hCs*SIN(2*PI()*$I47/cw)+hCc*COS(2*PI()*$I47/cw))</f>
        <v>1.3635505414797979</v>
      </c>
      <c r="K47">
        <f>fQc*COS(2*PI()*$I47/qbo+$L47)+fQs*SIN(2*PI()*$I47/qbo+$L47)+fCs*SIN(2*PI()*$I47/cw)+fCc*COS(2*PI()*$I47/cw)</f>
        <v>-0.25239096697996288</v>
      </c>
      <c r="L47">
        <f>+QMA*COS(2*PI()*$I47/QM+QMP)</f>
        <v>-1.3356509285020268</v>
      </c>
      <c r="P47">
        <f t="shared" si="4"/>
        <v>0</v>
      </c>
    </row>
    <row r="48" spans="1:16" x14ac:dyDescent="0.25">
      <c r="A48" s="1"/>
      <c r="B48" t="s">
        <v>61</v>
      </c>
      <c r="C48" t="s">
        <v>24</v>
      </c>
      <c r="D48" s="3">
        <v>1.5833333333333333</v>
      </c>
      <c r="E48" s="5">
        <f t="shared" si="0"/>
        <v>1687</v>
      </c>
      <c r="F48">
        <v>0.98451999999999995</v>
      </c>
      <c r="G48">
        <f t="shared" si="1"/>
        <v>-1.5032599999999998</v>
      </c>
      <c r="H48">
        <f t="shared" si="2"/>
        <v>-1.5032599999999998</v>
      </c>
      <c r="I48" s="5">
        <f t="shared" si="3"/>
        <v>1687</v>
      </c>
      <c r="J48">
        <f>+H48+CF*F48*(1+($I48-1850)*slope/1000)+F48*hQc*COS(2*PI()*$I48/qbo+$L48)+F48*hQs*SIN(2*PI()*$I48/qbo+$L48)+F48*hCs*SIN(2*PI()*$I48/cw)+F48*hCc*COS(2*PI()*$I48/cw) +mix*F48*(hQc*COS(2*PI()*$I48/qbo+$L48)+hQs*SIN(2*PI()*$I48/qbo+$L48))*(hCs*SIN(2*PI()*$I48/cw)+hCc*COS(2*PI()*$I48/cw))</f>
        <v>-155.76193534964924</v>
      </c>
      <c r="K48">
        <f>fQc*COS(2*PI()*$I48/qbo+$L48)+fQs*SIN(2*PI()*$I48/qbo+$L48)+fCs*SIN(2*PI()*$I48/cw)+fCc*COS(2*PI()*$I48/cw)</f>
        <v>1.9244857614502184</v>
      </c>
      <c r="L48">
        <f>+QMA*COS(2*PI()*$I48/QM+QMP)</f>
        <v>-1.5341935318336497</v>
      </c>
      <c r="P48">
        <f t="shared" si="4"/>
        <v>0</v>
      </c>
    </row>
    <row r="49" spans="1:16" x14ac:dyDescent="0.25">
      <c r="A49" s="1"/>
      <c r="B49" t="s">
        <v>62</v>
      </c>
      <c r="C49" t="s">
        <v>24</v>
      </c>
      <c r="D49" s="3">
        <v>1.625</v>
      </c>
      <c r="E49" s="5">
        <f t="shared" si="0"/>
        <v>1688</v>
      </c>
      <c r="F49">
        <v>0.19986000000000001</v>
      </c>
      <c r="G49">
        <f t="shared" si="1"/>
        <v>1.1437299999999999</v>
      </c>
      <c r="H49">
        <f t="shared" si="2"/>
        <v>1.1437299999999999</v>
      </c>
      <c r="I49" s="5">
        <f t="shared" si="3"/>
        <v>1688</v>
      </c>
      <c r="J49">
        <f>+H49+CF*F49*(1+($I49-1850)*slope/1000)+F49*hQc*COS(2*PI()*$I49/qbo+$L49)+F49*hQs*SIN(2*PI()*$I49/qbo+$L49)+F49*hCs*SIN(2*PI()*$I49/cw)+F49*hCc*COS(2*PI()*$I49/cw) +mix*F49*(hQc*COS(2*PI()*$I49/qbo+$L49)+hQs*SIN(2*PI()*$I49/qbo+$L49))*(hCs*SIN(2*PI()*$I49/cw)+hCc*COS(2*PI()*$I49/cw))</f>
        <v>28.986057788585079</v>
      </c>
      <c r="K49">
        <f>fQc*COS(2*PI()*$I49/qbo+$L49)+fQs*SIN(2*PI()*$I49/qbo+$L49)+fCs*SIN(2*PI()*$I49/cw)+fCc*COS(2*PI()*$I49/cw)</f>
        <v>-3.3622078220746436</v>
      </c>
      <c r="L49">
        <f>+QMA*COS(2*PI()*$I49/QM+QMP)</f>
        <v>-1.7019193908703436</v>
      </c>
      <c r="P49">
        <f t="shared" si="4"/>
        <v>0</v>
      </c>
    </row>
    <row r="50" spans="1:16" x14ac:dyDescent="0.25">
      <c r="A50" s="1"/>
      <c r="B50" t="s">
        <v>63</v>
      </c>
      <c r="C50" t="s">
        <v>24</v>
      </c>
      <c r="D50" s="3">
        <v>1.6666666666666667</v>
      </c>
      <c r="E50" s="5">
        <f t="shared" si="0"/>
        <v>1689</v>
      </c>
      <c r="F50">
        <v>0.55893000000000004</v>
      </c>
      <c r="G50">
        <f t="shared" si="1"/>
        <v>-0.55098000000000003</v>
      </c>
      <c r="H50">
        <f t="shared" si="2"/>
        <v>-0.55098000000000003</v>
      </c>
      <c r="I50" s="5">
        <f t="shared" si="3"/>
        <v>1689</v>
      </c>
      <c r="J50">
        <f>+H50+CF*F50*(1+($I50-1850)*slope/1000)+F50*hQc*COS(2*PI()*$I50/qbo+$L50)+F50*hQs*SIN(2*PI()*$I50/qbo+$L50)+F50*hCs*SIN(2*PI()*$I50/cw)+F50*hCc*COS(2*PI()*$I50/cw) +mix*F50*(hQc*COS(2*PI()*$I50/qbo+$L50)+hQs*SIN(2*PI()*$I50/qbo+$L50))*(hCs*SIN(2*PI()*$I50/cw)+hCc*COS(2*PI()*$I50/cw))</f>
        <v>18.857729362949751</v>
      </c>
      <c r="K50">
        <f>fQc*COS(2*PI()*$I50/qbo+$L50)+fQs*SIN(2*PI()*$I50/qbo+$L50)+fCs*SIN(2*PI()*$I50/cw)+fCc*COS(2*PI()*$I50/cw)</f>
        <v>0.62736638127727651</v>
      </c>
      <c r="L50">
        <f>+QMA*COS(2*PI()*$I50/QM+QMP)</f>
        <v>-1.8354594620055236</v>
      </c>
      <c r="P50">
        <f t="shared" si="4"/>
        <v>1</v>
      </c>
    </row>
    <row r="51" spans="1:16" x14ac:dyDescent="0.25">
      <c r="A51" s="1"/>
      <c r="B51" t="s">
        <v>64</v>
      </c>
      <c r="C51" t="s">
        <v>24</v>
      </c>
      <c r="D51" s="3">
        <v>1.7083333333333333</v>
      </c>
      <c r="E51" s="5">
        <f t="shared" si="0"/>
        <v>1690</v>
      </c>
      <c r="F51">
        <v>0.36702000000000001</v>
      </c>
      <c r="G51">
        <f t="shared" si="1"/>
        <v>-0.22628999999999999</v>
      </c>
      <c r="H51">
        <f t="shared" si="2"/>
        <v>-0.22628999999999999</v>
      </c>
      <c r="I51" s="5">
        <f t="shared" si="3"/>
        <v>1690</v>
      </c>
      <c r="J51">
        <f>+H51+CF*F51*(1+($I51-1850)*slope/1000)+F51*hQc*COS(2*PI()*$I51/qbo+$L51)+F51*hQs*SIN(2*PI()*$I51/qbo+$L51)+F51*hCs*SIN(2*PI()*$I51/cw)+F51*hCc*COS(2*PI()*$I51/cw) +mix*F51*(hQc*COS(2*PI()*$I51/qbo+$L51)+hQs*SIN(2*PI()*$I51/qbo+$L51))*(hCs*SIN(2*PI()*$I51/cw)+hCc*COS(2*PI()*$I51/cw))</f>
        <v>63.775410703179077</v>
      </c>
      <c r="K51">
        <f>fQc*COS(2*PI()*$I51/qbo+$L51)+fQs*SIN(2*PI()*$I51/qbo+$L51)+fCs*SIN(2*PI()*$I51/cw)+fCc*COS(2*PI()*$I51/cw)</f>
        <v>3.8881228738021969</v>
      </c>
      <c r="L51">
        <f>+QMA*COS(2*PI()*$I51/QM+QMP)</f>
        <v>-1.9321313781584826</v>
      </c>
      <c r="P51">
        <f t="shared" si="4"/>
        <v>1</v>
      </c>
    </row>
    <row r="52" spans="1:16" x14ac:dyDescent="0.25">
      <c r="A52" s="1"/>
      <c r="B52" t="s">
        <v>65</v>
      </c>
      <c r="C52" t="s">
        <v>24</v>
      </c>
      <c r="D52" s="3">
        <v>1.75</v>
      </c>
      <c r="E52" s="5">
        <f t="shared" si="0"/>
        <v>1691</v>
      </c>
      <c r="F52">
        <v>-5.1180000000000003E-2</v>
      </c>
      <c r="G52">
        <f t="shared" si="1"/>
        <v>1.0916700000000001</v>
      </c>
      <c r="H52">
        <f t="shared" si="2"/>
        <v>1.0916700000000001</v>
      </c>
      <c r="I52" s="5">
        <f t="shared" si="3"/>
        <v>1691</v>
      </c>
      <c r="J52">
        <f>+H52+CF*F52*(1+($I52-1850)*slope/1000)+F52*hQc*COS(2*PI()*$I52/qbo+$L52)+F52*hQs*SIN(2*PI()*$I52/qbo+$L52)+F52*hCs*SIN(2*PI()*$I52/cw)+F52*hCc*COS(2*PI()*$I52/cw) +mix*F52*(hQc*COS(2*PI()*$I52/qbo+$L52)+hQs*SIN(2*PI()*$I52/qbo+$L52))*(hCs*SIN(2*PI()*$I52/cw)+hCc*COS(2*PI()*$I52/cw))</f>
        <v>-11.090385660410206</v>
      </c>
      <c r="K52">
        <f>fQc*COS(2*PI()*$I52/qbo+$L52)+fQs*SIN(2*PI()*$I52/qbo+$L52)+fCs*SIN(2*PI()*$I52/cw)+fCc*COS(2*PI()*$I52/cw)</f>
        <v>-3.9284981010017006</v>
      </c>
      <c r="L52">
        <f>+QMA*COS(2*PI()*$I52/QM+QMP)</f>
        <v>-1.9899933284306544</v>
      </c>
      <c r="P52">
        <f t="shared" si="4"/>
        <v>1</v>
      </c>
    </row>
    <row r="53" spans="1:16" x14ac:dyDescent="0.25">
      <c r="A53" s="1"/>
      <c r="B53" t="s">
        <v>66</v>
      </c>
      <c r="C53" t="s">
        <v>24</v>
      </c>
      <c r="D53" s="3">
        <v>1.7916666666666667</v>
      </c>
      <c r="E53" s="5">
        <f t="shared" si="0"/>
        <v>1692</v>
      </c>
      <c r="F53">
        <v>0.62229000000000001</v>
      </c>
      <c r="G53">
        <f t="shared" si="1"/>
        <v>-0.81603000000000003</v>
      </c>
      <c r="H53">
        <f t="shared" si="2"/>
        <v>-0.81603000000000003</v>
      </c>
      <c r="I53" s="5">
        <f t="shared" si="3"/>
        <v>1692</v>
      </c>
      <c r="J53">
        <f>+H53+CF*F53*(1+($I53-1850)*slope/1000)+F53*hQc*COS(2*PI()*$I53/qbo+$L53)+F53*hQs*SIN(2*PI()*$I53/qbo+$L53)+F53*hCs*SIN(2*PI()*$I53/cw)+F53*hCc*COS(2*PI()*$I53/cw) +mix*F53*(hQc*COS(2*PI()*$I53/qbo+$L53)+hQs*SIN(2*PI()*$I53/qbo+$L53))*(hCs*SIN(2*PI()*$I53/cw)+hCc*COS(2*PI()*$I53/cw))</f>
        <v>-18.362036192507979</v>
      </c>
      <c r="K53">
        <f>fQc*COS(2*PI()*$I53/qbo+$L53)+fQs*SIN(2*PI()*$I53/qbo+$L53)+fCs*SIN(2*PI()*$I53/cw)+fCc*COS(2*PI()*$I53/cw)</f>
        <v>0.19132001775168916</v>
      </c>
      <c r="L53">
        <f>+QMA*COS(2*PI()*$I53/QM+QMP)</f>
        <v>-2.0078830625003024</v>
      </c>
      <c r="P53">
        <f t="shared" si="4"/>
        <v>0</v>
      </c>
    </row>
    <row r="54" spans="1:16" x14ac:dyDescent="0.25">
      <c r="A54" s="1"/>
      <c r="B54" t="s">
        <v>67</v>
      </c>
      <c r="C54" t="s">
        <v>24</v>
      </c>
      <c r="D54" s="3">
        <v>1.8333333333333333</v>
      </c>
      <c r="E54" s="5">
        <f t="shared" si="0"/>
        <v>1693</v>
      </c>
      <c r="F54">
        <v>0.47972999999999999</v>
      </c>
      <c r="G54">
        <f t="shared" si="1"/>
        <v>0.33596000000000004</v>
      </c>
      <c r="H54">
        <f t="shared" si="2"/>
        <v>0.33596000000000004</v>
      </c>
      <c r="I54" s="5">
        <f t="shared" si="3"/>
        <v>1693</v>
      </c>
      <c r="J54">
        <f>+H54+CF*F54*(1+($I54-1850)*slope/1000)+F54*hQc*COS(2*PI()*$I54/qbo+$L54)+F54*hQs*SIN(2*PI()*$I54/qbo+$L54)+F54*hCs*SIN(2*PI()*$I54/cw)+F54*hCc*COS(2*PI()*$I54/cw) +mix*F54*(hQc*COS(2*PI()*$I54/qbo+$L54)+hQs*SIN(2*PI()*$I54/qbo+$L54))*(hCs*SIN(2*PI()*$I54/cw)+hCc*COS(2*PI()*$I54/cw))</f>
        <v>44.080684573294185</v>
      </c>
      <c r="K54">
        <f>fQc*COS(2*PI()*$I54/qbo+$L54)+fQs*SIN(2*PI()*$I54/qbo+$L54)+fCs*SIN(2*PI()*$I54/cw)+fCc*COS(2*PI()*$I54/cw)</f>
        <v>1.5113882351629937</v>
      </c>
      <c r="L54">
        <f>+QMA*COS(2*PI()*$I54/QM+QMP)</f>
        <v>-1.9854412362893432</v>
      </c>
      <c r="P54">
        <f t="shared" si="4"/>
        <v>1</v>
      </c>
    </row>
    <row r="55" spans="1:16" x14ac:dyDescent="0.25">
      <c r="A55" s="1"/>
      <c r="B55" t="s">
        <v>68</v>
      </c>
      <c r="C55" t="s">
        <v>24</v>
      </c>
      <c r="D55" s="3">
        <v>1.875</v>
      </c>
      <c r="E55" s="5">
        <f t="shared" si="0"/>
        <v>1694</v>
      </c>
      <c r="F55">
        <v>0.67313000000000001</v>
      </c>
      <c r="G55">
        <f t="shared" si="1"/>
        <v>0.17141000000000006</v>
      </c>
      <c r="H55">
        <f t="shared" si="2"/>
        <v>0.17141000000000006</v>
      </c>
      <c r="I55" s="5">
        <f t="shared" si="3"/>
        <v>1694</v>
      </c>
      <c r="J55">
        <f>+H55+CF*F55*(1+($I55-1850)*slope/1000)+F55*hQc*COS(2*PI()*$I55/qbo+$L55)+F55*hQs*SIN(2*PI()*$I55/qbo+$L55)+F55*hCs*SIN(2*PI()*$I55/cw)+F55*hCc*COS(2*PI()*$I55/cw) +mix*F55*(hQc*COS(2*PI()*$I55/qbo+$L55)+hQs*SIN(2*PI()*$I55/qbo+$L55))*(hCs*SIN(2*PI()*$I55/cw)+hCc*COS(2*PI()*$I55/cw))</f>
        <v>-51.800301126295047</v>
      </c>
      <c r="K55">
        <f>fQc*COS(2*PI()*$I55/qbo+$L55)+fQs*SIN(2*PI()*$I55/qbo+$L55)+fCs*SIN(2*PI()*$I55/cw)+fCc*COS(2*PI()*$I55/cw)</f>
        <v>-1.0240827718238685</v>
      </c>
      <c r="L55">
        <f>+QMA*COS(2*PI()*$I55/QM+QMP)</f>
        <v>-1.9231186299669649</v>
      </c>
      <c r="P55">
        <f t="shared" si="4"/>
        <v>1</v>
      </c>
    </row>
    <row r="56" spans="1:16" x14ac:dyDescent="0.25">
      <c r="A56" s="1"/>
      <c r="B56" t="s">
        <v>69</v>
      </c>
      <c r="C56" t="s">
        <v>24</v>
      </c>
      <c r="D56" s="3">
        <v>1.9166666666666667</v>
      </c>
      <c r="E56" s="5">
        <f t="shared" si="0"/>
        <v>1695</v>
      </c>
      <c r="F56">
        <v>1.0379400000000001</v>
      </c>
      <c r="G56">
        <f t="shared" si="1"/>
        <v>-2.4887899999999998</v>
      </c>
      <c r="H56">
        <f t="shared" si="2"/>
        <v>-2.4887899999999998</v>
      </c>
      <c r="I56" s="5">
        <f t="shared" si="3"/>
        <v>1695</v>
      </c>
      <c r="J56">
        <f>+H56+CF*F56*(1+($I56-1850)*slope/1000)+F56*hQc*COS(2*PI()*$I56/qbo+$L56)+F56*hQs*SIN(2*PI()*$I56/qbo+$L56)+F56*hCs*SIN(2*PI()*$I56/cw)+F56*hCc*COS(2*PI()*$I56/cw) +mix*F56*(hQc*COS(2*PI()*$I56/qbo+$L56)+hQs*SIN(2*PI()*$I56/qbo+$L56))*(hCs*SIN(2*PI()*$I56/cw)+hCc*COS(2*PI()*$I56/cw))</f>
        <v>-127.52878195658602</v>
      </c>
      <c r="K56">
        <f>fQc*COS(2*PI()*$I56/qbo+$L56)+fQs*SIN(2*PI()*$I56/qbo+$L56)+fCs*SIN(2*PI()*$I56/cw)+fCc*COS(2*PI()*$I56/cw)</f>
        <v>2.3214708013606344</v>
      </c>
      <c r="L56">
        <f>+QMA*COS(2*PI()*$I56/QM+QMP)</f>
        <v>-1.8221670933050624</v>
      </c>
      <c r="P56">
        <f t="shared" si="4"/>
        <v>0</v>
      </c>
    </row>
    <row r="57" spans="1:16" x14ac:dyDescent="0.25">
      <c r="A57" s="1"/>
      <c r="B57" t="s">
        <v>70</v>
      </c>
      <c r="C57" t="s">
        <v>24</v>
      </c>
      <c r="D57" s="3">
        <v>1.9583333333333333</v>
      </c>
      <c r="E57" s="5">
        <f t="shared" si="0"/>
        <v>1696</v>
      </c>
      <c r="F57">
        <v>-1.0860399999999999</v>
      </c>
      <c r="G57">
        <f t="shared" si="1"/>
        <v>2.6817099999999998</v>
      </c>
      <c r="H57">
        <f t="shared" si="2"/>
        <v>2.6817099999999998</v>
      </c>
      <c r="I57" s="5">
        <f t="shared" si="3"/>
        <v>1696</v>
      </c>
      <c r="J57">
        <f>+H57+CF*F57*(1+($I57-1850)*slope/1000)+F57*hQc*COS(2*PI()*$I57/qbo+$L57)+F57*hQs*SIN(2*PI()*$I57/qbo+$L57)+F57*hCs*SIN(2*PI()*$I57/cw)+F57*hCc*COS(2*PI()*$I57/cw) +mix*F57*(hQc*COS(2*PI()*$I57/qbo+$L57)+hQs*SIN(2*PI()*$I57/qbo+$L57))*(hCs*SIN(2*PI()*$I57/cw)+hCc*COS(2*PI()*$I57/cw))</f>
        <v>-205.17126711889765</v>
      </c>
      <c r="K57">
        <f>fQc*COS(2*PI()*$I57/qbo+$L57)+fQs*SIN(2*PI()*$I57/qbo+$L57)+fCs*SIN(2*PI()*$I57/cw)+fCc*COS(2*PI()*$I57/cw)</f>
        <v>-3.9331447913225119</v>
      </c>
      <c r="L57">
        <f>+QMA*COS(2*PI()*$I57/QM+QMP)</f>
        <v>-1.6846144002623187</v>
      </c>
      <c r="P57">
        <f t="shared" si="4"/>
        <v>1</v>
      </c>
    </row>
    <row r="58" spans="1:16" x14ac:dyDescent="0.25">
      <c r="A58" s="1"/>
      <c r="B58" t="s">
        <v>71</v>
      </c>
      <c r="C58" t="s">
        <v>24</v>
      </c>
      <c r="D58" s="3">
        <v>2</v>
      </c>
      <c r="E58" s="5">
        <f t="shared" si="0"/>
        <v>1697</v>
      </c>
      <c r="F58">
        <v>-0.52830999999999995</v>
      </c>
      <c r="G58">
        <f t="shared" si="1"/>
        <v>-1.1302399999999999</v>
      </c>
      <c r="H58">
        <f t="shared" si="2"/>
        <v>-1.1302399999999999</v>
      </c>
      <c r="I58" s="5">
        <f t="shared" si="3"/>
        <v>1697</v>
      </c>
      <c r="J58">
        <f>+H58+CF*F58*(1+($I58-1850)*slope/1000)+F58*hQc*COS(2*PI()*$I58/qbo+$L58)+F58*hQs*SIN(2*PI()*$I58/qbo+$L58)+F58*hCs*SIN(2*PI()*$I58/cw)+F58*hCc*COS(2*PI()*$I58/cw) +mix*F58*(hQc*COS(2*PI()*$I58/qbo+$L58)+hQs*SIN(2*PI()*$I58/qbo+$L58))*(hCs*SIN(2*PI()*$I58/cw)+hCc*COS(2*PI()*$I58/cw))</f>
        <v>-59.889117634095243</v>
      </c>
      <c r="K58">
        <f>fQc*COS(2*PI()*$I58/qbo+$L58)+fQs*SIN(2*PI()*$I58/qbo+$L58)+fCs*SIN(2*PI()*$I58/cw)+fCc*COS(2*PI()*$I58/cw)</f>
        <v>1.640858992940426</v>
      </c>
      <c r="L58">
        <f>+QMA*COS(2*PI()*$I58/QM+QMP)</f>
        <v>-1.5132235178833702</v>
      </c>
      <c r="P58">
        <f t="shared" si="4"/>
        <v>0</v>
      </c>
    </row>
    <row r="59" spans="1:16" x14ac:dyDescent="0.25">
      <c r="A59" s="1"/>
      <c r="B59" t="s">
        <v>72</v>
      </c>
      <c r="C59" t="s">
        <v>24</v>
      </c>
      <c r="D59" s="3">
        <v>2.0416666666666665</v>
      </c>
      <c r="E59" s="5">
        <f t="shared" si="0"/>
        <v>1698</v>
      </c>
      <c r="F59">
        <v>-1.1008199999999999</v>
      </c>
      <c r="G59">
        <f t="shared" si="1"/>
        <v>1.4529199999999998</v>
      </c>
      <c r="H59">
        <f t="shared" si="2"/>
        <v>1.4529199999999998</v>
      </c>
      <c r="I59" s="5">
        <f t="shared" si="3"/>
        <v>1698</v>
      </c>
      <c r="J59">
        <f>+H59+CF*F59*(1+($I59-1850)*slope/1000)+F59*hQc*COS(2*PI()*$I59/qbo+$L59)+F59*hQs*SIN(2*PI()*$I59/qbo+$L59)+F59*hCs*SIN(2*PI()*$I59/cw)+F59*hCc*COS(2*PI()*$I59/cw) +mix*F59*(hQc*COS(2*PI()*$I59/qbo+$L59)+hQs*SIN(2*PI()*$I59/qbo+$L59))*(hCs*SIN(2*PI()*$I59/cw)+hCc*COS(2*PI()*$I59/cw))</f>
        <v>-103.17885525162485</v>
      </c>
      <c r="K59">
        <f>fQc*COS(2*PI()*$I59/qbo+$L59)+fQs*SIN(2*PI()*$I59/qbo+$L59)+fCs*SIN(2*PI()*$I59/cw)+fCc*COS(2*PI()*$I59/cw)</f>
        <v>2.2527548472325054</v>
      </c>
      <c r="L59">
        <f>+QMA*COS(2*PI()*$I59/QM+QMP)</f>
        <v>-1.3114371076625724</v>
      </c>
      <c r="P59">
        <f t="shared" si="4"/>
        <v>0</v>
      </c>
    </row>
    <row r="60" spans="1:16" x14ac:dyDescent="0.25">
      <c r="A60" s="1"/>
      <c r="B60" t="s">
        <v>73</v>
      </c>
      <c r="C60" t="s">
        <v>24</v>
      </c>
      <c r="D60" s="3">
        <v>2.0833333333333335</v>
      </c>
      <c r="E60" s="5">
        <f t="shared" si="0"/>
        <v>1699</v>
      </c>
      <c r="F60">
        <v>-0.22040999999999999</v>
      </c>
      <c r="G60">
        <f t="shared" si="1"/>
        <v>-0.67158999999999991</v>
      </c>
      <c r="H60">
        <f t="shared" si="2"/>
        <v>-0.67158999999999991</v>
      </c>
      <c r="I60" s="5">
        <f t="shared" si="3"/>
        <v>1699</v>
      </c>
      <c r="J60">
        <f>+H60+CF*F60*(1+($I60-1850)*slope/1000)+F60*hQc*COS(2*PI()*$I60/qbo+$L60)+F60*hQs*SIN(2*PI()*$I60/qbo+$L60)+F60*hCs*SIN(2*PI()*$I60/cw)+F60*hCc*COS(2*PI()*$I60/cw) +mix*F60*(hQc*COS(2*PI()*$I60/qbo+$L60)+hQs*SIN(2*PI()*$I60/qbo+$L60))*(hCs*SIN(2*PI()*$I60/cw)+hCc*COS(2*PI()*$I60/cw))</f>
        <v>-33.195688730390501</v>
      </c>
      <c r="K60">
        <f>fQc*COS(2*PI()*$I60/qbo+$L60)+fQs*SIN(2*PI()*$I60/qbo+$L60)+fCs*SIN(2*PI()*$I60/cw)+fCc*COS(2*PI()*$I60/cw)</f>
        <v>-2.7083907905633233</v>
      </c>
      <c r="L60">
        <f>+QMA*COS(2*PI()*$I60/QM+QMP)</f>
        <v>-1.0833083741512251</v>
      </c>
      <c r="P60">
        <f t="shared" si="4"/>
        <v>1</v>
      </c>
    </row>
    <row r="61" spans="1:16" x14ac:dyDescent="0.25">
      <c r="A61" s="1"/>
      <c r="B61" t="s">
        <v>74</v>
      </c>
      <c r="C61" t="s">
        <v>24</v>
      </c>
      <c r="D61" s="3">
        <v>2.125</v>
      </c>
      <c r="E61" s="5">
        <f t="shared" si="0"/>
        <v>1700</v>
      </c>
      <c r="F61">
        <v>-1.159E-2</v>
      </c>
      <c r="G61">
        <f t="shared" si="1"/>
        <v>0.22741</v>
      </c>
      <c r="H61">
        <f t="shared" si="2"/>
        <v>0.22741</v>
      </c>
      <c r="I61" s="5">
        <f t="shared" si="3"/>
        <v>1700</v>
      </c>
      <c r="J61">
        <f>+H61+CF*F61*(1+($I61-1850)*slope/1000)+F61*hQc*COS(2*PI()*$I61/qbo+$L61)+F61*hQs*SIN(2*PI()*$I61/qbo+$L61)+F61*hCs*SIN(2*PI()*$I61/cw)+F61*hCc*COS(2*PI()*$I61/cw) +mix*F61*(hQc*COS(2*PI()*$I61/qbo+$L61)+hQs*SIN(2*PI()*$I61/qbo+$L61))*(hCs*SIN(2*PI()*$I61/cw)+hCc*COS(2*PI()*$I61/cw))</f>
        <v>1.8478800544542209</v>
      </c>
      <c r="K61">
        <f>fQc*COS(2*PI()*$I61/qbo+$L61)+fQs*SIN(2*PI()*$I61/qbo+$L61)+fCs*SIN(2*PI()*$I61/cw)+fCc*COS(2*PI()*$I61/cw)</f>
        <v>1.4011607941498199</v>
      </c>
      <c r="L61">
        <f>+QMA*COS(2*PI()*$I61/QM+QMP)</f>
        <v>-0.83341964982643746</v>
      </c>
      <c r="P61">
        <f t="shared" si="4"/>
        <v>1</v>
      </c>
    </row>
    <row r="62" spans="1:16" x14ac:dyDescent="0.25">
      <c r="A62" s="1"/>
      <c r="B62" t="s">
        <v>75</v>
      </c>
      <c r="C62" t="s">
        <v>24</v>
      </c>
      <c r="D62" s="3">
        <v>2.1666666666666665</v>
      </c>
      <c r="E62" s="5">
        <f t="shared" si="0"/>
        <v>1701</v>
      </c>
      <c r="F62">
        <v>0.42464000000000002</v>
      </c>
      <c r="G62">
        <f t="shared" si="1"/>
        <v>-0.60131000000000001</v>
      </c>
      <c r="H62">
        <f t="shared" si="2"/>
        <v>-0.60131000000000001</v>
      </c>
      <c r="I62" s="5">
        <f t="shared" si="3"/>
        <v>1701</v>
      </c>
      <c r="J62">
        <f>+H62+CF*F62*(1+($I62-1850)*slope/1000)+F62*hQc*COS(2*PI()*$I62/qbo+$L62)+F62*hQs*SIN(2*PI()*$I62/qbo+$L62)+F62*hCs*SIN(2*PI()*$I62/cw)+F62*hCc*COS(2*PI()*$I62/cw) +mix*F62*(hQc*COS(2*PI()*$I62/qbo+$L62)+hQs*SIN(2*PI()*$I62/qbo+$L62))*(hCs*SIN(2*PI()*$I62/cw)+hCc*COS(2*PI()*$I62/cw))</f>
        <v>-35.633091800847978</v>
      </c>
      <c r="K62">
        <f>fQc*COS(2*PI()*$I62/qbo+$L62)+fQs*SIN(2*PI()*$I62/qbo+$L62)+fCs*SIN(2*PI()*$I62/cw)+fCc*COS(2*PI()*$I62/cw)</f>
        <v>-2.5606873509727301</v>
      </c>
      <c r="L62">
        <f>+QMA*COS(2*PI()*$I62/QM+QMP)</f>
        <v>-0.56679035157387225</v>
      </c>
      <c r="P62">
        <f t="shared" si="4"/>
        <v>1</v>
      </c>
    </row>
    <row r="63" spans="1:16" x14ac:dyDescent="0.25">
      <c r="A63" s="1"/>
      <c r="B63" t="s">
        <v>76</v>
      </c>
      <c r="C63" t="s">
        <v>24</v>
      </c>
      <c r="D63" s="3">
        <v>2.2083333333333335</v>
      </c>
      <c r="E63" s="5">
        <f t="shared" si="0"/>
        <v>1702</v>
      </c>
      <c r="F63">
        <v>0.25956000000000001</v>
      </c>
      <c r="G63">
        <f t="shared" si="1"/>
        <v>-0.81159999999999999</v>
      </c>
      <c r="H63">
        <f t="shared" si="2"/>
        <v>-0.81159999999999999</v>
      </c>
      <c r="I63" s="5">
        <f t="shared" si="3"/>
        <v>1702</v>
      </c>
      <c r="J63">
        <f>+H63+CF*F63*(1+($I63-1850)*slope/1000)+F63*hQc*COS(2*PI()*$I63/qbo+$L63)+F63*hQs*SIN(2*PI()*$I63/qbo+$L63)+F63*hCs*SIN(2*PI()*$I63/cw)+F63*hCc*COS(2*PI()*$I63/cw) +mix*F63*(hQc*COS(2*PI()*$I63/qbo+$L63)+hQs*SIN(2*PI()*$I63/qbo+$L63))*(hCs*SIN(2*PI()*$I63/cw)+hCc*COS(2*PI()*$I63/cw))</f>
        <v>55.585999497394369</v>
      </c>
      <c r="K63">
        <f>fQc*COS(2*PI()*$I63/qbo+$L63)+fQs*SIN(2*PI()*$I63/qbo+$L63)+fCs*SIN(2*PI()*$I63/cw)+fCc*COS(2*PI()*$I63/cw)</f>
        <v>3.9106945558886137</v>
      </c>
      <c r="L63">
        <f>+QMA*COS(2*PI()*$I63/QM+QMP)</f>
        <v>-0.28877615762791964</v>
      </c>
      <c r="P63">
        <f t="shared" si="4"/>
        <v>1</v>
      </c>
    </row>
    <row r="64" spans="1:16" x14ac:dyDescent="0.25">
      <c r="A64" s="1"/>
      <c r="B64" t="s">
        <v>77</v>
      </c>
      <c r="C64" t="s">
        <v>24</v>
      </c>
      <c r="D64" s="3">
        <v>2.25</v>
      </c>
      <c r="E64" s="5">
        <f t="shared" si="0"/>
        <v>1703</v>
      </c>
      <c r="F64">
        <v>-0.71711999999999998</v>
      </c>
      <c r="G64">
        <f t="shared" si="1"/>
        <v>0.99912000000000001</v>
      </c>
      <c r="H64">
        <f t="shared" si="2"/>
        <v>0.99912000000000001</v>
      </c>
      <c r="I64" s="5">
        <f t="shared" si="3"/>
        <v>1703</v>
      </c>
      <c r="J64">
        <f>+H64+CF*F64*(1+($I64-1850)*slope/1000)+F64*hQc*COS(2*PI()*$I64/qbo+$L64)+F64*hQs*SIN(2*PI()*$I64/qbo+$L64)+F64*hCs*SIN(2*PI()*$I64/cw)+F64*hCc*COS(2*PI()*$I64/cw) +mix*F64*(hQc*COS(2*PI()*$I64/qbo+$L64)+hQs*SIN(2*PI()*$I64/qbo+$L64))*(hCs*SIN(2*PI()*$I64/cw)+hCc*COS(2*PI()*$I64/cw))</f>
        <v>-65.43880740822631</v>
      </c>
      <c r="K64">
        <f>fQc*COS(2*PI()*$I64/qbo+$L64)+fQs*SIN(2*PI()*$I64/qbo+$L64)+fCs*SIN(2*PI()*$I64/cw)+fCc*COS(2*PI()*$I64/cw)</f>
        <v>-1.4364262766531013</v>
      </c>
      <c r="L64">
        <f>+QMA*COS(2*PI()*$I64/QM+QMP)</f>
        <v>-4.9614301617297773E-3</v>
      </c>
      <c r="P64">
        <f t="shared" si="4"/>
        <v>1</v>
      </c>
    </row>
    <row r="65" spans="1:16" x14ac:dyDescent="0.25">
      <c r="A65" s="1"/>
      <c r="B65" t="s">
        <v>78</v>
      </c>
      <c r="C65" t="s">
        <v>24</v>
      </c>
      <c r="D65" s="3">
        <v>2.2916666666666665</v>
      </c>
      <c r="E65" s="5">
        <f t="shared" si="0"/>
        <v>1704</v>
      </c>
      <c r="F65">
        <v>-0.69467999999999996</v>
      </c>
      <c r="G65">
        <f t="shared" si="1"/>
        <v>0.17132999999999998</v>
      </c>
      <c r="H65">
        <f t="shared" si="2"/>
        <v>0.17132999999999998</v>
      </c>
      <c r="I65" s="5">
        <f t="shared" si="3"/>
        <v>1704</v>
      </c>
      <c r="J65">
        <f>+H65+CF*F65*(1+($I65-1850)*slope/1000)+F65*hQc*COS(2*PI()*$I65/qbo+$L65)+F65*hQs*SIN(2*PI()*$I65/qbo+$L65)+F65*hCs*SIN(2*PI()*$I65/cw)+F65*hCc*COS(2*PI()*$I65/cw) +mix*F65*(hQc*COS(2*PI()*$I65/qbo+$L65)+hQs*SIN(2*PI()*$I65/qbo+$L65))*(hCs*SIN(2*PI()*$I65/cw)+hCc*COS(2*PI()*$I65/cw))</f>
        <v>-45.039413374411808</v>
      </c>
      <c r="K65">
        <f>fQc*COS(2*PI()*$I65/qbo+$L65)+fQs*SIN(2*PI()*$I65/qbo+$L65)+fCs*SIN(2*PI()*$I65/cw)+fCc*COS(2*PI()*$I65/cw)</f>
        <v>-1.9680905150213559</v>
      </c>
      <c r="L65">
        <f>+QMA*COS(2*PI()*$I65/QM+QMP)</f>
        <v>0.27895295560802191</v>
      </c>
      <c r="P65">
        <f t="shared" si="4"/>
        <v>1</v>
      </c>
    </row>
    <row r="66" spans="1:16" x14ac:dyDescent="0.25">
      <c r="A66" s="1"/>
      <c r="B66" t="s">
        <v>79</v>
      </c>
      <c r="C66" t="s">
        <v>24</v>
      </c>
      <c r="D66" s="3">
        <v>2.3333333333333335</v>
      </c>
      <c r="E66" s="5">
        <f t="shared" si="0"/>
        <v>1705</v>
      </c>
      <c r="F66">
        <v>-0.50090999999999997</v>
      </c>
      <c r="G66">
        <f t="shared" si="1"/>
        <v>0.27430999999999994</v>
      </c>
      <c r="H66">
        <f t="shared" si="2"/>
        <v>0.27430999999999994</v>
      </c>
      <c r="I66" s="5">
        <f t="shared" si="3"/>
        <v>1705</v>
      </c>
      <c r="J66">
        <f>+H66+CF*F66*(1+($I66-1850)*slope/1000)+F66*hQc*COS(2*PI()*$I66/qbo+$L66)+F66*hQs*SIN(2*PI()*$I66/qbo+$L66)+F66*hCs*SIN(2*PI()*$I66/cw)+F66*hCc*COS(2*PI()*$I66/cw) +mix*F66*(hQc*COS(2*PI()*$I66/qbo+$L66)+hQs*SIN(2*PI()*$I66/qbo+$L66))*(hCs*SIN(2*PI()*$I66/cw)+hCc*COS(2*PI()*$I66/cw))</f>
        <v>-54.713867188385827</v>
      </c>
      <c r="K66">
        <f>fQc*COS(2*PI()*$I66/qbo+$L66)+fQs*SIN(2*PI()*$I66/qbo+$L66)+fCs*SIN(2*PI()*$I66/cw)+fCc*COS(2*PI()*$I66/cw)</f>
        <v>1.9631610266325923</v>
      </c>
      <c r="L66">
        <f>+QMA*COS(2*PI()*$I66/QM+QMP)</f>
        <v>0.55726412266714287</v>
      </c>
      <c r="P66">
        <f t="shared" si="4"/>
        <v>0</v>
      </c>
    </row>
    <row r="67" spans="1:16" x14ac:dyDescent="0.25">
      <c r="A67" s="1"/>
      <c r="B67" t="s">
        <v>80</v>
      </c>
      <c r="C67" t="s">
        <v>24</v>
      </c>
      <c r="D67" s="3">
        <v>2.375</v>
      </c>
      <c r="E67" s="5">
        <f t="shared" si="0"/>
        <v>1706</v>
      </c>
      <c r="F67">
        <v>-3.2829999999999998E-2</v>
      </c>
      <c r="G67">
        <f t="shared" si="1"/>
        <v>-0.98914999999999986</v>
      </c>
      <c r="H67">
        <f t="shared" si="2"/>
        <v>-0.98914999999999986</v>
      </c>
      <c r="I67" s="5">
        <f t="shared" si="3"/>
        <v>1706</v>
      </c>
      <c r="J67">
        <f>+H67+CF*F67*(1+($I67-1850)*slope/1000)+F67*hQc*COS(2*PI()*$I67/qbo+$L67)+F67*hQs*SIN(2*PI()*$I67/qbo+$L67)+F67*hCs*SIN(2*PI()*$I67/cw)+F67*hCc*COS(2*PI()*$I67/cw) +mix*F67*(hQc*COS(2*PI()*$I67/qbo+$L67)+hQs*SIN(2*PI()*$I67/qbo+$L67))*(hCs*SIN(2*PI()*$I67/cw)+hCc*COS(2*PI()*$I67/cw))</f>
        <v>3.9055316698664586</v>
      </c>
      <c r="K67">
        <f>fQc*COS(2*PI()*$I67/qbo+$L67)+fQs*SIN(2*PI()*$I67/qbo+$L67)+fCs*SIN(2*PI()*$I67/cw)+fCc*COS(2*PI()*$I67/cw)</f>
        <v>-1.120390342219425</v>
      </c>
      <c r="L67">
        <f>+QMA*COS(2*PI()*$I67/QM+QMP)</f>
        <v>0.82438174366004524</v>
      </c>
      <c r="P67">
        <f t="shared" si="4"/>
        <v>0</v>
      </c>
    </row>
    <row r="68" spans="1:16" x14ac:dyDescent="0.25">
      <c r="A68" s="1"/>
      <c r="B68" t="s">
        <v>81</v>
      </c>
      <c r="C68" t="s">
        <v>24</v>
      </c>
      <c r="D68" s="3">
        <v>2.4166666666666665</v>
      </c>
      <c r="E68" s="5">
        <f t="shared" si="0"/>
        <v>1707</v>
      </c>
      <c r="F68">
        <v>-0.55389999999999995</v>
      </c>
      <c r="G68">
        <f t="shared" si="1"/>
        <v>1.0324299999999997</v>
      </c>
      <c r="H68">
        <f t="shared" si="2"/>
        <v>1.0324299999999997</v>
      </c>
      <c r="I68" s="5">
        <f t="shared" si="3"/>
        <v>1707</v>
      </c>
      <c r="J68">
        <f>+H68+CF*F68*(1+($I68-1850)*slope/1000)+F68*hQc*COS(2*PI()*$I68/qbo+$L68)+F68*hQs*SIN(2*PI()*$I68/qbo+$L68)+F68*hCs*SIN(2*PI()*$I68/cw)+F68*hCc*COS(2*PI()*$I68/cw) +mix*F68*(hQc*COS(2*PI()*$I68/qbo+$L68)+hQs*SIN(2*PI()*$I68/qbo+$L68))*(hCs*SIN(2*PI()*$I68/cw)+hCc*COS(2*PI()*$I68/cw))</f>
        <v>22.037223066078404</v>
      </c>
      <c r="K68">
        <f>fQc*COS(2*PI()*$I68/qbo+$L68)+fQs*SIN(2*PI()*$I68/qbo+$L68)+fCs*SIN(2*PI()*$I68/cw)+fCc*COS(2*PI()*$I68/cw)</f>
        <v>2.9731595252183625</v>
      </c>
      <c r="L68">
        <f>+QMA*COS(2*PI()*$I68/QM+QMP)</f>
        <v>1.0749403316049508</v>
      </c>
      <c r="P68">
        <f t="shared" si="4"/>
        <v>1</v>
      </c>
    </row>
    <row r="69" spans="1:16" x14ac:dyDescent="0.25">
      <c r="A69" s="1"/>
      <c r="B69" t="s">
        <v>82</v>
      </c>
      <c r="C69" t="s">
        <v>24</v>
      </c>
      <c r="D69" s="3">
        <v>2.4583333333333335</v>
      </c>
      <c r="E69" s="5">
        <f t="shared" si="0"/>
        <v>1708</v>
      </c>
      <c r="F69">
        <v>-4.2540000000000001E-2</v>
      </c>
      <c r="G69">
        <f t="shared" si="1"/>
        <v>-1.0063</v>
      </c>
      <c r="H69">
        <f t="shared" si="2"/>
        <v>-1.0063</v>
      </c>
      <c r="I69" s="5">
        <f t="shared" si="3"/>
        <v>1708</v>
      </c>
      <c r="J69">
        <f>+H69+CF*F69*(1+($I69-1850)*slope/1000)+F69*hQc*COS(2*PI()*$I69/qbo+$L69)+F69*hQs*SIN(2*PI()*$I69/qbo+$L69)+F69*hCs*SIN(2*PI()*$I69/cw)+F69*hCc*COS(2*PI()*$I69/cw) +mix*F69*(hQc*COS(2*PI()*$I69/qbo+$L69)+hQs*SIN(2*PI()*$I69/qbo+$L69))*(hCs*SIN(2*PI()*$I69/cw)+hCc*COS(2*PI()*$I69/cw))</f>
        <v>-11.080376437282665</v>
      </c>
      <c r="K69">
        <f>fQc*COS(2*PI()*$I69/qbo+$L69)+fQs*SIN(2*PI()*$I69/qbo+$L69)+fCs*SIN(2*PI()*$I69/cw)+fCc*COS(2*PI()*$I69/cw)</f>
        <v>-4.1920939511199409</v>
      </c>
      <c r="L69">
        <f>+QMA*COS(2*PI()*$I69/QM+QMP)</f>
        <v>1.3039070143278932</v>
      </c>
      <c r="P69">
        <f t="shared" si="4"/>
        <v>1</v>
      </c>
    </row>
    <row r="70" spans="1:16" x14ac:dyDescent="0.25">
      <c r="A70" s="1"/>
      <c r="B70" t="s">
        <v>83</v>
      </c>
      <c r="C70" t="s">
        <v>24</v>
      </c>
      <c r="D70" s="3">
        <v>2.5</v>
      </c>
      <c r="E70" s="5">
        <f t="shared" si="0"/>
        <v>1709</v>
      </c>
      <c r="F70">
        <v>-0.53747999999999996</v>
      </c>
      <c r="G70">
        <f t="shared" si="1"/>
        <v>2.1544999999999996</v>
      </c>
      <c r="H70">
        <f t="shared" si="2"/>
        <v>2.1544999999999996</v>
      </c>
      <c r="I70" s="5">
        <f t="shared" si="3"/>
        <v>1709</v>
      </c>
      <c r="J70">
        <f>+H70+CF*F70*(1+($I70-1850)*slope/1000)+F70*hQc*COS(2*PI()*$I70/qbo+$L70)+F70*hQs*SIN(2*PI()*$I70/qbo+$L70)+F70*hCs*SIN(2*PI()*$I70/cw)+F70*hCc*COS(2*PI()*$I70/cw) +mix*F70*(hQc*COS(2*PI()*$I70/qbo+$L70)+hQs*SIN(2*PI()*$I70/qbo+$L70))*(hCs*SIN(2*PI()*$I70/cw)+hCc*COS(2*PI()*$I70/cw))</f>
        <v>-41.667363532393367</v>
      </c>
      <c r="K70">
        <f>fQc*COS(2*PI()*$I70/qbo+$L70)+fQs*SIN(2*PI()*$I70/qbo+$L70)+fCs*SIN(2*PI()*$I70/cw)+fCc*COS(2*PI()*$I70/cw)</f>
        <v>1.2253318967151849</v>
      </c>
      <c r="L70">
        <f>+QMA*COS(2*PI()*$I70/QM+QMP)</f>
        <v>1.5066826277944068</v>
      </c>
      <c r="P70">
        <f t="shared" si="4"/>
        <v>0</v>
      </c>
    </row>
    <row r="71" spans="1:16" x14ac:dyDescent="0.25">
      <c r="A71" s="1"/>
      <c r="B71" t="s">
        <v>84</v>
      </c>
      <c r="C71" t="s">
        <v>24</v>
      </c>
      <c r="D71" s="3">
        <v>2.5416666666666665</v>
      </c>
      <c r="E71" s="5">
        <f t="shared" si="0"/>
        <v>1710</v>
      </c>
      <c r="F71">
        <v>1.12208</v>
      </c>
      <c r="G71">
        <f t="shared" si="1"/>
        <v>-2.5803599999999998</v>
      </c>
      <c r="H71">
        <f t="shared" si="2"/>
        <v>-2.5803599999999998</v>
      </c>
      <c r="I71" s="5">
        <f t="shared" si="3"/>
        <v>1710</v>
      </c>
      <c r="J71">
        <f>+H71+CF*F71*(1+($I71-1850)*slope/1000)+F71*hQc*COS(2*PI()*$I71/qbo+$L71)+F71*hQs*SIN(2*PI()*$I71/qbo+$L71)+F71*hCs*SIN(2*PI()*$I71/cw)+F71*hCc*COS(2*PI()*$I71/cw) +mix*F71*(hQc*COS(2*PI()*$I71/qbo+$L71)+hQs*SIN(2*PI()*$I71/qbo+$L71))*(hCs*SIN(2*PI()*$I71/cw)+hCc*COS(2*PI()*$I71/cw))</f>
        <v>96.248356056502928</v>
      </c>
      <c r="K71">
        <f>fQc*COS(2*PI()*$I71/qbo+$L71)+fQs*SIN(2*PI()*$I71/qbo+$L71)+fCs*SIN(2*PI()*$I71/cw)+fCc*COS(2*PI()*$I71/cw)</f>
        <v>2.1896913172697938</v>
      </c>
      <c r="L71">
        <f>+QMA*COS(2*PI()*$I71/QM+QMP)</f>
        <v>1.6791940977151871</v>
      </c>
      <c r="P71">
        <f t="shared" si="4"/>
        <v>1</v>
      </c>
    </row>
    <row r="72" spans="1:16" x14ac:dyDescent="0.25">
      <c r="A72" s="1"/>
      <c r="B72" t="s">
        <v>85</v>
      </c>
      <c r="C72" t="s">
        <v>24</v>
      </c>
      <c r="D72" s="3">
        <v>2.5833333333333335</v>
      </c>
      <c r="E72" s="5">
        <f t="shared" si="0"/>
        <v>1711</v>
      </c>
      <c r="F72">
        <v>0.20127999999999999</v>
      </c>
      <c r="G72">
        <f t="shared" si="1"/>
        <v>1.24187</v>
      </c>
      <c r="H72">
        <f t="shared" si="2"/>
        <v>1.24187</v>
      </c>
      <c r="I72" s="5">
        <f t="shared" si="3"/>
        <v>1711</v>
      </c>
      <c r="J72">
        <f>+H72+CF*F72*(1+($I72-1850)*slope/1000)+F72*hQc*COS(2*PI()*$I72/qbo+$L72)+F72*hQs*SIN(2*PI()*$I72/qbo+$L72)+F72*hCs*SIN(2*PI()*$I72/cw)+F72*hCc*COS(2*PI()*$I72/cw) +mix*F72*(hQc*COS(2*PI()*$I72/qbo+$L72)+hQs*SIN(2*PI()*$I72/qbo+$L72))*(hCs*SIN(2*PI()*$I72/cw)+hCc*COS(2*PI()*$I72/cw))</f>
        <v>18.050998568970215</v>
      </c>
      <c r="K72">
        <f>fQc*COS(2*PI()*$I72/qbo+$L72)+fQs*SIN(2*PI()*$I72/qbo+$L72)+fCs*SIN(2*PI()*$I72/cw)+fCc*COS(2*PI()*$I72/cw)</f>
        <v>-2.101114666001815</v>
      </c>
      <c r="L72">
        <f>+QMA*COS(2*PI()*$I72/QM+QMP)</f>
        <v>1.8179762537930761</v>
      </c>
      <c r="P72">
        <f t="shared" si="4"/>
        <v>0</v>
      </c>
    </row>
    <row r="73" spans="1:16" x14ac:dyDescent="0.25">
      <c r="A73" s="1"/>
      <c r="B73" t="s">
        <v>86</v>
      </c>
      <c r="C73" t="s">
        <v>24</v>
      </c>
      <c r="D73" s="3">
        <v>2.625</v>
      </c>
      <c r="E73" s="5">
        <f t="shared" si="0"/>
        <v>1712</v>
      </c>
      <c r="F73">
        <v>0.52234999999999998</v>
      </c>
      <c r="G73">
        <f t="shared" si="1"/>
        <v>-0.32424999999999993</v>
      </c>
      <c r="H73">
        <f t="shared" si="2"/>
        <v>-0.32424999999999993</v>
      </c>
      <c r="I73" s="5">
        <f t="shared" si="3"/>
        <v>1712</v>
      </c>
      <c r="J73">
        <f>+H73+CF*F73*(1+($I73-1850)*slope/1000)+F73*hQc*COS(2*PI()*$I73/qbo+$L73)+F73*hQs*SIN(2*PI()*$I73/qbo+$L73)+F73*hCs*SIN(2*PI()*$I73/cw)+F73*hCc*COS(2*PI()*$I73/cw) +mix*F73*(hQc*COS(2*PI()*$I73/qbo+$L73)+hQs*SIN(2*PI()*$I73/qbo+$L73))*(hCs*SIN(2*PI()*$I73/cw)+hCc*COS(2*PI()*$I73/cw))</f>
        <v>-100.29237268644322</v>
      </c>
      <c r="K73">
        <f>fQc*COS(2*PI()*$I73/qbo+$L73)+fQs*SIN(2*PI()*$I73/qbo+$L73)+fCs*SIN(2*PI()*$I73/cw)+fCc*COS(2*PI()*$I73/cw)</f>
        <v>1.4366206385662064</v>
      </c>
      <c r="L73">
        <f>+QMA*COS(2*PI()*$I73/QM+QMP)</f>
        <v>1.9202414332412709</v>
      </c>
      <c r="P73">
        <f t="shared" si="4"/>
        <v>0</v>
      </c>
    </row>
    <row r="74" spans="1:16" x14ac:dyDescent="0.25">
      <c r="A74" s="1"/>
      <c r="B74" t="s">
        <v>87</v>
      </c>
      <c r="C74" t="s">
        <v>24</v>
      </c>
      <c r="D74" s="3">
        <v>2.6666666666666665</v>
      </c>
      <c r="E74" s="5">
        <f t="shared" si="0"/>
        <v>1713</v>
      </c>
      <c r="F74">
        <v>0.51917000000000002</v>
      </c>
      <c r="G74">
        <f t="shared" si="1"/>
        <v>-0.61990000000000012</v>
      </c>
      <c r="H74">
        <f t="shared" si="2"/>
        <v>-0.61990000000000012</v>
      </c>
      <c r="I74" s="5">
        <f t="shared" si="3"/>
        <v>1713</v>
      </c>
      <c r="J74">
        <f>+H74+CF*F74*(1+($I74-1850)*slope/1000)+F74*hQc*COS(2*PI()*$I74/qbo+$L74)+F74*hQs*SIN(2*PI()*$I74/qbo+$L74)+F74*hCs*SIN(2*PI()*$I74/cw)+F74*hCc*COS(2*PI()*$I74/cw) +mix*F74*(hQc*COS(2*PI()*$I74/qbo+$L74)+hQs*SIN(2*PI()*$I74/qbo+$L74))*(hCs*SIN(2*PI()*$I74/cw)+hCc*COS(2*PI()*$I74/cw))</f>
        <v>5.2612751125687431</v>
      </c>
      <c r="K74">
        <f>fQc*COS(2*PI()*$I74/qbo+$L74)+fQs*SIN(2*PI()*$I74/qbo+$L74)+fCs*SIN(2*PI()*$I74/cw)+fCc*COS(2*PI()*$I74/cw)</f>
        <v>-2.7651569969447554</v>
      </c>
      <c r="L74">
        <f>+QMA*COS(2*PI()*$I74/QM+QMP)</f>
        <v>1.9839354754730829</v>
      </c>
      <c r="P74">
        <f t="shared" si="4"/>
        <v>0</v>
      </c>
    </row>
    <row r="75" spans="1:16" x14ac:dyDescent="0.25">
      <c r="A75" s="1"/>
      <c r="B75" t="s">
        <v>88</v>
      </c>
      <c r="C75" t="s">
        <v>24</v>
      </c>
      <c r="D75" s="3">
        <v>2.7083333333333335</v>
      </c>
      <c r="E75" s="5">
        <f t="shared" si="0"/>
        <v>1714</v>
      </c>
      <c r="F75">
        <v>-0.10391</v>
      </c>
      <c r="G75">
        <f t="shared" si="1"/>
        <v>-5.4999999999999938E-2</v>
      </c>
      <c r="H75">
        <f t="shared" si="2"/>
        <v>-5.4999999999999938E-2</v>
      </c>
      <c r="I75" s="5">
        <f t="shared" si="3"/>
        <v>1714</v>
      </c>
      <c r="J75">
        <f>+H75+CF*F75*(1+($I75-1850)*slope/1000)+F75*hQc*COS(2*PI()*$I75/qbo+$L75)+F75*hQs*SIN(2*PI()*$I75/qbo+$L75)+F75*hCs*SIN(2*PI()*$I75/cw)+F75*hCc*COS(2*PI()*$I75/cw) +mix*F75*(hQc*COS(2*PI()*$I75/qbo+$L75)+hQs*SIN(2*PI()*$I75/qbo+$L75))*(hCs*SIN(2*PI()*$I75/cw)+hCc*COS(2*PI()*$I75/cw))</f>
        <v>-11.432624843526384</v>
      </c>
      <c r="K75">
        <f>fQc*COS(2*PI()*$I75/qbo+$L75)+fQs*SIN(2*PI()*$I75/qbo+$L75)+fCs*SIN(2*PI()*$I75/cw)+fCc*COS(2*PI()*$I75/cw)</f>
        <v>2.2737717156796706</v>
      </c>
      <c r="L75">
        <f>+QMA*COS(2*PI()*$I75/QM+QMP)</f>
        <v>2.0077789832209532</v>
      </c>
      <c r="P75">
        <f t="shared" si="4"/>
        <v>0</v>
      </c>
    </row>
    <row r="76" spans="1:16" x14ac:dyDescent="0.25">
      <c r="A76" s="1"/>
      <c r="B76" t="s">
        <v>89</v>
      </c>
      <c r="C76" t="s">
        <v>24</v>
      </c>
      <c r="D76" s="3">
        <v>2.75</v>
      </c>
      <c r="E76" s="5">
        <f t="shared" si="0"/>
        <v>1715</v>
      </c>
      <c r="F76">
        <v>-0.78198999999999996</v>
      </c>
      <c r="G76">
        <f t="shared" si="1"/>
        <v>0.26412999999999998</v>
      </c>
      <c r="H76">
        <f t="shared" si="2"/>
        <v>0.26412999999999998</v>
      </c>
      <c r="I76" s="5">
        <f t="shared" si="3"/>
        <v>1715</v>
      </c>
      <c r="J76">
        <f>+H76+CF*F76*(1+($I76-1850)*slope/1000)+F76*hQc*COS(2*PI()*$I76/qbo+$L76)+F76*hQs*SIN(2*PI()*$I76/qbo+$L76)+F76*hCs*SIN(2*PI()*$I76/cw)+F76*hCc*COS(2*PI()*$I76/cw) +mix*F76*(hQc*COS(2*PI()*$I76/qbo+$L76)+hQs*SIN(2*PI()*$I76/qbo+$L76))*(hCs*SIN(2*PI()*$I76/cw)+hCc*COS(2*PI()*$I76/cw))</f>
        <v>-27.837503605926798</v>
      </c>
      <c r="K76">
        <f>fQc*COS(2*PI()*$I76/qbo+$L76)+fQs*SIN(2*PI()*$I76/qbo+$L76)+fCs*SIN(2*PI()*$I76/cw)+fCc*COS(2*PI()*$I76/cw)</f>
        <v>2.0068955287968304</v>
      </c>
      <c r="L76">
        <f>+QMA*COS(2*PI()*$I76/QM+QMP)</f>
        <v>1.991293021287919</v>
      </c>
      <c r="P76">
        <f t="shared" si="4"/>
        <v>0</v>
      </c>
    </row>
    <row r="77" spans="1:16" x14ac:dyDescent="0.25">
      <c r="A77" s="1"/>
      <c r="B77" t="s">
        <v>90</v>
      </c>
      <c r="C77" t="s">
        <v>24</v>
      </c>
      <c r="D77" s="3">
        <v>2.7916666666666665</v>
      </c>
      <c r="E77" s="5">
        <f t="shared" ref="E77:E140" si="5">+E76+1</f>
        <v>1716</v>
      </c>
      <c r="F77">
        <v>-1.19594</v>
      </c>
      <c r="G77">
        <f t="shared" ref="G77:G140" si="6">+(F78-F77)-(F77-F76)</f>
        <v>1.0762200000000002</v>
      </c>
      <c r="H77">
        <f t="shared" ref="H77:H140" si="7">+G77</f>
        <v>1.0762200000000002</v>
      </c>
      <c r="I77" s="5">
        <f t="shared" si="3"/>
        <v>1716</v>
      </c>
      <c r="J77">
        <f>+H77+CF*F77*(1+($I77-1850)*slope/1000)+F77*hQc*COS(2*PI()*$I77/qbo+$L77)+F77*hQs*SIN(2*PI()*$I77/qbo+$L77)+F77*hCs*SIN(2*PI()*$I77/cw)+F77*hCc*COS(2*PI()*$I77/cw) +mix*F77*(hQc*COS(2*PI()*$I77/qbo+$L77)+hQs*SIN(2*PI()*$I77/qbo+$L77))*(hCs*SIN(2*PI()*$I77/cw)+hCc*COS(2*PI()*$I77/cw))</f>
        <v>-330.93094604022747</v>
      </c>
      <c r="K77">
        <f>fQc*COS(2*PI()*$I77/qbo+$L77)+fQs*SIN(2*PI()*$I77/qbo+$L77)+fCs*SIN(2*PI()*$I77/cw)+fCc*COS(2*PI()*$I77/cw)</f>
        <v>-4.6135209598057303</v>
      </c>
      <c r="L77">
        <f>+QMA*COS(2*PI()*$I77/QM+QMP)</f>
        <v>1.9348087367312254</v>
      </c>
      <c r="P77">
        <f t="shared" si="4"/>
        <v>1</v>
      </c>
    </row>
    <row r="78" spans="1:16" x14ac:dyDescent="0.25">
      <c r="A78" s="1"/>
      <c r="B78" t="s">
        <v>91</v>
      </c>
      <c r="C78" t="s">
        <v>24</v>
      </c>
      <c r="D78" s="3">
        <v>2.8333333333333335</v>
      </c>
      <c r="E78" s="5">
        <f t="shared" si="5"/>
        <v>1717</v>
      </c>
      <c r="F78">
        <v>-0.53366999999999998</v>
      </c>
      <c r="G78">
        <f t="shared" si="6"/>
        <v>0.85764999999999991</v>
      </c>
      <c r="H78">
        <f t="shared" si="7"/>
        <v>0.85764999999999991</v>
      </c>
      <c r="I78" s="5">
        <f t="shared" ref="I78:I141" si="8">+E78</f>
        <v>1717</v>
      </c>
      <c r="J78">
        <f>+H78+CF*F78*(1+($I78-1850)*slope/1000)+F78*hQc*COS(2*PI()*$I78/qbo+$L78)+F78*hQs*SIN(2*PI()*$I78/qbo+$L78)+F78*hCs*SIN(2*PI()*$I78/cw)+F78*hCc*COS(2*PI()*$I78/cw) +mix*F78*(hQc*COS(2*PI()*$I78/qbo+$L78)+hQs*SIN(2*PI()*$I78/qbo+$L78))*(hCs*SIN(2*PI()*$I78/cw)+hCc*COS(2*PI()*$I78/cw))</f>
        <v>-27.225705759135227</v>
      </c>
      <c r="K78">
        <f>fQc*COS(2*PI()*$I78/qbo+$L78)+fQs*SIN(2*PI()*$I78/qbo+$L78)+fCs*SIN(2*PI()*$I78/cw)+fCc*COS(2*PI()*$I78/cw)</f>
        <v>1.9207350075697802</v>
      </c>
      <c r="L78">
        <f>+QMA*COS(2*PI()*$I78/QM+QMP)</f>
        <v>1.8394607072412714</v>
      </c>
      <c r="P78">
        <f t="shared" ref="P78:P141" si="9">+IF(J78*K78&gt;0,1, 0)</f>
        <v>0</v>
      </c>
    </row>
    <row r="79" spans="1:16" x14ac:dyDescent="0.25">
      <c r="A79" s="1"/>
      <c r="B79" t="s">
        <v>92</v>
      </c>
      <c r="C79" t="s">
        <v>24</v>
      </c>
      <c r="D79" s="3">
        <v>2.875</v>
      </c>
      <c r="E79" s="5">
        <f t="shared" si="5"/>
        <v>1718</v>
      </c>
      <c r="F79">
        <v>0.98624999999999996</v>
      </c>
      <c r="G79">
        <f t="shared" si="6"/>
        <v>-1.81474</v>
      </c>
      <c r="H79">
        <f t="shared" si="7"/>
        <v>-1.81474</v>
      </c>
      <c r="I79" s="5">
        <f t="shared" si="8"/>
        <v>1718</v>
      </c>
      <c r="J79">
        <f>+H79+CF*F79*(1+($I79-1850)*slope/1000)+F79*hQc*COS(2*PI()*$I79/qbo+$L79)+F79*hQs*SIN(2*PI()*$I79/qbo+$L79)+F79*hCs*SIN(2*PI()*$I79/cw)+F79*hCc*COS(2*PI()*$I79/cw) +mix*F79*(hQc*COS(2*PI()*$I79/qbo+$L79)+hQs*SIN(2*PI()*$I79/qbo+$L79))*(hCs*SIN(2*PI()*$I79/cw)+hCc*COS(2*PI()*$I79/cw))</f>
        <v>43.144187375911351</v>
      </c>
      <c r="K79">
        <f>fQc*COS(2*PI()*$I79/qbo+$L79)+fQs*SIN(2*PI()*$I79/qbo+$L79)+fCs*SIN(2*PI()*$I79/cw)+fCc*COS(2*PI()*$I79/cw)</f>
        <v>1.5946160032279413</v>
      </c>
      <c r="L79">
        <f>+QMA*COS(2*PI()*$I79/QM+QMP)</f>
        <v>1.7071641513238571</v>
      </c>
      <c r="P79">
        <f t="shared" si="9"/>
        <v>1</v>
      </c>
    </row>
    <row r="80" spans="1:16" x14ac:dyDescent="0.25">
      <c r="A80" s="1"/>
      <c r="B80" t="s">
        <v>93</v>
      </c>
      <c r="C80" t="s">
        <v>24</v>
      </c>
      <c r="D80" s="3">
        <v>2.9166666666666665</v>
      </c>
      <c r="E80" s="5">
        <f t="shared" si="5"/>
        <v>1719</v>
      </c>
      <c r="F80">
        <v>0.69142999999999999</v>
      </c>
      <c r="G80">
        <f t="shared" si="6"/>
        <v>0.23932999999999993</v>
      </c>
      <c r="H80">
        <f t="shared" si="7"/>
        <v>0.23932999999999993</v>
      </c>
      <c r="I80" s="5">
        <f t="shared" si="8"/>
        <v>1719</v>
      </c>
      <c r="J80">
        <f>+H80+CF*F80*(1+($I80-1850)*slope/1000)+F80*hQc*COS(2*PI()*$I80/qbo+$L80)+F80*hQs*SIN(2*PI()*$I80/qbo+$L80)+F80*hCs*SIN(2*PI()*$I80/cw)+F80*hCc*COS(2*PI()*$I80/cw) +mix*F80*(hQc*COS(2*PI()*$I80/qbo+$L80)+hQs*SIN(2*PI()*$I80/qbo+$L80))*(hCs*SIN(2*PI()*$I80/cw)+hCc*COS(2*PI()*$I80/cw))</f>
        <v>22.928123137548141</v>
      </c>
      <c r="K80">
        <f>fQc*COS(2*PI()*$I80/qbo+$L80)+fQs*SIN(2*PI()*$I80/qbo+$L80)+fCs*SIN(2*PI()*$I80/cw)+fCc*COS(2*PI()*$I80/cw)</f>
        <v>-1.9271225892649551</v>
      </c>
      <c r="L80">
        <f>+QMA*COS(2*PI()*$I80/QM+QMP)</f>
        <v>1.5405764580569221</v>
      </c>
      <c r="P80">
        <f t="shared" si="9"/>
        <v>0</v>
      </c>
    </row>
    <row r="81" spans="1:16" x14ac:dyDescent="0.25">
      <c r="A81" s="1"/>
      <c r="B81" t="s">
        <v>94</v>
      </c>
      <c r="C81" t="s">
        <v>24</v>
      </c>
      <c r="D81" s="3">
        <v>2.9583333333333335</v>
      </c>
      <c r="E81" s="5">
        <f t="shared" si="5"/>
        <v>1720</v>
      </c>
      <c r="F81">
        <v>0.63593999999999995</v>
      </c>
      <c r="G81">
        <f t="shared" si="6"/>
        <v>0.26335000000000008</v>
      </c>
      <c r="H81">
        <f t="shared" si="7"/>
        <v>0.26335000000000008</v>
      </c>
      <c r="I81" s="5">
        <f t="shared" si="8"/>
        <v>1720</v>
      </c>
      <c r="J81">
        <f>+H81+CF*F81*(1+($I81-1850)*slope/1000)+F81*hQc*COS(2*PI()*$I81/qbo+$L81)+F81*hQs*SIN(2*PI()*$I81/qbo+$L81)+F81*hCs*SIN(2*PI()*$I81/cw)+F81*hCc*COS(2*PI()*$I81/cw) +mix*F81*(hQc*COS(2*PI()*$I81/qbo+$L81)+hQs*SIN(2*PI()*$I81/qbo+$L81))*(hCs*SIN(2*PI()*$I81/cw)+hCc*COS(2*PI()*$I81/cw))</f>
        <v>-119.08405392154739</v>
      </c>
      <c r="K81">
        <f>fQc*COS(2*PI()*$I81/qbo+$L81)+fQs*SIN(2*PI()*$I81/qbo+$L81)+fCs*SIN(2*PI()*$I81/cw)+fCc*COS(2*PI()*$I81/cw)</f>
        <v>1.3852823025783749</v>
      </c>
      <c r="L81">
        <f>+QMA*COS(2*PI()*$I81/QM+QMP)</f>
        <v>1.3430438091571826</v>
      </c>
      <c r="P81">
        <f t="shared" si="9"/>
        <v>0</v>
      </c>
    </row>
    <row r="82" spans="1:16" x14ac:dyDescent="0.25">
      <c r="A82" s="1"/>
      <c r="B82" t="s">
        <v>95</v>
      </c>
      <c r="C82" t="s">
        <v>24</v>
      </c>
      <c r="D82" s="3">
        <v>3</v>
      </c>
      <c r="E82" s="5">
        <f t="shared" si="5"/>
        <v>1721</v>
      </c>
      <c r="F82">
        <v>0.84379999999999999</v>
      </c>
      <c r="G82">
        <f t="shared" si="6"/>
        <v>-0.45996000000000004</v>
      </c>
      <c r="H82">
        <f t="shared" si="7"/>
        <v>-0.45996000000000004</v>
      </c>
      <c r="I82" s="5">
        <f t="shared" si="8"/>
        <v>1721</v>
      </c>
      <c r="J82">
        <f>+H82+CF*F82*(1+($I82-1850)*slope/1000)+F82*hQc*COS(2*PI()*$I82/qbo+$L82)+F82*hQs*SIN(2*PI()*$I82/qbo+$L82)+F82*hCs*SIN(2*PI()*$I82/cw)+F82*hCc*COS(2*PI()*$I82/cw) +mix*F82*(hQc*COS(2*PI()*$I82/qbo+$L82)+hQs*SIN(2*PI()*$I82/qbo+$L82))*(hCs*SIN(2*PI()*$I82/cw)+hCc*COS(2*PI()*$I82/cw))</f>
        <v>41.860487796125696</v>
      </c>
      <c r="K82">
        <f>fQc*COS(2*PI()*$I82/qbo+$L82)+fQs*SIN(2*PI()*$I82/qbo+$L82)+fCs*SIN(2*PI()*$I82/cw)+fCc*COS(2*PI()*$I82/cw)</f>
        <v>-1.3963546553315231</v>
      </c>
      <c r="L82">
        <f>+QMA*COS(2*PI()*$I82/QM+QMP)</f>
        <v>1.1185339655391662</v>
      </c>
      <c r="P82">
        <f t="shared" si="9"/>
        <v>0</v>
      </c>
    </row>
    <row r="83" spans="1:16" x14ac:dyDescent="0.25">
      <c r="A83" s="1"/>
      <c r="B83" t="s">
        <v>96</v>
      </c>
      <c r="C83" t="s">
        <v>24</v>
      </c>
      <c r="D83" s="3">
        <v>3.0416666666666665</v>
      </c>
      <c r="E83" s="5">
        <f t="shared" si="5"/>
        <v>1722</v>
      </c>
      <c r="F83">
        <v>0.5917</v>
      </c>
      <c r="G83">
        <f t="shared" si="6"/>
        <v>1.0697000000000001</v>
      </c>
      <c r="H83">
        <f t="shared" si="7"/>
        <v>1.0697000000000001</v>
      </c>
      <c r="I83" s="5">
        <f t="shared" si="8"/>
        <v>1722</v>
      </c>
      <c r="J83">
        <f>+H83+CF*F83*(1+($I83-1850)*slope/1000)+F83*hQc*COS(2*PI()*$I83/qbo+$L83)+F83*hQs*SIN(2*PI()*$I83/qbo+$L83)+F83*hCs*SIN(2*PI()*$I83/cw)+F83*hCc*COS(2*PI()*$I83/cw) +mix*F83*(hQc*COS(2*PI()*$I83/qbo+$L83)+hQs*SIN(2*PI()*$I83/qbo+$L83))*(hCs*SIN(2*PI()*$I83/cw)+hCc*COS(2*PI()*$I83/cw))</f>
        <v>-70.156598524313523</v>
      </c>
      <c r="K83">
        <f>fQc*COS(2*PI()*$I83/qbo+$L83)+fQs*SIN(2*PI()*$I83/qbo+$L83)+fCs*SIN(2*PI()*$I83/cw)+fCc*COS(2*PI()*$I83/cw)</f>
        <v>-0.69708185226281261</v>
      </c>
      <c r="L83">
        <f>+QMA*COS(2*PI()*$I83/QM+QMP)</f>
        <v>0.87155656845676788</v>
      </c>
      <c r="P83">
        <f t="shared" si="9"/>
        <v>1</v>
      </c>
    </row>
    <row r="84" spans="1:16" x14ac:dyDescent="0.25">
      <c r="A84" s="1"/>
      <c r="B84" t="s">
        <v>97</v>
      </c>
      <c r="C84" t="s">
        <v>24</v>
      </c>
      <c r="D84" s="3">
        <v>3.0833333333333335</v>
      </c>
      <c r="E84" s="5">
        <f t="shared" si="5"/>
        <v>1723</v>
      </c>
      <c r="F84">
        <v>1.4093</v>
      </c>
      <c r="G84">
        <f t="shared" si="6"/>
        <v>-2.00299</v>
      </c>
      <c r="H84">
        <f t="shared" si="7"/>
        <v>-2.00299</v>
      </c>
      <c r="I84" s="5">
        <f t="shared" si="8"/>
        <v>1723</v>
      </c>
      <c r="J84">
        <f>+H84+CF*F84*(1+($I84-1850)*slope/1000)+F84*hQc*COS(2*PI()*$I84/qbo+$L84)+F84*hQs*SIN(2*PI()*$I84/qbo+$L84)+F84*hCs*SIN(2*PI()*$I84/cw)+F84*hCc*COS(2*PI()*$I84/cw) +mix*F84*(hQc*COS(2*PI()*$I84/qbo+$L84)+hQs*SIN(2*PI()*$I84/qbo+$L84))*(hCs*SIN(2*PI()*$I84/cw)+hCc*COS(2*PI()*$I84/cw))</f>
        <v>127.82038037287569</v>
      </c>
      <c r="K84">
        <f>fQc*COS(2*PI()*$I84/qbo+$L84)+fQs*SIN(2*PI()*$I84/qbo+$L84)+fCs*SIN(2*PI()*$I84/cw)+fCc*COS(2*PI()*$I84/cw)</f>
        <v>3.7687750525986132</v>
      </c>
      <c r="L84">
        <f>+QMA*COS(2*PI()*$I84/QM+QMP)</f>
        <v>0.60707255610609212</v>
      </c>
      <c r="P84">
        <f t="shared" si="9"/>
        <v>1</v>
      </c>
    </row>
    <row r="85" spans="1:16" x14ac:dyDescent="0.25">
      <c r="A85" s="1"/>
      <c r="B85" t="s">
        <v>98</v>
      </c>
      <c r="C85" t="s">
        <v>24</v>
      </c>
      <c r="D85" s="3">
        <v>3.125</v>
      </c>
      <c r="E85" s="5">
        <f t="shared" si="5"/>
        <v>1724</v>
      </c>
      <c r="F85">
        <v>0.22391</v>
      </c>
      <c r="G85">
        <f t="shared" si="6"/>
        <v>-0.26653000000000016</v>
      </c>
      <c r="H85">
        <f t="shared" si="7"/>
        <v>-0.26653000000000016</v>
      </c>
      <c r="I85" s="5">
        <f t="shared" si="8"/>
        <v>1724</v>
      </c>
      <c r="J85">
        <f>+H85+CF*F85*(1+($I85-1850)*slope/1000)+F85*hQc*COS(2*PI()*$I85/qbo+$L85)+F85*hQs*SIN(2*PI()*$I85/qbo+$L85)+F85*hCs*SIN(2*PI()*$I85/cw)+F85*hCc*COS(2*PI()*$I85/cw) +mix*F85*(hQc*COS(2*PI()*$I85/qbo+$L85)+hQs*SIN(2*PI()*$I85/qbo+$L85))*(hCs*SIN(2*PI()*$I85/cw)+hCc*COS(2*PI()*$I85/cw))</f>
        <v>24.72170481568628</v>
      </c>
      <c r="K85">
        <f>fQc*COS(2*PI()*$I85/qbo+$L85)+fQs*SIN(2*PI()*$I85/qbo+$L85)+fCs*SIN(2*PI()*$I85/cw)+fCc*COS(2*PI()*$I85/cw)</f>
        <v>-2.2770406165386481</v>
      </c>
      <c r="L85">
        <f>+QMA*COS(2*PI()*$I85/QM+QMP)</f>
        <v>0.33039451520441776</v>
      </c>
      <c r="P85">
        <f t="shared" si="9"/>
        <v>0</v>
      </c>
    </row>
    <row r="86" spans="1:16" x14ac:dyDescent="0.25">
      <c r="A86" s="1"/>
      <c r="B86" t="s">
        <v>99</v>
      </c>
      <c r="C86" t="s">
        <v>24</v>
      </c>
      <c r="D86" s="3">
        <v>3.1666666666666665</v>
      </c>
      <c r="E86" s="5">
        <f t="shared" si="5"/>
        <v>1725</v>
      </c>
      <c r="F86">
        <v>-1.22801</v>
      </c>
      <c r="G86">
        <f t="shared" si="6"/>
        <v>4.0070200000000007</v>
      </c>
      <c r="H86">
        <f t="shared" si="7"/>
        <v>4.0070200000000007</v>
      </c>
      <c r="I86" s="5">
        <f t="shared" si="8"/>
        <v>1725</v>
      </c>
      <c r="J86">
        <f>+H86+CF*F86*(1+($I86-1850)*slope/1000)+F86*hQc*COS(2*PI()*$I86/qbo+$L86)+F86*hQs*SIN(2*PI()*$I86/qbo+$L86)+F86*hCs*SIN(2*PI()*$I86/cw)+F86*hCc*COS(2*PI()*$I86/cw) +mix*F86*(hQc*COS(2*PI()*$I86/qbo+$L86)+hQs*SIN(2*PI()*$I86/qbo+$L86))*(hCs*SIN(2*PI()*$I86/cw)+hCc*COS(2*PI()*$I86/cw))</f>
        <v>-95.893969476709131</v>
      </c>
      <c r="K86">
        <f>fQc*COS(2*PI()*$I86/qbo+$L86)+fQs*SIN(2*PI()*$I86/qbo+$L86)+fCs*SIN(2*PI()*$I86/cw)+fCc*COS(2*PI()*$I86/cw)</f>
        <v>-3.0125151547281579</v>
      </c>
      <c r="L86">
        <f>+QMA*COS(2*PI()*$I86/QM+QMP)</f>
        <v>4.7079969142107547E-2</v>
      </c>
      <c r="P86">
        <f t="shared" si="9"/>
        <v>1</v>
      </c>
    </row>
    <row r="87" spans="1:16" x14ac:dyDescent="0.25">
      <c r="A87" s="1"/>
      <c r="B87" t="s">
        <v>100</v>
      </c>
      <c r="C87" t="s">
        <v>24</v>
      </c>
      <c r="D87" s="3">
        <v>3.2083333333333335</v>
      </c>
      <c r="E87" s="5">
        <f t="shared" si="5"/>
        <v>1726</v>
      </c>
      <c r="F87">
        <v>1.3270900000000001</v>
      </c>
      <c r="G87">
        <f t="shared" si="6"/>
        <v>-2.7964900000000004</v>
      </c>
      <c r="H87">
        <f t="shared" si="7"/>
        <v>-2.7964900000000004</v>
      </c>
      <c r="I87" s="5">
        <f t="shared" si="8"/>
        <v>1726</v>
      </c>
      <c r="J87">
        <f>+H87+CF*F87*(1+($I87-1850)*slope/1000)+F87*hQc*COS(2*PI()*$I87/qbo+$L87)+F87*hQs*SIN(2*PI()*$I87/qbo+$L87)+F87*hCs*SIN(2*PI()*$I87/cw)+F87*hCc*COS(2*PI()*$I87/cw) +mix*F87*(hQc*COS(2*PI()*$I87/qbo+$L87)+hQs*SIN(2*PI()*$I87/qbo+$L87))*(hCs*SIN(2*PI()*$I87/cw)+hCc*COS(2*PI()*$I87/cw))</f>
        <v>366.54433319702304</v>
      </c>
      <c r="K87">
        <f>fQc*COS(2*PI()*$I87/qbo+$L87)+fQs*SIN(2*PI()*$I87/qbo+$L87)+fCs*SIN(2*PI()*$I87/cw)+fCc*COS(2*PI()*$I87/cw)</f>
        <v>4.3337481776835673</v>
      </c>
      <c r="L87">
        <f>+QMA*COS(2*PI()*$I87/QM+QMP)</f>
        <v>-0.23718025381196986</v>
      </c>
      <c r="P87">
        <f t="shared" si="9"/>
        <v>1</v>
      </c>
    </row>
    <row r="88" spans="1:16" x14ac:dyDescent="0.25">
      <c r="A88" s="1"/>
      <c r="B88" t="s">
        <v>101</v>
      </c>
      <c r="C88" t="s">
        <v>24</v>
      </c>
      <c r="D88" s="3">
        <v>3.25</v>
      </c>
      <c r="E88" s="5">
        <f t="shared" si="5"/>
        <v>1727</v>
      </c>
      <c r="F88">
        <v>1.0857000000000001</v>
      </c>
      <c r="G88">
        <f t="shared" si="6"/>
        <v>-1.32742</v>
      </c>
      <c r="H88">
        <f t="shared" si="7"/>
        <v>-1.32742</v>
      </c>
      <c r="I88" s="5">
        <f t="shared" si="8"/>
        <v>1727</v>
      </c>
      <c r="J88">
        <f>+H88+CF*F88*(1+($I88-1850)*slope/1000)+F88*hQc*COS(2*PI()*$I88/qbo+$L88)+F88*hQs*SIN(2*PI()*$I88/qbo+$L88)+F88*hCs*SIN(2*PI()*$I88/cw)+F88*hCc*COS(2*PI()*$I88/cw) +mix*F88*(hQc*COS(2*PI()*$I88/qbo+$L88)+hQs*SIN(2*PI()*$I88/qbo+$L88))*(hCs*SIN(2*PI()*$I88/cw)+hCc*COS(2*PI()*$I88/cw))</f>
        <v>19.297044743746213</v>
      </c>
      <c r="K88">
        <f>fQc*COS(2*PI()*$I88/qbo+$L88)+fQs*SIN(2*PI()*$I88/qbo+$L88)+fCs*SIN(2*PI()*$I88/cw)+fCc*COS(2*PI()*$I88/cw)</f>
        <v>0.13497079269436485</v>
      </c>
      <c r="L88">
        <f>+QMA*COS(2*PI()*$I88/QM+QMP)</f>
        <v>-0.51667632994767332</v>
      </c>
      <c r="P88">
        <f t="shared" si="9"/>
        <v>1</v>
      </c>
    </row>
    <row r="89" spans="1:16" x14ac:dyDescent="0.25">
      <c r="A89" s="1"/>
      <c r="B89" t="s">
        <v>102</v>
      </c>
      <c r="C89" t="s">
        <v>24</v>
      </c>
      <c r="D89" s="3">
        <v>3.2916666666666665</v>
      </c>
      <c r="E89" s="5">
        <f t="shared" si="5"/>
        <v>1728</v>
      </c>
      <c r="F89">
        <v>-0.48310999999999998</v>
      </c>
      <c r="G89">
        <f t="shared" si="6"/>
        <v>1.4823</v>
      </c>
      <c r="H89">
        <f t="shared" si="7"/>
        <v>1.4823</v>
      </c>
      <c r="I89" s="5">
        <f t="shared" si="8"/>
        <v>1728</v>
      </c>
      <c r="J89">
        <f>+H89+CF*F89*(1+($I89-1850)*slope/1000)+F89*hQc*COS(2*PI()*$I89/qbo+$L89)+F89*hQs*SIN(2*PI()*$I89/qbo+$L89)+F89*hCs*SIN(2*PI()*$I89/cw)+F89*hCc*COS(2*PI()*$I89/cw) +mix*F89*(hQc*COS(2*PI()*$I89/qbo+$L89)+hQs*SIN(2*PI()*$I89/qbo+$L89))*(hCs*SIN(2*PI()*$I89/cw)+hCc*COS(2*PI()*$I89/cw))</f>
        <v>-90.064784311708891</v>
      </c>
      <c r="K89">
        <f>fQc*COS(2*PI()*$I89/qbo+$L89)+fQs*SIN(2*PI()*$I89/qbo+$L89)+fCs*SIN(2*PI()*$I89/cw)+fCc*COS(2*PI()*$I89/cw)</f>
        <v>-3.4053975739895002</v>
      </c>
      <c r="L89">
        <f>+QMA*COS(2*PI()*$I89/QM+QMP)</f>
        <v>-0.78579413110499174</v>
      </c>
      <c r="P89">
        <f t="shared" si="9"/>
        <v>1</v>
      </c>
    </row>
    <row r="90" spans="1:16" x14ac:dyDescent="0.25">
      <c r="A90" s="1"/>
      <c r="B90" t="s">
        <v>103</v>
      </c>
      <c r="C90" t="s">
        <v>24</v>
      </c>
      <c r="D90" s="3">
        <v>3.3333333333333335</v>
      </c>
      <c r="E90" s="5">
        <f t="shared" si="5"/>
        <v>1729</v>
      </c>
      <c r="F90">
        <v>-0.56962000000000002</v>
      </c>
      <c r="G90">
        <f t="shared" si="6"/>
        <v>5.3220000000000101E-2</v>
      </c>
      <c r="H90">
        <f t="shared" si="7"/>
        <v>5.3220000000000101E-2</v>
      </c>
      <c r="I90" s="5">
        <f t="shared" si="8"/>
        <v>1729</v>
      </c>
      <c r="J90">
        <f>+H90+CF*F90*(1+($I90-1850)*slope/1000)+F90*hQc*COS(2*PI()*$I90/qbo+$L90)+F90*hQs*SIN(2*PI()*$I90/qbo+$L90)+F90*hCs*SIN(2*PI()*$I90/cw)+F90*hCc*COS(2*PI()*$I90/cw) +mix*F90*(hQc*COS(2*PI()*$I90/qbo+$L90)+hQs*SIN(2*PI()*$I90/qbo+$L90))*(hCs*SIN(2*PI()*$I90/cw)+hCc*COS(2*PI()*$I90/cw))</f>
        <v>28.035659619073158</v>
      </c>
      <c r="K90">
        <f>fQc*COS(2*PI()*$I90/qbo+$L90)+fQs*SIN(2*PI()*$I90/qbo+$L90)+fCs*SIN(2*PI()*$I90/cw)+fCc*COS(2*PI()*$I90/cw)</f>
        <v>1.946355933594059</v>
      </c>
      <c r="L90">
        <f>+QMA*COS(2*PI()*$I90/QM+QMP)</f>
        <v>-1.0391279934669715</v>
      </c>
      <c r="P90">
        <f t="shared" si="9"/>
        <v>1</v>
      </c>
    </row>
    <row r="91" spans="1:16" x14ac:dyDescent="0.25">
      <c r="A91" s="1"/>
      <c r="B91" t="s">
        <v>104</v>
      </c>
      <c r="C91" t="s">
        <v>24</v>
      </c>
      <c r="D91" s="3">
        <v>3.375</v>
      </c>
      <c r="E91" s="5">
        <f t="shared" si="5"/>
        <v>1730</v>
      </c>
      <c r="F91">
        <v>-0.60290999999999995</v>
      </c>
      <c r="G91">
        <f t="shared" si="6"/>
        <v>0.26333999999999985</v>
      </c>
      <c r="H91">
        <f t="shared" si="7"/>
        <v>0.26333999999999985</v>
      </c>
      <c r="I91" s="5">
        <f t="shared" si="8"/>
        <v>1730</v>
      </c>
      <c r="J91">
        <f>+H91+CF*F91*(1+($I91-1850)*slope/1000)+F91*hQc*COS(2*PI()*$I91/qbo+$L91)+F91*hQs*SIN(2*PI()*$I91/qbo+$L91)+F91*hCs*SIN(2*PI()*$I91/cw)+F91*hCc*COS(2*PI()*$I91/cw) +mix*F91*(hQc*COS(2*PI()*$I91/qbo+$L91)+hQs*SIN(2*PI()*$I91/qbo+$L91))*(hCs*SIN(2*PI()*$I91/cw)+hCc*COS(2*PI()*$I91/cw))</f>
        <v>24.488644390323849</v>
      </c>
      <c r="K91">
        <f>fQc*COS(2*PI()*$I91/qbo+$L91)+fQs*SIN(2*PI()*$I91/qbo+$L91)+fCs*SIN(2*PI()*$I91/cw)+fCc*COS(2*PI()*$I91/cw)</f>
        <v>0.12838181245117242</v>
      </c>
      <c r="L91">
        <f>+QMA*COS(2*PI()*$I91/QM+QMP)</f>
        <v>-1.2715892990100306</v>
      </c>
      <c r="P91">
        <f t="shared" si="9"/>
        <v>1</v>
      </c>
    </row>
    <row r="92" spans="1:16" x14ac:dyDescent="0.25">
      <c r="A92" s="1"/>
      <c r="B92" t="s">
        <v>105</v>
      </c>
      <c r="C92" t="s">
        <v>24</v>
      </c>
      <c r="D92" s="3">
        <v>3.4166666666666665</v>
      </c>
      <c r="E92" s="5">
        <f t="shared" si="5"/>
        <v>1731</v>
      </c>
      <c r="F92">
        <v>-0.37286000000000002</v>
      </c>
      <c r="G92">
        <f t="shared" si="6"/>
        <v>-0.2749299999999999</v>
      </c>
      <c r="H92">
        <f t="shared" si="7"/>
        <v>-0.2749299999999999</v>
      </c>
      <c r="I92" s="5">
        <f t="shared" si="8"/>
        <v>1731</v>
      </c>
      <c r="J92">
        <f>+H92+CF*F92*(1+($I92-1850)*slope/1000)+F92*hQc*COS(2*PI()*$I92/qbo+$L92)+F92*hQs*SIN(2*PI()*$I92/qbo+$L92)+F92*hCs*SIN(2*PI()*$I92/cw)+F92*hCc*COS(2*PI()*$I92/cw) +mix*F92*(hQc*COS(2*PI()*$I92/qbo+$L92)+hQs*SIN(2*PI()*$I92/qbo+$L92))*(hCs*SIN(2*PI()*$I92/cw)+hCc*COS(2*PI()*$I92/cw))</f>
        <v>7.3739271338836279</v>
      </c>
      <c r="K92">
        <f>fQc*COS(2*PI()*$I92/qbo+$L92)+fQs*SIN(2*PI()*$I92/qbo+$L92)+fCs*SIN(2*PI()*$I92/cw)+fCc*COS(2*PI()*$I92/cw)</f>
        <v>-0.63239541605734639</v>
      </c>
      <c r="L92">
        <f>+QMA*COS(2*PI()*$I92/QM+QMP)</f>
        <v>-1.4785086885804428</v>
      </c>
      <c r="P92">
        <f t="shared" si="9"/>
        <v>0</v>
      </c>
    </row>
    <row r="93" spans="1:16" x14ac:dyDescent="0.25">
      <c r="A93" s="1"/>
      <c r="B93" t="s">
        <v>106</v>
      </c>
      <c r="C93" t="s">
        <v>24</v>
      </c>
      <c r="D93" s="3">
        <v>3.4583333333333335</v>
      </c>
      <c r="E93" s="5">
        <f t="shared" si="5"/>
        <v>1732</v>
      </c>
      <c r="F93">
        <v>-0.41774</v>
      </c>
      <c r="G93">
        <f t="shared" si="6"/>
        <v>-1.03712</v>
      </c>
      <c r="H93">
        <f t="shared" si="7"/>
        <v>-1.03712</v>
      </c>
      <c r="I93" s="5">
        <f t="shared" si="8"/>
        <v>1732</v>
      </c>
      <c r="J93">
        <f>+H93+CF*F93*(1+($I93-1850)*slope/1000)+F93*hQc*COS(2*PI()*$I93/qbo+$L93)+F93*hQs*SIN(2*PI()*$I93/qbo+$L93)+F93*hCs*SIN(2*PI()*$I93/cw)+F93*hCc*COS(2*PI()*$I93/cw) +mix*F93*(hQc*COS(2*PI()*$I93/qbo+$L93)+hQs*SIN(2*PI()*$I93/qbo+$L93))*(hCs*SIN(2*PI()*$I93/cw)+hCc*COS(2*PI()*$I93/cw))</f>
        <v>71.476246991450765</v>
      </c>
      <c r="K93">
        <f>fQc*COS(2*PI()*$I93/qbo+$L93)+fQs*SIN(2*PI()*$I93/qbo+$L93)+fCs*SIN(2*PI()*$I93/cw)+fCc*COS(2*PI()*$I93/cw)</f>
        <v>1.9489482813895957</v>
      </c>
      <c r="L93">
        <f>+QMA*COS(2*PI()*$I93/QM+QMP)</f>
        <v>-1.6557298534820915</v>
      </c>
      <c r="P93">
        <f t="shared" si="9"/>
        <v>1</v>
      </c>
    </row>
    <row r="94" spans="1:16" x14ac:dyDescent="0.25">
      <c r="A94" s="1"/>
      <c r="B94" t="s">
        <v>107</v>
      </c>
      <c r="C94" t="s">
        <v>24</v>
      </c>
      <c r="D94" s="3">
        <v>3.5</v>
      </c>
      <c r="E94" s="5">
        <f t="shared" si="5"/>
        <v>1733</v>
      </c>
      <c r="F94">
        <v>-1.4997400000000001</v>
      </c>
      <c r="G94">
        <f t="shared" si="6"/>
        <v>2.6493099999999998</v>
      </c>
      <c r="H94">
        <f t="shared" si="7"/>
        <v>2.6493099999999998</v>
      </c>
      <c r="I94" s="5">
        <f t="shared" si="8"/>
        <v>1733</v>
      </c>
      <c r="J94">
        <f>+H94+CF*F94*(1+($I94-1850)*slope/1000)+F94*hQc*COS(2*PI()*$I94/qbo+$L94)+F94*hQs*SIN(2*PI()*$I94/qbo+$L94)+F94*hCs*SIN(2*PI()*$I94/cw)+F94*hCc*COS(2*PI()*$I94/cw) +mix*F94*(hQc*COS(2*PI()*$I94/qbo+$L94)+hQs*SIN(2*PI()*$I94/qbo+$L94))*(hCs*SIN(2*PI()*$I94/cw)+hCc*COS(2*PI()*$I94/cw))</f>
        <v>-171.40610926097156</v>
      </c>
      <c r="K94">
        <f>fQc*COS(2*PI()*$I94/qbo+$L94)+fQs*SIN(2*PI()*$I94/qbo+$L94)+fCs*SIN(2*PI()*$I94/cw)+fCc*COS(2*PI()*$I94/cw)</f>
        <v>-3.1317269974103716</v>
      </c>
      <c r="L94">
        <f>+QMA*COS(2*PI()*$I94/QM+QMP)</f>
        <v>-1.7996930216201752</v>
      </c>
      <c r="P94">
        <f t="shared" si="9"/>
        <v>1</v>
      </c>
    </row>
    <row r="95" spans="1:16" x14ac:dyDescent="0.25">
      <c r="A95" s="1"/>
      <c r="B95" t="s">
        <v>108</v>
      </c>
      <c r="C95" t="s">
        <v>24</v>
      </c>
      <c r="D95" s="3">
        <v>3.5416666666666665</v>
      </c>
      <c r="E95" s="5">
        <f t="shared" si="5"/>
        <v>1734</v>
      </c>
      <c r="F95">
        <v>6.7570000000000005E-2</v>
      </c>
      <c r="G95">
        <f t="shared" si="6"/>
        <v>-1.6783299999999999</v>
      </c>
      <c r="H95">
        <f t="shared" si="7"/>
        <v>-1.6783299999999999</v>
      </c>
      <c r="I95" s="5">
        <f t="shared" si="8"/>
        <v>1734</v>
      </c>
      <c r="J95">
        <f>+H95+CF*F95*(1+($I95-1850)*slope/1000)+F95*hQc*COS(2*PI()*$I95/qbo+$L95)+F95*hQs*SIN(2*PI()*$I95/qbo+$L95)+F95*hCs*SIN(2*PI()*$I95/cw)+F95*hCc*COS(2*PI()*$I95/cw) +mix*F95*(hQc*COS(2*PI()*$I95/qbo+$L95)+hQs*SIN(2*PI()*$I95/qbo+$L95))*(hCs*SIN(2*PI()*$I95/cw)+hCc*COS(2*PI()*$I95/cw))</f>
        <v>-1.3142495662756684</v>
      </c>
      <c r="K95">
        <f>fQc*COS(2*PI()*$I95/qbo+$L95)+fQs*SIN(2*PI()*$I95/qbo+$L95)+fCs*SIN(2*PI()*$I95/cw)+fCc*COS(2*PI()*$I95/cw)</f>
        <v>0.40850257749541474</v>
      </c>
      <c r="L95">
        <f>+QMA*COS(2*PI()*$I95/QM+QMP)</f>
        <v>-1.907506461248859</v>
      </c>
      <c r="P95">
        <f t="shared" si="9"/>
        <v>0</v>
      </c>
    </row>
    <row r="96" spans="1:16" x14ac:dyDescent="0.25">
      <c r="A96" s="1"/>
      <c r="B96" t="s">
        <v>109</v>
      </c>
      <c r="C96" t="s">
        <v>24</v>
      </c>
      <c r="D96" s="3">
        <v>3.5833333333333335</v>
      </c>
      <c r="E96" s="5">
        <f t="shared" si="5"/>
        <v>1735</v>
      </c>
      <c r="F96">
        <v>-4.3450000000000003E-2</v>
      </c>
      <c r="G96">
        <f t="shared" si="6"/>
        <v>0.40123999999999999</v>
      </c>
      <c r="H96">
        <f t="shared" si="7"/>
        <v>0.40123999999999999</v>
      </c>
      <c r="I96" s="5">
        <f t="shared" si="8"/>
        <v>1735</v>
      </c>
      <c r="J96">
        <f>+H96+CF*F96*(1+($I96-1850)*slope/1000)+F96*hQc*COS(2*PI()*$I96/qbo+$L96)+F96*hQs*SIN(2*PI()*$I96/qbo+$L96)+F96*hCs*SIN(2*PI()*$I96/cw)+F96*hCc*COS(2*PI()*$I96/cw) +mix*F96*(hQc*COS(2*PI()*$I96/qbo+$L96)+hQs*SIN(2*PI()*$I96/qbo+$L96))*(hCs*SIN(2*PI()*$I96/cw)+hCc*COS(2*PI()*$I96/cw))</f>
        <v>-6.7003832101532748</v>
      </c>
      <c r="K96">
        <f>fQc*COS(2*PI()*$I96/qbo+$L96)+fQs*SIN(2*PI()*$I96/qbo+$L96)+fCs*SIN(2*PI()*$I96/cw)+fCc*COS(2*PI()*$I96/cw)</f>
        <v>3.9597919455552977</v>
      </c>
      <c r="L96">
        <f>+QMA*COS(2*PI()*$I96/QM+QMP)</f>
        <v>-1.9770045660533537</v>
      </c>
      <c r="P96">
        <f t="shared" si="9"/>
        <v>0</v>
      </c>
    </row>
    <row r="97" spans="1:16" x14ac:dyDescent="0.25">
      <c r="A97" s="1"/>
      <c r="B97" t="s">
        <v>110</v>
      </c>
      <c r="C97" t="s">
        <v>24</v>
      </c>
      <c r="D97" s="3">
        <v>3.625</v>
      </c>
      <c r="E97" s="5">
        <f t="shared" si="5"/>
        <v>1736</v>
      </c>
      <c r="F97">
        <v>0.24676999999999999</v>
      </c>
      <c r="G97">
        <f t="shared" si="6"/>
        <v>0.38614000000000009</v>
      </c>
      <c r="H97">
        <f t="shared" si="7"/>
        <v>0.38614000000000009</v>
      </c>
      <c r="I97" s="5">
        <f t="shared" si="8"/>
        <v>1736</v>
      </c>
      <c r="J97">
        <f>+H97+CF*F97*(1+($I97-1850)*slope/1000)+F97*hQc*COS(2*PI()*$I97/qbo+$L97)+F97*hQs*SIN(2*PI()*$I97/qbo+$L97)+F97*hCs*SIN(2*PI()*$I97/cw)+F97*hCc*COS(2*PI()*$I97/cw) +mix*F97*(hQc*COS(2*PI()*$I97/qbo+$L97)+hQs*SIN(2*PI()*$I97/qbo+$L97))*(hCs*SIN(2*PI()*$I97/cw)+hCc*COS(2*PI()*$I97/cw))</f>
        <v>55.481739169570425</v>
      </c>
      <c r="K97">
        <f>fQc*COS(2*PI()*$I97/qbo+$L97)+fQs*SIN(2*PI()*$I97/qbo+$L97)+fCs*SIN(2*PI()*$I97/cw)+fCc*COS(2*PI()*$I97/cw)</f>
        <v>-3.916650173732541</v>
      </c>
      <c r="L97">
        <f>+QMA*COS(2*PI()*$I97/QM+QMP)</f>
        <v>-2.006791354835519</v>
      </c>
      <c r="P97">
        <f t="shared" si="9"/>
        <v>0</v>
      </c>
    </row>
    <row r="98" spans="1:16" x14ac:dyDescent="0.25">
      <c r="A98" s="1"/>
      <c r="B98" t="s">
        <v>111</v>
      </c>
      <c r="C98" t="s">
        <v>24</v>
      </c>
      <c r="D98" s="3">
        <v>3.6666666666666665</v>
      </c>
      <c r="E98" s="5">
        <f t="shared" si="5"/>
        <v>1737</v>
      </c>
      <c r="F98">
        <v>0.92313000000000001</v>
      </c>
      <c r="G98">
        <f t="shared" si="6"/>
        <v>-0.4811700000000001</v>
      </c>
      <c r="H98">
        <f t="shared" si="7"/>
        <v>-0.4811700000000001</v>
      </c>
      <c r="I98" s="5">
        <f t="shared" si="8"/>
        <v>1737</v>
      </c>
      <c r="J98">
        <f>+H98+CF*F98*(1+($I98-1850)*slope/1000)+F98*hQc*COS(2*PI()*$I98/qbo+$L98)+F98*hQs*SIN(2*PI()*$I98/qbo+$L98)+F98*hCs*SIN(2*PI()*$I98/cw)+F98*hCc*COS(2*PI()*$I98/cw) +mix*F98*(hQc*COS(2*PI()*$I98/qbo+$L98)+hQs*SIN(2*PI()*$I98/qbo+$L98))*(hCs*SIN(2*PI()*$I98/cw)+hCc*COS(2*PI()*$I98/cw))</f>
        <v>-40.707603519052242</v>
      </c>
      <c r="K98">
        <f>fQc*COS(2*PI()*$I98/qbo+$L98)+fQs*SIN(2*PI()*$I98/qbo+$L98)+fCs*SIN(2*PI()*$I98/cw)+fCc*COS(2*PI()*$I98/cw)</f>
        <v>0.22133168667454828</v>
      </c>
      <c r="L98">
        <f>+QMA*COS(2*PI()*$I98/QM+QMP)</f>
        <v>-1.9962685120411479</v>
      </c>
      <c r="P98">
        <f t="shared" si="9"/>
        <v>0</v>
      </c>
    </row>
    <row r="99" spans="1:16" x14ac:dyDescent="0.25">
      <c r="A99" s="1"/>
      <c r="B99" t="s">
        <v>112</v>
      </c>
      <c r="C99" t="s">
        <v>24</v>
      </c>
      <c r="D99" s="3">
        <v>3.7083333333333335</v>
      </c>
      <c r="E99" s="5">
        <f t="shared" si="5"/>
        <v>1738</v>
      </c>
      <c r="F99">
        <v>1.11832</v>
      </c>
      <c r="G99">
        <f t="shared" si="6"/>
        <v>-1.9736899999999999</v>
      </c>
      <c r="H99">
        <f t="shared" si="7"/>
        <v>-1.9736899999999999</v>
      </c>
      <c r="I99" s="5">
        <f t="shared" si="8"/>
        <v>1738</v>
      </c>
      <c r="J99">
        <f>+H99+CF*F99*(1+($I99-1850)*slope/1000)+F99*hQc*COS(2*PI()*$I99/qbo+$L99)+F99*hQs*SIN(2*PI()*$I99/qbo+$L99)+F99*hCs*SIN(2*PI()*$I99/cw)+F99*hCc*COS(2*PI()*$I99/cw) +mix*F99*(hQc*COS(2*PI()*$I99/qbo+$L99)+hQs*SIN(2*PI()*$I99/qbo+$L99))*(hCs*SIN(2*PI()*$I99/cw)+hCc*COS(2*PI()*$I99/cw))</f>
        <v>76.064061707243638</v>
      </c>
      <c r="K99">
        <f>fQc*COS(2*PI()*$I99/qbo+$L99)+fQs*SIN(2*PI()*$I99/qbo+$L99)+fCs*SIN(2*PI()*$I99/cw)+fCc*COS(2*PI()*$I99/cw)</f>
        <v>1.3962603461665222</v>
      </c>
      <c r="L99">
        <f>+QMA*COS(2*PI()*$I99/QM+QMP)</f>
        <v>-1.9456474058900333</v>
      </c>
      <c r="P99">
        <f t="shared" si="9"/>
        <v>1</v>
      </c>
    </row>
    <row r="100" spans="1:16" x14ac:dyDescent="0.25">
      <c r="A100" s="1"/>
      <c r="B100" t="s">
        <v>113</v>
      </c>
      <c r="C100" t="s">
        <v>24</v>
      </c>
      <c r="D100" s="3">
        <v>3.75</v>
      </c>
      <c r="E100" s="5">
        <f t="shared" si="5"/>
        <v>1739</v>
      </c>
      <c r="F100">
        <v>-0.66017999999999999</v>
      </c>
      <c r="G100">
        <f t="shared" si="6"/>
        <v>2.4390399999999999</v>
      </c>
      <c r="H100">
        <f t="shared" si="7"/>
        <v>2.4390399999999999</v>
      </c>
      <c r="I100" s="5">
        <f t="shared" si="8"/>
        <v>1739</v>
      </c>
      <c r="J100">
        <f>+H100+CF*F100*(1+($I100-1850)*slope/1000)+F100*hQc*COS(2*PI()*$I100/qbo+$L100)+F100*hQs*SIN(2*PI()*$I100/qbo+$L100)+F100*hCs*SIN(2*PI()*$I100/cw)+F100*hCc*COS(2*PI()*$I100/cw) +mix*F100*(hQc*COS(2*PI()*$I100/qbo+$L100)+hQs*SIN(2*PI()*$I100/qbo+$L100))*(hCs*SIN(2*PI()*$I100/cw)+hCc*COS(2*PI()*$I100/cw))</f>
        <v>57.795395445064528</v>
      </c>
      <c r="K100">
        <f>fQc*COS(2*PI()*$I100/qbo+$L100)+fQs*SIN(2*PI()*$I100/qbo+$L100)+fCs*SIN(2*PI()*$I100/cw)+fCc*COS(2*PI()*$I100/cw)</f>
        <v>-0.8966429342689457</v>
      </c>
      <c r="L100">
        <f>+QMA*COS(2*PI()*$I100/QM+QMP)</f>
        <v>-1.8559448427054035</v>
      </c>
      <c r="P100">
        <f t="shared" si="9"/>
        <v>0</v>
      </c>
    </row>
    <row r="101" spans="1:16" x14ac:dyDescent="0.25">
      <c r="A101" s="1"/>
      <c r="B101" t="s">
        <v>114</v>
      </c>
      <c r="C101" t="s">
        <v>24</v>
      </c>
      <c r="D101" s="3">
        <v>3.7916666666666665</v>
      </c>
      <c r="E101" s="5">
        <f t="shared" si="5"/>
        <v>1740</v>
      </c>
      <c r="F101">
        <v>3.6000000000000002E-4</v>
      </c>
      <c r="G101">
        <f t="shared" si="6"/>
        <v>-0.43651000000000001</v>
      </c>
      <c r="H101">
        <f t="shared" si="7"/>
        <v>-0.43651000000000001</v>
      </c>
      <c r="I101" s="5">
        <f t="shared" si="8"/>
        <v>1740</v>
      </c>
      <c r="J101">
        <f>+H101+CF*F101*(1+($I101-1850)*slope/1000)+F101*hQc*COS(2*PI()*$I101/qbo+$L101)+F101*hQs*SIN(2*PI()*$I101/qbo+$L101)+F101*hCs*SIN(2*PI()*$I101/cw)+F101*hCc*COS(2*PI()*$I101/cw) +mix*F101*(hQc*COS(2*PI()*$I101/qbo+$L101)+hQs*SIN(2*PI()*$I101/qbo+$L101))*(hCs*SIN(2*PI()*$I101/cw)+hCc*COS(2*PI()*$I101/cw))</f>
        <v>-0.48478339929842257</v>
      </c>
      <c r="K101">
        <f>fQc*COS(2*PI()*$I101/qbo+$L101)+fQs*SIN(2*PI()*$I101/qbo+$L101)+fCs*SIN(2*PI()*$I101/cw)+fCc*COS(2*PI()*$I101/cw)</f>
        <v>2.3106417537408559</v>
      </c>
      <c r="L101">
        <f>+QMA*COS(2*PI()*$I101/QM+QMP)</f>
        <v>-1.7289626427236566</v>
      </c>
      <c r="P101">
        <f t="shared" si="9"/>
        <v>0</v>
      </c>
    </row>
    <row r="102" spans="1:16" x14ac:dyDescent="0.25">
      <c r="A102" s="1"/>
      <c r="B102" t="s">
        <v>115</v>
      </c>
      <c r="C102" t="s">
        <v>24</v>
      </c>
      <c r="D102" s="3">
        <v>3.8333333333333335</v>
      </c>
      <c r="E102" s="5">
        <f t="shared" si="5"/>
        <v>1741</v>
      </c>
      <c r="F102">
        <v>0.22439000000000001</v>
      </c>
      <c r="G102">
        <f t="shared" si="6"/>
        <v>-2.0484300000000002</v>
      </c>
      <c r="H102">
        <f t="shared" si="7"/>
        <v>-2.0484300000000002</v>
      </c>
      <c r="I102" s="5">
        <f t="shared" si="8"/>
        <v>1741</v>
      </c>
      <c r="J102">
        <f>+H102+CF*F102*(1+($I102-1850)*slope/1000)+F102*hQc*COS(2*PI()*$I102/qbo+$L102)+F102*hQs*SIN(2*PI()*$I102/qbo+$L102)+F102*hCs*SIN(2*PI()*$I102/cw)+F102*hCc*COS(2*PI()*$I102/cw) +mix*F102*(hQc*COS(2*PI()*$I102/qbo+$L102)+hQs*SIN(2*PI()*$I102/qbo+$L102))*(hCs*SIN(2*PI()*$I102/cw)+hCc*COS(2*PI()*$I102/cw))</f>
        <v>40.089264667148328</v>
      </c>
      <c r="K102">
        <f>fQc*COS(2*PI()*$I102/qbo+$L102)+fQs*SIN(2*PI()*$I102/qbo+$L102)+fCs*SIN(2*PI()*$I102/cw)+fCc*COS(2*PI()*$I102/cw)</f>
        <v>-4.1309914802279613</v>
      </c>
      <c r="L102">
        <f>+QMA*COS(2*PI()*$I102/QM+QMP)</f>
        <v>-1.567251447637396</v>
      </c>
      <c r="P102">
        <f t="shared" si="9"/>
        <v>0</v>
      </c>
    </row>
    <row r="103" spans="1:16" x14ac:dyDescent="0.25">
      <c r="A103" s="1"/>
      <c r="B103" t="s">
        <v>116</v>
      </c>
      <c r="C103" t="s">
        <v>24</v>
      </c>
      <c r="D103" s="3">
        <v>3.875</v>
      </c>
      <c r="E103" s="5">
        <f t="shared" si="5"/>
        <v>1742</v>
      </c>
      <c r="F103">
        <v>-1.6000099999999999</v>
      </c>
      <c r="G103">
        <f t="shared" si="6"/>
        <v>2.9113899999999999</v>
      </c>
      <c r="H103">
        <f t="shared" si="7"/>
        <v>2.9113899999999999</v>
      </c>
      <c r="I103" s="5">
        <f t="shared" si="8"/>
        <v>1742</v>
      </c>
      <c r="J103">
        <f>+H103+CF*F103*(1+($I103-1850)*slope/1000)+F103*hQc*COS(2*PI()*$I103/qbo+$L103)+F103*hQs*SIN(2*PI()*$I103/qbo+$L103)+F103*hCs*SIN(2*PI()*$I103/cw)+F103*hCc*COS(2*PI()*$I103/cw) +mix*F103*(hQc*COS(2*PI()*$I103/qbo+$L103)+hQs*SIN(2*PI()*$I103/qbo+$L103))*(hCs*SIN(2*PI()*$I103/cw)+hCc*COS(2*PI()*$I103/cw))</f>
        <v>-185.82325112742558</v>
      </c>
      <c r="K103">
        <f>fQc*COS(2*PI()*$I103/qbo+$L103)+fQs*SIN(2*PI()*$I103/qbo+$L103)+fCs*SIN(2*PI()*$I103/cw)+fCc*COS(2*PI()*$I103/cw)</f>
        <v>2.0357879224812963</v>
      </c>
      <c r="L103">
        <f>+QMA*COS(2*PI()*$I103/QM+QMP)</f>
        <v>-1.374059486855342</v>
      </c>
      <c r="P103">
        <f t="shared" si="9"/>
        <v>0</v>
      </c>
    </row>
    <row r="104" spans="1:16" x14ac:dyDescent="0.25">
      <c r="A104" s="1"/>
      <c r="B104" t="s">
        <v>117</v>
      </c>
      <c r="C104" t="s">
        <v>24</v>
      </c>
      <c r="D104" s="3">
        <v>3.9166666666666665</v>
      </c>
      <c r="E104" s="5">
        <f t="shared" si="5"/>
        <v>1743</v>
      </c>
      <c r="F104">
        <v>-0.51302000000000003</v>
      </c>
      <c r="G104">
        <f t="shared" si="6"/>
        <v>-0.31160999999999994</v>
      </c>
      <c r="H104">
        <f t="shared" si="7"/>
        <v>-0.31160999999999994</v>
      </c>
      <c r="I104" s="5">
        <f t="shared" si="8"/>
        <v>1743</v>
      </c>
      <c r="J104">
        <f>+H104+CF*F104*(1+($I104-1850)*slope/1000)+F104*hQc*COS(2*PI()*$I104/qbo+$L104)+F104*hQs*SIN(2*PI()*$I104/qbo+$L104)+F104*hCs*SIN(2*PI()*$I104/cw)+F104*hCc*COS(2*PI()*$I104/cw) +mix*F104*(hQc*COS(2*PI()*$I104/qbo+$L104)+hQs*SIN(2*PI()*$I104/qbo+$L104))*(hCs*SIN(2*PI()*$I104/cw)+hCc*COS(2*PI()*$I104/cw))</f>
        <v>-26.34780568362704</v>
      </c>
      <c r="K104">
        <f>fQc*COS(2*PI()*$I104/qbo+$L104)+fQs*SIN(2*PI()*$I104/qbo+$L104)+fCs*SIN(2*PI()*$I104/cw)+fCc*COS(2*PI()*$I104/cw)</f>
        <v>1.7743305599463042</v>
      </c>
      <c r="L104">
        <f>+QMA*COS(2*PI()*$I104/QM+QMP)</f>
        <v>-1.1532673315906881</v>
      </c>
      <c r="P104">
        <f t="shared" si="9"/>
        <v>0</v>
      </c>
    </row>
    <row r="105" spans="1:16" x14ac:dyDescent="0.25">
      <c r="A105" s="1"/>
      <c r="B105" t="s">
        <v>118</v>
      </c>
      <c r="C105" t="s">
        <v>24</v>
      </c>
      <c r="D105" s="3">
        <v>3.9583333333333335</v>
      </c>
      <c r="E105" s="5">
        <f t="shared" si="5"/>
        <v>1744</v>
      </c>
      <c r="F105">
        <v>0.26235999999999998</v>
      </c>
      <c r="G105">
        <f t="shared" si="6"/>
        <v>9.7040000000000015E-2</v>
      </c>
      <c r="H105">
        <f t="shared" si="7"/>
        <v>9.7040000000000015E-2</v>
      </c>
      <c r="I105" s="5">
        <f t="shared" si="8"/>
        <v>1744</v>
      </c>
      <c r="J105">
        <f>+H105+CF*F105*(1+($I105-1850)*slope/1000)+F105*hQc*COS(2*PI()*$I105/qbo+$L105)+F105*hQs*SIN(2*PI()*$I105/qbo+$L105)+F105*hCs*SIN(2*PI()*$I105/cw)+F105*hCc*COS(2*PI()*$I105/cw) +mix*F105*(hQc*COS(2*PI()*$I105/qbo+$L105)+hQs*SIN(2*PI()*$I105/qbo+$L105))*(hCs*SIN(2*PI()*$I105/cw)+hCc*COS(2*PI()*$I105/cw))</f>
        <v>29.978204827974935</v>
      </c>
      <c r="K105">
        <f>fQc*COS(2*PI()*$I105/qbo+$L105)+fQs*SIN(2*PI()*$I105/qbo+$L105)+fCs*SIN(2*PI()*$I105/cw)+fCc*COS(2*PI()*$I105/cw)</f>
        <v>-2.3014573160817244</v>
      </c>
      <c r="L105">
        <f>+QMA*COS(2*PI()*$I105/QM+QMP)</f>
        <v>-0.90930994734816251</v>
      </c>
      <c r="P105">
        <f t="shared" si="9"/>
        <v>0</v>
      </c>
    </row>
    <row r="106" spans="1:16" x14ac:dyDescent="0.25">
      <c r="A106" s="1"/>
      <c r="B106" t="s">
        <v>119</v>
      </c>
      <c r="C106" t="s">
        <v>24</v>
      </c>
      <c r="D106" s="3">
        <v>4</v>
      </c>
      <c r="E106" s="5">
        <f t="shared" si="5"/>
        <v>1745</v>
      </c>
      <c r="F106">
        <v>1.1347799999999999</v>
      </c>
      <c r="G106">
        <f t="shared" si="6"/>
        <v>-0.42901999999999996</v>
      </c>
      <c r="H106">
        <f t="shared" si="7"/>
        <v>-0.42901999999999996</v>
      </c>
      <c r="I106" s="5">
        <f t="shared" si="8"/>
        <v>1745</v>
      </c>
      <c r="J106">
        <f>+H106+CF*F106*(1+($I106-1850)*slope/1000)+F106*hQc*COS(2*PI()*$I106/qbo+$L106)+F106*hQs*SIN(2*PI()*$I106/qbo+$L106)+F106*hCs*SIN(2*PI()*$I106/cw)+F106*hCc*COS(2*PI()*$I106/cw) +mix*F106*(hQc*COS(2*PI()*$I106/qbo+$L106)+hQs*SIN(2*PI()*$I106/qbo+$L106))*(hCs*SIN(2*PI()*$I106/cw)+hCc*COS(2*PI()*$I106/cw))</f>
        <v>-159.16313795380321</v>
      </c>
      <c r="K106">
        <f>fQc*COS(2*PI()*$I106/qbo+$L106)+fQs*SIN(2*PI()*$I106/qbo+$L106)+fCs*SIN(2*PI()*$I106/cw)+fCc*COS(2*PI()*$I106/cw)</f>
        <v>1.1978060006061331</v>
      </c>
      <c r="L106">
        <f>+QMA*COS(2*PI()*$I106/QM+QMP)</f>
        <v>-0.64708761050941399</v>
      </c>
      <c r="P106">
        <f t="shared" si="9"/>
        <v>0</v>
      </c>
    </row>
    <row r="107" spans="1:16" x14ac:dyDescent="0.25">
      <c r="A107" s="1"/>
      <c r="B107" t="s">
        <v>120</v>
      </c>
      <c r="C107" t="s">
        <v>24</v>
      </c>
      <c r="D107" s="3">
        <v>4.041666666666667</v>
      </c>
      <c r="E107" s="5">
        <f t="shared" si="5"/>
        <v>1746</v>
      </c>
      <c r="F107">
        <v>1.5781799999999999</v>
      </c>
      <c r="G107">
        <f t="shared" si="6"/>
        <v>-0.21579999999999999</v>
      </c>
      <c r="H107">
        <f t="shared" si="7"/>
        <v>-0.21579999999999999</v>
      </c>
      <c r="I107" s="5">
        <f t="shared" si="8"/>
        <v>1746</v>
      </c>
      <c r="J107">
        <f>+H107+CF*F107*(1+($I107-1850)*slope/1000)+F107*hQc*COS(2*PI()*$I107/qbo+$L107)+F107*hQs*SIN(2*PI()*$I107/qbo+$L107)+F107*hCs*SIN(2*PI()*$I107/cw)+F107*hCc*COS(2*PI()*$I107/cw) +mix*F107*(hQc*COS(2*PI()*$I107/qbo+$L107)+hQs*SIN(2*PI()*$I107/qbo+$L107))*(hCs*SIN(2*PI()*$I107/cw)+hCc*COS(2*PI()*$I107/cw))</f>
        <v>-157.74877730144146</v>
      </c>
      <c r="K107">
        <f>fQc*COS(2*PI()*$I107/qbo+$L107)+fQs*SIN(2*PI()*$I107/qbo+$L107)+fCs*SIN(2*PI()*$I107/cw)+fCc*COS(2*PI()*$I107/cw)</f>
        <v>-2.6356387471639047</v>
      </c>
      <c r="L107">
        <f>+QMA*COS(2*PI()*$I107/QM+QMP)</f>
        <v>-0.37186747840179513</v>
      </c>
      <c r="P107">
        <f t="shared" si="9"/>
        <v>1</v>
      </c>
    </row>
    <row r="108" spans="1:16" x14ac:dyDescent="0.25">
      <c r="A108" s="1"/>
      <c r="B108" t="s">
        <v>121</v>
      </c>
      <c r="C108" t="s">
        <v>24</v>
      </c>
      <c r="D108" s="3">
        <v>4.083333333333333</v>
      </c>
      <c r="E108" s="5">
        <f t="shared" si="5"/>
        <v>1747</v>
      </c>
      <c r="F108">
        <v>1.8057799999999999</v>
      </c>
      <c r="G108">
        <f t="shared" si="6"/>
        <v>-3.0292000000000003</v>
      </c>
      <c r="H108">
        <f t="shared" si="7"/>
        <v>-3.0292000000000003</v>
      </c>
      <c r="I108" s="5">
        <f t="shared" si="8"/>
        <v>1747</v>
      </c>
      <c r="J108">
        <f>+H108+CF*F108*(1+($I108-1850)*slope/1000)+F108*hQc*COS(2*PI()*$I108/qbo+$L108)+F108*hQs*SIN(2*PI()*$I108/qbo+$L108)+F108*hCs*SIN(2*PI()*$I108/cw)+F108*hCc*COS(2*PI()*$I108/cw) +mix*F108*(hQc*COS(2*PI()*$I108/qbo+$L108)+hQs*SIN(2*PI()*$I108/qbo+$L108))*(hCs*SIN(2*PI()*$I108/cw)+hCc*COS(2*PI()*$I108/cw))</f>
        <v>405.87472403374159</v>
      </c>
      <c r="K108">
        <f>fQc*COS(2*PI()*$I108/qbo+$L108)+fQs*SIN(2*PI()*$I108/qbo+$L108)+fCs*SIN(2*PI()*$I108/cw)+fCc*COS(2*PI()*$I108/cw)</f>
        <v>4.2639331261294533</v>
      </c>
      <c r="L108">
        <f>+QMA*COS(2*PI()*$I108/QM+QMP)</f>
        <v>-8.9177789973228019E-2</v>
      </c>
      <c r="P108">
        <f t="shared" si="9"/>
        <v>1</v>
      </c>
    </row>
    <row r="109" spans="1:16" x14ac:dyDescent="0.25">
      <c r="A109" s="1"/>
      <c r="B109" t="s">
        <v>122</v>
      </c>
      <c r="C109" t="s">
        <v>24</v>
      </c>
      <c r="D109" s="3">
        <v>4.125</v>
      </c>
      <c r="E109" s="5">
        <f t="shared" si="5"/>
        <v>1748</v>
      </c>
      <c r="F109">
        <v>-0.99582000000000004</v>
      </c>
      <c r="G109">
        <f t="shared" si="6"/>
        <v>4.8936600000000006</v>
      </c>
      <c r="H109">
        <f t="shared" si="7"/>
        <v>4.8936600000000006</v>
      </c>
      <c r="I109" s="5">
        <f t="shared" si="8"/>
        <v>1748</v>
      </c>
      <c r="J109">
        <f>+H109+CF*F109*(1+($I109-1850)*slope/1000)+F109*hQc*COS(2*PI()*$I109/qbo+$L109)+F109*hQs*SIN(2*PI()*$I109/qbo+$L109)+F109*hCs*SIN(2*PI()*$I109/cw)+F109*hCc*COS(2*PI()*$I109/cw) +mix*F109*(hQc*COS(2*PI()*$I109/qbo+$L109)+hQs*SIN(2*PI()*$I109/qbo+$L109))*(hCs*SIN(2*PI()*$I109/cw)+hCc*COS(2*PI()*$I109/cw))</f>
        <v>-93.652016630121878</v>
      </c>
      <c r="K109">
        <f>fQc*COS(2*PI()*$I109/qbo+$L109)+fQs*SIN(2*PI()*$I109/qbo+$L109)+fCs*SIN(2*PI()*$I109/cw)+fCc*COS(2*PI()*$I109/cw)</f>
        <v>-1.9857374501279041</v>
      </c>
      <c r="L109">
        <f>+QMA*COS(2*PI()*$I109/QM+QMP)</f>
        <v>0.19530317777807896</v>
      </c>
      <c r="P109">
        <f t="shared" si="9"/>
        <v>1</v>
      </c>
    </row>
    <row r="110" spans="1:16" x14ac:dyDescent="0.25">
      <c r="A110" s="1"/>
      <c r="B110" t="s">
        <v>123</v>
      </c>
      <c r="C110" t="s">
        <v>24</v>
      </c>
      <c r="D110" s="3">
        <v>4.166666666666667</v>
      </c>
      <c r="E110" s="5">
        <f t="shared" si="5"/>
        <v>1749</v>
      </c>
      <c r="F110">
        <v>1.0962400000000001</v>
      </c>
      <c r="G110">
        <f t="shared" si="6"/>
        <v>-2.4696899999999999</v>
      </c>
      <c r="H110">
        <f t="shared" si="7"/>
        <v>-2.4696899999999999</v>
      </c>
      <c r="I110" s="5">
        <f t="shared" si="8"/>
        <v>1749</v>
      </c>
      <c r="J110">
        <f>+H110+CF*F110*(1+($I110-1850)*slope/1000)+F110*hQc*COS(2*PI()*$I110/qbo+$L110)+F110*hQs*SIN(2*PI()*$I110/qbo+$L110)+F110*hCs*SIN(2*PI()*$I110/cw)+F110*hCc*COS(2*PI()*$I110/cw) +mix*F110*(hQc*COS(2*PI()*$I110/qbo+$L110)+hQs*SIN(2*PI()*$I110/qbo+$L110))*(hCs*SIN(2*PI()*$I110/cw)+hCc*COS(2*PI()*$I110/cw))</f>
        <v>7.4250637903724268</v>
      </c>
      <c r="K110">
        <f>fQc*COS(2*PI()*$I110/qbo+$L110)+fQs*SIN(2*PI()*$I110/qbo+$L110)+fCs*SIN(2*PI()*$I110/cw)+fCc*COS(2*PI()*$I110/cw)</f>
        <v>-1.3653526286776998</v>
      </c>
      <c r="L110">
        <f>+QMA*COS(2*PI()*$I110/QM+QMP)</f>
        <v>0.47586116712751736</v>
      </c>
      <c r="P110">
        <f t="shared" si="9"/>
        <v>0</v>
      </c>
    </row>
    <row r="111" spans="1:16" x14ac:dyDescent="0.25">
      <c r="A111" s="1"/>
      <c r="B111" t="s">
        <v>124</v>
      </c>
      <c r="C111" t="s">
        <v>24</v>
      </c>
      <c r="D111" s="3">
        <v>4.208333333333333</v>
      </c>
      <c r="E111" s="5">
        <f t="shared" si="5"/>
        <v>1750</v>
      </c>
      <c r="F111">
        <v>0.71860999999999997</v>
      </c>
      <c r="G111">
        <f t="shared" si="6"/>
        <v>-5.4319999999999813E-2</v>
      </c>
      <c r="H111">
        <f t="shared" si="7"/>
        <v>-5.4319999999999813E-2</v>
      </c>
      <c r="I111" s="5">
        <f t="shared" si="8"/>
        <v>1750</v>
      </c>
      <c r="J111">
        <f>+H111+CF*F111*(1+($I111-1850)*slope/1000)+F111*hQc*COS(2*PI()*$I111/qbo+$L111)+F111*hQs*SIN(2*PI()*$I111/qbo+$L111)+F111*hCs*SIN(2*PI()*$I111/cw)+F111*hCc*COS(2*PI()*$I111/cw) +mix*F111*(hQc*COS(2*PI()*$I111/qbo+$L111)+hQs*SIN(2*PI()*$I111/qbo+$L111))*(hCs*SIN(2*PI()*$I111/cw)+hCc*COS(2*PI()*$I111/cw))</f>
        <v>55.789745363104913</v>
      </c>
      <c r="K111">
        <f>fQc*COS(2*PI()*$I111/qbo+$L111)+fQs*SIN(2*PI()*$I111/qbo+$L111)+fCs*SIN(2*PI()*$I111/cw)+fCc*COS(2*PI()*$I111/cw)</f>
        <v>1.4598743931850355</v>
      </c>
      <c r="L111">
        <f>+QMA*COS(2*PI()*$I111/QM+QMP)</f>
        <v>0.74686071968063472</v>
      </c>
      <c r="P111">
        <f t="shared" si="9"/>
        <v>1</v>
      </c>
    </row>
    <row r="112" spans="1:16" x14ac:dyDescent="0.25">
      <c r="A112" s="1"/>
      <c r="B112" t="s">
        <v>125</v>
      </c>
      <c r="C112" t="s">
        <v>24</v>
      </c>
      <c r="D112" s="3">
        <v>4.25</v>
      </c>
      <c r="E112" s="5">
        <f t="shared" si="5"/>
        <v>1751</v>
      </c>
      <c r="F112">
        <v>0.28666000000000003</v>
      </c>
      <c r="G112">
        <f t="shared" si="6"/>
        <v>-1.7390400000000001</v>
      </c>
      <c r="H112">
        <f t="shared" si="7"/>
        <v>-1.7390400000000001</v>
      </c>
      <c r="I112" s="5">
        <f t="shared" si="8"/>
        <v>1751</v>
      </c>
      <c r="J112">
        <f>+H112+CF*F112*(1+($I112-1850)*slope/1000)+F112*hQc*COS(2*PI()*$I112/qbo+$L112)+F112*hQs*SIN(2*PI()*$I112/qbo+$L112)+F112*hCs*SIN(2*PI()*$I112/cw)+F112*hCc*COS(2*PI()*$I112/cw) +mix*F112*(hQc*COS(2*PI()*$I112/qbo+$L112)+hQs*SIN(2*PI()*$I112/qbo+$L112))*(hCs*SIN(2*PI()*$I112/cw)+hCc*COS(2*PI()*$I112/cw))</f>
        <v>-42.140631181831317</v>
      </c>
      <c r="K112">
        <f>fQc*COS(2*PI()*$I112/qbo+$L112)+fQs*SIN(2*PI()*$I112/qbo+$L112)+fCs*SIN(2*PI()*$I112/cw)+fCc*COS(2*PI()*$I112/cw)</f>
        <v>-0.83342861900001242</v>
      </c>
      <c r="L112">
        <f>+QMA*COS(2*PI()*$I112/QM+QMP)</f>
        <v>1.0028583736175043</v>
      </c>
      <c r="P112">
        <f t="shared" si="9"/>
        <v>1</v>
      </c>
    </row>
    <row r="113" spans="1:16" x14ac:dyDescent="0.25">
      <c r="A113" s="1"/>
      <c r="B113" t="s">
        <v>126</v>
      </c>
      <c r="C113" t="s">
        <v>24</v>
      </c>
      <c r="D113" s="3">
        <v>4.291666666666667</v>
      </c>
      <c r="E113" s="5">
        <f t="shared" si="5"/>
        <v>1752</v>
      </c>
      <c r="F113">
        <v>-1.8843300000000001</v>
      </c>
      <c r="G113">
        <f t="shared" si="6"/>
        <v>2.90266</v>
      </c>
      <c r="H113">
        <f t="shared" si="7"/>
        <v>2.90266</v>
      </c>
      <c r="I113" s="5">
        <f t="shared" si="8"/>
        <v>1752</v>
      </c>
      <c r="J113">
        <f>+H113+CF*F113*(1+($I113-1850)*slope/1000)+F113*hQc*COS(2*PI()*$I113/qbo+$L113)+F113*hQs*SIN(2*PI()*$I113/qbo+$L113)+F113*hCs*SIN(2*PI()*$I113/cw)+F113*hCc*COS(2*PI()*$I113/cw) +mix*F113*(hQc*COS(2*PI()*$I113/qbo+$L113)+hQs*SIN(2*PI()*$I113/qbo+$L113))*(hCs*SIN(2*PI()*$I113/cw)+hCc*COS(2*PI()*$I113/cw))</f>
        <v>100.40440029769152</v>
      </c>
      <c r="K113">
        <f>fQc*COS(2*PI()*$I113/qbo+$L113)+fQs*SIN(2*PI()*$I113/qbo+$L113)+fCs*SIN(2*PI()*$I113/cw)+fCc*COS(2*PI()*$I113/cw)</f>
        <v>2.9556560407832801</v>
      </c>
      <c r="L113">
        <f>+QMA*COS(2*PI()*$I113/QM+QMP)</f>
        <v>1.2387120043770403</v>
      </c>
      <c r="P113">
        <f t="shared" si="9"/>
        <v>1</v>
      </c>
    </row>
    <row r="114" spans="1:16" x14ac:dyDescent="0.25">
      <c r="A114" s="1"/>
      <c r="B114" t="s">
        <v>127</v>
      </c>
      <c r="C114" t="s">
        <v>24</v>
      </c>
      <c r="D114" s="3">
        <v>4.333333333333333</v>
      </c>
      <c r="E114" s="5">
        <f t="shared" si="5"/>
        <v>1753</v>
      </c>
      <c r="F114">
        <v>-1.15266</v>
      </c>
      <c r="G114">
        <f t="shared" si="6"/>
        <v>-0.31825000000000003</v>
      </c>
      <c r="H114">
        <f t="shared" si="7"/>
        <v>-0.31825000000000003</v>
      </c>
      <c r="I114" s="5">
        <f t="shared" si="8"/>
        <v>1753</v>
      </c>
      <c r="J114">
        <f>+H114+CF*F114*(1+($I114-1850)*slope/1000)+F114*hQc*COS(2*PI()*$I114/qbo+$L114)+F114*hQs*SIN(2*PI()*$I114/qbo+$L114)+F114*hCs*SIN(2*PI()*$I114/cw)+F114*hCc*COS(2*PI()*$I114/cw) +mix*F114*(hQc*COS(2*PI()*$I114/qbo+$L114)+hQs*SIN(2*PI()*$I114/qbo+$L114))*(hCs*SIN(2*PI()*$I114/cw)+hCc*COS(2*PI()*$I114/cw))</f>
        <v>-274.71064040196768</v>
      </c>
      <c r="K114">
        <f>fQc*COS(2*PI()*$I114/qbo+$L114)+fQs*SIN(2*PI()*$I114/qbo+$L114)+fCs*SIN(2*PI()*$I114/cw)+fCc*COS(2*PI()*$I114/cw)</f>
        <v>-4.4128954145077355</v>
      </c>
      <c r="L114">
        <f>+QMA*COS(2*PI()*$I114/QM+QMP)</f>
        <v>1.4496841124980921</v>
      </c>
      <c r="P114">
        <f t="shared" si="9"/>
        <v>1</v>
      </c>
    </row>
    <row r="115" spans="1:16" x14ac:dyDescent="0.25">
      <c r="A115" s="1"/>
      <c r="B115" t="s">
        <v>128</v>
      </c>
      <c r="C115" t="s">
        <v>24</v>
      </c>
      <c r="D115" s="3">
        <v>4.375</v>
      </c>
      <c r="E115" s="5">
        <f t="shared" si="5"/>
        <v>1754</v>
      </c>
      <c r="F115">
        <v>-0.73924000000000001</v>
      </c>
      <c r="G115">
        <f t="shared" si="6"/>
        <v>-0.72632999999999992</v>
      </c>
      <c r="H115">
        <f t="shared" si="7"/>
        <v>-0.72632999999999992</v>
      </c>
      <c r="I115" s="5">
        <f t="shared" si="8"/>
        <v>1754</v>
      </c>
      <c r="J115">
        <f>+H115+CF*F115*(1+($I115-1850)*slope/1000)+F115*hQc*COS(2*PI()*$I115/qbo+$L115)+F115*hQs*SIN(2*PI()*$I115/qbo+$L115)+F115*hCs*SIN(2*PI()*$I115/cw)+F115*hCc*COS(2*PI()*$I115/cw) +mix*F115*(hQc*COS(2*PI()*$I115/qbo+$L115)+hQs*SIN(2*PI()*$I115/qbo+$L115))*(hCs*SIN(2*PI()*$I115/cw)+hCc*COS(2*PI()*$I115/cw))</f>
        <v>-56.780867048596008</v>
      </c>
      <c r="K115">
        <f>fQc*COS(2*PI()*$I115/qbo+$L115)+fQs*SIN(2*PI()*$I115/qbo+$L115)+fCs*SIN(2*PI()*$I115/cw)+fCc*COS(2*PI()*$I115/cw)</f>
        <v>1.5670071812878215</v>
      </c>
      <c r="L115">
        <f>+QMA*COS(2*PI()*$I115/QM+QMP)</f>
        <v>1.6315369839151064</v>
      </c>
      <c r="P115">
        <f t="shared" si="9"/>
        <v>0</v>
      </c>
    </row>
    <row r="116" spans="1:16" x14ac:dyDescent="0.25">
      <c r="A116" s="1"/>
      <c r="B116" t="s">
        <v>129</v>
      </c>
      <c r="C116" t="s">
        <v>24</v>
      </c>
      <c r="D116" s="3">
        <v>4.416666666666667</v>
      </c>
      <c r="E116" s="5">
        <f t="shared" si="5"/>
        <v>1755</v>
      </c>
      <c r="F116">
        <v>-1.0521499999999999</v>
      </c>
      <c r="G116">
        <f t="shared" si="6"/>
        <v>1.1541699999999997</v>
      </c>
      <c r="H116">
        <f t="shared" si="7"/>
        <v>1.1541699999999997</v>
      </c>
      <c r="I116" s="5">
        <f t="shared" si="8"/>
        <v>1755</v>
      </c>
      <c r="J116">
        <f>+H116+CF*F116*(1+($I116-1850)*slope/1000)+F116*hQc*COS(2*PI()*$I116/qbo+$L116)+F116*hQs*SIN(2*PI()*$I116/qbo+$L116)+F116*hCs*SIN(2*PI()*$I116/cw)+F116*hCc*COS(2*PI()*$I116/cw) +mix*F116*(hQc*COS(2*PI()*$I116/qbo+$L116)+hQs*SIN(2*PI()*$I116/qbo+$L116))*(hCs*SIN(2*PI()*$I116/cw)+hCc*COS(2*PI()*$I116/cw))</f>
        <v>-51.35441066569885</v>
      </c>
      <c r="K116">
        <f>fQc*COS(2*PI()*$I116/qbo+$L116)+fQs*SIN(2*PI()*$I116/qbo+$L116)+fCs*SIN(2*PI()*$I116/cw)+fCc*COS(2*PI()*$I116/cw)</f>
        <v>1.8831007087044256</v>
      </c>
      <c r="L116">
        <f>+QMA*COS(2*PI()*$I116/QM+QMP)</f>
        <v>1.7806178112595266</v>
      </c>
      <c r="P116">
        <f t="shared" si="9"/>
        <v>0</v>
      </c>
    </row>
    <row r="117" spans="1:16" x14ac:dyDescent="0.25">
      <c r="A117" s="1"/>
      <c r="B117" t="s">
        <v>130</v>
      </c>
      <c r="C117" t="s">
        <v>24</v>
      </c>
      <c r="D117" s="3">
        <v>4.458333333333333</v>
      </c>
      <c r="E117" s="5">
        <f t="shared" si="5"/>
        <v>1756</v>
      </c>
      <c r="F117">
        <v>-0.21088999999999999</v>
      </c>
      <c r="G117">
        <f t="shared" si="6"/>
        <v>-2.3304299999999998</v>
      </c>
      <c r="H117">
        <f t="shared" si="7"/>
        <v>-2.3304299999999998</v>
      </c>
      <c r="I117" s="5">
        <f t="shared" si="8"/>
        <v>1756</v>
      </c>
      <c r="J117">
        <f>+H117+CF*F117*(1+($I117-1850)*slope/1000)+F117*hQc*COS(2*PI()*$I117/qbo+$L117)+F117*hQs*SIN(2*PI()*$I117/qbo+$L117)+F117*hCs*SIN(2*PI()*$I117/cw)+F117*hCc*COS(2*PI()*$I117/cw) +mix*F117*(hQc*COS(2*PI()*$I117/qbo+$L117)+hQs*SIN(2*PI()*$I117/qbo+$L117))*(hCs*SIN(2*PI()*$I117/cw)+hCc*COS(2*PI()*$I117/cw))</f>
        <v>-16.391287017639225</v>
      </c>
      <c r="K117">
        <f>fQc*COS(2*PI()*$I117/qbo+$L117)+fQs*SIN(2*PI()*$I117/qbo+$L117)+fCs*SIN(2*PI()*$I117/cw)+fCc*COS(2*PI()*$I117/cw)</f>
        <v>-1.9384650831673207</v>
      </c>
      <c r="L117">
        <f>+QMA*COS(2*PI()*$I117/QM+QMP)</f>
        <v>1.893932066370376</v>
      </c>
      <c r="P117">
        <f t="shared" si="9"/>
        <v>1</v>
      </c>
    </row>
    <row r="118" spans="1:16" x14ac:dyDescent="0.25">
      <c r="A118" s="1"/>
      <c r="B118" t="s">
        <v>131</v>
      </c>
      <c r="C118" t="s">
        <v>24</v>
      </c>
      <c r="D118" s="3">
        <v>4.5</v>
      </c>
      <c r="E118" s="5">
        <f t="shared" si="5"/>
        <v>1757</v>
      </c>
      <c r="F118">
        <v>-1.7000599999999999</v>
      </c>
      <c r="G118">
        <f t="shared" si="6"/>
        <v>2.5641400000000001</v>
      </c>
      <c r="H118">
        <f t="shared" si="7"/>
        <v>2.5641400000000001</v>
      </c>
      <c r="I118" s="5">
        <f t="shared" si="8"/>
        <v>1757</v>
      </c>
      <c r="J118">
        <f>+H118+CF*F118*(1+($I118-1850)*slope/1000)+F118*hQc*COS(2*PI()*$I118/qbo+$L118)+F118*hQs*SIN(2*PI()*$I118/qbo+$L118)+F118*hCs*SIN(2*PI()*$I118/cw)+F118*hCc*COS(2*PI()*$I118/cw) +mix*F118*(hQc*COS(2*PI()*$I118/qbo+$L118)+hQs*SIN(2*PI()*$I118/qbo+$L118))*(hCs*SIN(2*PI()*$I118/cw)+hCc*COS(2*PI()*$I118/cw))</f>
        <v>349.12260312333308</v>
      </c>
      <c r="K118">
        <f>fQc*COS(2*PI()*$I118/qbo+$L118)+fQs*SIN(2*PI()*$I118/qbo+$L118)+fCs*SIN(2*PI()*$I118/cw)+fCc*COS(2*PI()*$I118/cw)</f>
        <v>1.4187303097897248</v>
      </c>
      <c r="L118">
        <f>+QMA*COS(2*PI()*$I118/QM+QMP)</f>
        <v>1.9692036502077988</v>
      </c>
      <c r="P118">
        <f t="shared" si="9"/>
        <v>1</v>
      </c>
    </row>
    <row r="119" spans="1:16" x14ac:dyDescent="0.25">
      <c r="A119" s="1"/>
      <c r="B119" t="s">
        <v>132</v>
      </c>
      <c r="C119" t="s">
        <v>24</v>
      </c>
      <c r="D119" s="3">
        <v>4.541666666666667</v>
      </c>
      <c r="E119" s="5">
        <f t="shared" si="5"/>
        <v>1758</v>
      </c>
      <c r="F119">
        <v>-0.62509000000000003</v>
      </c>
      <c r="G119">
        <f t="shared" si="6"/>
        <v>-2.9079999999999995E-2</v>
      </c>
      <c r="H119">
        <f t="shared" si="7"/>
        <v>-2.9079999999999995E-2</v>
      </c>
      <c r="I119" s="5">
        <f t="shared" si="8"/>
        <v>1758</v>
      </c>
      <c r="J119">
        <f>+H119+CF*F119*(1+($I119-1850)*slope/1000)+F119*hQc*COS(2*PI()*$I119/qbo+$L119)+F119*hQs*SIN(2*PI()*$I119/qbo+$L119)+F119*hCs*SIN(2*PI()*$I119/cw)+F119*hCc*COS(2*PI()*$I119/cw) +mix*F119*(hQc*COS(2*PI()*$I119/qbo+$L119)+hQs*SIN(2*PI()*$I119/qbo+$L119))*(hCs*SIN(2*PI()*$I119/cw)+hCc*COS(2*PI()*$I119/cw))</f>
        <v>2.274888148997988</v>
      </c>
      <c r="K119">
        <f>fQc*COS(2*PI()*$I119/qbo+$L119)+fQs*SIN(2*PI()*$I119/qbo+$L119)+fCs*SIN(2*PI()*$I119/cw)+fCc*COS(2*PI()*$I119/cw)</f>
        <v>-2.7973047128394697</v>
      </c>
      <c r="L119">
        <f>+QMA*COS(2*PI()*$I119/QM+QMP)</f>
        <v>2.0049206119626457</v>
      </c>
      <c r="P119">
        <f t="shared" si="9"/>
        <v>0</v>
      </c>
    </row>
    <row r="120" spans="1:16" x14ac:dyDescent="0.25">
      <c r="A120" s="1"/>
      <c r="B120" t="s">
        <v>133</v>
      </c>
      <c r="C120" t="s">
        <v>24</v>
      </c>
      <c r="D120" s="3">
        <v>4.583333333333333</v>
      </c>
      <c r="E120" s="5">
        <f t="shared" si="5"/>
        <v>1759</v>
      </c>
      <c r="F120">
        <v>0.42080000000000001</v>
      </c>
      <c r="G120">
        <f t="shared" si="6"/>
        <v>-1.4132500000000001</v>
      </c>
      <c r="H120">
        <f t="shared" si="7"/>
        <v>-1.4132500000000001</v>
      </c>
      <c r="I120" s="5">
        <f t="shared" si="8"/>
        <v>1759</v>
      </c>
      <c r="J120">
        <f>+H120+CF*F120*(1+($I120-1850)*slope/1000)+F120*hQc*COS(2*PI()*$I120/qbo+$L120)+F120*hQs*SIN(2*PI()*$I120/qbo+$L120)+F120*hCs*SIN(2*PI()*$I120/cw)+F120*hCc*COS(2*PI()*$I120/cw) +mix*F120*(hQc*COS(2*PI()*$I120/qbo+$L120)+hQs*SIN(2*PI()*$I120/qbo+$L120))*(hCs*SIN(2*PI()*$I120/cw)+hCc*COS(2*PI()*$I120/cw))</f>
        <v>37.848227626962554</v>
      </c>
      <c r="K120">
        <f>fQc*COS(2*PI()*$I120/qbo+$L120)+fQs*SIN(2*PI()*$I120/qbo+$L120)+fCs*SIN(2*PI()*$I120/cw)+fCc*COS(2*PI()*$I120/cw)</f>
        <v>2.2493987378803784</v>
      </c>
      <c r="L120">
        <f>+QMA*COS(2*PI()*$I120/QM+QMP)</f>
        <v>2.0003655190199945</v>
      </c>
      <c r="P120">
        <f t="shared" si="9"/>
        <v>1</v>
      </c>
    </row>
    <row r="121" spans="1:16" x14ac:dyDescent="0.25">
      <c r="A121" s="1"/>
      <c r="B121" t="s">
        <v>134</v>
      </c>
      <c r="C121" t="s">
        <v>24</v>
      </c>
      <c r="D121" s="3">
        <v>4.625</v>
      </c>
      <c r="E121" s="5">
        <f t="shared" si="5"/>
        <v>1760</v>
      </c>
      <c r="F121">
        <v>5.3440000000000001E-2</v>
      </c>
      <c r="G121">
        <f t="shared" si="6"/>
        <v>-0.51621000000000006</v>
      </c>
      <c r="H121">
        <f t="shared" si="7"/>
        <v>-0.51621000000000006</v>
      </c>
      <c r="I121" s="5">
        <f t="shared" si="8"/>
        <v>1760</v>
      </c>
      <c r="J121">
        <f>+H121+CF*F121*(1+($I121-1850)*slope/1000)+F121*hQc*COS(2*PI()*$I121/qbo+$L121)+F121*hQs*SIN(2*PI()*$I121/qbo+$L121)+F121*hCs*SIN(2*PI()*$I121/cw)+F121*hCc*COS(2*PI()*$I121/cw) +mix*F121*(hQc*COS(2*PI()*$I121/qbo+$L121)+hQs*SIN(2*PI()*$I121/qbo+$L121))*(hCs*SIN(2*PI()*$I121/cw)+hCc*COS(2*PI()*$I121/cw))</f>
        <v>0.60154396035877999</v>
      </c>
      <c r="K121">
        <f>fQc*COS(2*PI()*$I121/qbo+$L121)+fQs*SIN(2*PI()*$I121/qbo+$L121)+fCs*SIN(2*PI()*$I121/cw)+fCc*COS(2*PI()*$I121/cw)</f>
        <v>2.0978258337419038</v>
      </c>
      <c r="L121">
        <f>+QMA*COS(2*PI()*$I121/QM+QMP)</f>
        <v>1.9556298677468436</v>
      </c>
      <c r="P121">
        <f t="shared" si="9"/>
        <v>1</v>
      </c>
    </row>
    <row r="122" spans="1:16" x14ac:dyDescent="0.25">
      <c r="A122" s="1"/>
      <c r="B122" t="s">
        <v>135</v>
      </c>
      <c r="C122" t="s">
        <v>24</v>
      </c>
      <c r="D122" s="3">
        <v>4.666666666666667</v>
      </c>
      <c r="E122" s="5">
        <f t="shared" si="5"/>
        <v>1761</v>
      </c>
      <c r="F122">
        <v>-0.83013000000000003</v>
      </c>
      <c r="G122">
        <f t="shared" si="6"/>
        <v>2.25312</v>
      </c>
      <c r="H122">
        <f t="shared" si="7"/>
        <v>2.25312</v>
      </c>
      <c r="I122" s="5">
        <f t="shared" si="8"/>
        <v>1761</v>
      </c>
      <c r="J122">
        <f>+H122+CF*F122*(1+($I122-1850)*slope/1000)+F122*hQc*COS(2*PI()*$I122/qbo+$L122)+F122*hQs*SIN(2*PI()*$I122/qbo+$L122)+F122*hCs*SIN(2*PI()*$I122/cw)+F122*hCc*COS(2*PI()*$I122/cw) +mix*F122*(hQc*COS(2*PI()*$I122/qbo+$L122)+hQs*SIN(2*PI()*$I122/qbo+$L122))*(hCs*SIN(2*PI()*$I122/cw)+hCc*COS(2*PI()*$I122/cw))</f>
        <v>-218.60491577228868</v>
      </c>
      <c r="K122">
        <f>fQc*COS(2*PI()*$I122/qbo+$L122)+fQs*SIN(2*PI()*$I122/qbo+$L122)+fCs*SIN(2*PI()*$I122/cw)+fCc*COS(2*PI()*$I122/cw)</f>
        <v>-4.6431374720812739</v>
      </c>
      <c r="L122">
        <f>+QMA*COS(2*PI()*$I122/QM+QMP)</f>
        <v>1.8716122456405204</v>
      </c>
      <c r="P122">
        <f t="shared" si="9"/>
        <v>1</v>
      </c>
    </row>
    <row r="123" spans="1:16" x14ac:dyDescent="0.25">
      <c r="A123" s="1"/>
      <c r="B123" t="s">
        <v>136</v>
      </c>
      <c r="C123" t="s">
        <v>24</v>
      </c>
      <c r="D123" s="3">
        <v>4.708333333333333</v>
      </c>
      <c r="E123" s="5">
        <f t="shared" si="5"/>
        <v>1762</v>
      </c>
      <c r="F123">
        <v>0.53942000000000001</v>
      </c>
      <c r="G123">
        <f t="shared" si="6"/>
        <v>-2.6812800000000001</v>
      </c>
      <c r="H123">
        <f t="shared" si="7"/>
        <v>-2.6812800000000001</v>
      </c>
      <c r="I123" s="5">
        <f t="shared" si="8"/>
        <v>1762</v>
      </c>
      <c r="J123">
        <f>+H123+CF*F123*(1+($I123-1850)*slope/1000)+F123*hQc*COS(2*PI()*$I123/qbo+$L123)+F123*hQs*SIN(2*PI()*$I123/qbo+$L123)+F123*hCs*SIN(2*PI()*$I123/cw)+F123*hCc*COS(2*PI()*$I123/cw) +mix*F123*(hQc*COS(2*PI()*$I123/qbo+$L123)+hQs*SIN(2*PI()*$I123/qbo+$L123))*(hCs*SIN(2*PI()*$I123/cw)+hCc*COS(2*PI()*$I123/cw))</f>
        <v>17.929735957206614</v>
      </c>
      <c r="K123">
        <f>fQc*COS(2*PI()*$I123/qbo+$L123)+fQs*SIN(2*PI()*$I123/qbo+$L123)+fCs*SIN(2*PI()*$I123/cw)+fCc*COS(2*PI()*$I123/cw)</f>
        <v>1.7383049446870857</v>
      </c>
      <c r="L123">
        <f>+QMA*COS(2*PI()*$I123/QM+QMP)</f>
        <v>1.7500002817536209</v>
      </c>
      <c r="P123">
        <f t="shared" si="9"/>
        <v>1</v>
      </c>
    </row>
    <row r="124" spans="1:16" x14ac:dyDescent="0.25">
      <c r="A124" s="1"/>
      <c r="B124" t="s">
        <v>137</v>
      </c>
      <c r="C124" t="s">
        <v>24</v>
      </c>
      <c r="D124" s="3">
        <v>4.75</v>
      </c>
      <c r="E124" s="5">
        <f t="shared" si="5"/>
        <v>1763</v>
      </c>
      <c r="F124">
        <v>-0.77231000000000005</v>
      </c>
      <c r="G124">
        <f t="shared" si="6"/>
        <v>2.0208200000000001</v>
      </c>
      <c r="H124">
        <f t="shared" si="7"/>
        <v>2.0208200000000001</v>
      </c>
      <c r="I124" s="5">
        <f t="shared" si="8"/>
        <v>1763</v>
      </c>
      <c r="J124">
        <f>+H124+CF*F124*(1+($I124-1850)*slope/1000)+F124*hQc*COS(2*PI()*$I124/qbo+$L124)+F124*hQs*SIN(2*PI()*$I124/qbo+$L124)+F124*hCs*SIN(2*PI()*$I124/cw)+F124*hCc*COS(2*PI()*$I124/cw) +mix*F124*(hQc*COS(2*PI()*$I124/qbo+$L124)+hQs*SIN(2*PI()*$I124/qbo+$L124))*(hCs*SIN(2*PI()*$I124/cw)+hCc*COS(2*PI()*$I124/cw))</f>
        <v>-44.197138300471195</v>
      </c>
      <c r="K124">
        <f>fQc*COS(2*PI()*$I124/qbo+$L124)+fQs*SIN(2*PI()*$I124/qbo+$L124)+fCs*SIN(2*PI()*$I124/cw)+fCc*COS(2*PI()*$I124/cw)</f>
        <v>1.9476715433512193</v>
      </c>
      <c r="L124">
        <f>+QMA*COS(2*PI()*$I124/QM+QMP)</f>
        <v>1.5932367479507394</v>
      </c>
      <c r="P124">
        <f t="shared" si="9"/>
        <v>0</v>
      </c>
    </row>
    <row r="125" spans="1:16" x14ac:dyDescent="0.25">
      <c r="A125" s="1"/>
      <c r="B125" t="s">
        <v>138</v>
      </c>
      <c r="C125" t="s">
        <v>24</v>
      </c>
      <c r="D125" s="3">
        <v>4.791666666666667</v>
      </c>
      <c r="E125" s="5">
        <f t="shared" si="5"/>
        <v>1764</v>
      </c>
      <c r="F125">
        <v>-6.3219999999999998E-2</v>
      </c>
      <c r="G125">
        <f t="shared" si="6"/>
        <v>-0.91364000000000001</v>
      </c>
      <c r="H125">
        <f t="shared" si="7"/>
        <v>-0.91364000000000001</v>
      </c>
      <c r="I125" s="5">
        <f t="shared" si="8"/>
        <v>1764</v>
      </c>
      <c r="J125">
        <f>+H125+CF*F125*(1+($I125-1850)*slope/1000)+F125*hQc*COS(2*PI()*$I125/qbo+$L125)+F125*hQs*SIN(2*PI()*$I125/qbo+$L125)+F125*hCs*SIN(2*PI()*$I125/cw)+F125*hCc*COS(2*PI()*$I125/cw) +mix*F125*(hQc*COS(2*PI()*$I125/qbo+$L125)+hQs*SIN(2*PI()*$I125/qbo+$L125))*(hCs*SIN(2*PI()*$I125/cw)+hCc*COS(2*PI()*$I125/cw))</f>
        <v>-2.04105279603082</v>
      </c>
      <c r="K125">
        <f>fQc*COS(2*PI()*$I125/qbo+$L125)+fQs*SIN(2*PI()*$I125/qbo+$L125)+fCs*SIN(2*PI()*$I125/cw)+fCc*COS(2*PI()*$I125/cw)</f>
        <v>-2.1514260100808196</v>
      </c>
      <c r="L125">
        <f>+QMA*COS(2*PI()*$I125/QM+QMP)</f>
        <v>1.4044704919070696</v>
      </c>
      <c r="P125">
        <f t="shared" si="9"/>
        <v>1</v>
      </c>
    </row>
    <row r="126" spans="1:16" x14ac:dyDescent="0.25">
      <c r="A126" s="1"/>
      <c r="B126" t="s">
        <v>139</v>
      </c>
      <c r="C126" t="s">
        <v>24</v>
      </c>
      <c r="D126" s="3">
        <v>4.833333333333333</v>
      </c>
      <c r="E126" s="5">
        <f t="shared" si="5"/>
        <v>1765</v>
      </c>
      <c r="F126">
        <v>-0.26777000000000001</v>
      </c>
      <c r="G126">
        <f t="shared" si="6"/>
        <v>1.14693</v>
      </c>
      <c r="H126">
        <f t="shared" si="7"/>
        <v>1.14693</v>
      </c>
      <c r="I126" s="5">
        <f t="shared" si="8"/>
        <v>1765</v>
      </c>
      <c r="J126">
        <f>+H126+CF*F126*(1+($I126-1850)*slope/1000)+F126*hQc*COS(2*PI()*$I126/qbo+$L126)+F126*hQs*SIN(2*PI()*$I126/qbo+$L126)+F126*hCs*SIN(2*PI()*$I126/cw)+F126*hCc*COS(2*PI()*$I126/cw) +mix*F126*(hQc*COS(2*PI()*$I126/qbo+$L126)+hQs*SIN(2*PI()*$I126/qbo+$L126))*(hCs*SIN(2*PI()*$I126/cw)+hCc*COS(2*PI()*$I126/cw))</f>
        <v>51.345698461350892</v>
      </c>
      <c r="K126">
        <f>fQc*COS(2*PI()*$I126/qbo+$L126)+fQs*SIN(2*PI()*$I126/qbo+$L126)+fCs*SIN(2*PI()*$I126/cw)+fCc*COS(2*PI()*$I126/cw)</f>
        <v>1.1877142691641296</v>
      </c>
      <c r="L126">
        <f>+QMA*COS(2*PI()*$I126/QM+QMP)</f>
        <v>1.1874931874389829</v>
      </c>
      <c r="P126">
        <f t="shared" si="9"/>
        <v>1</v>
      </c>
    </row>
    <row r="127" spans="1:16" x14ac:dyDescent="0.25">
      <c r="A127" s="1"/>
      <c r="B127" t="s">
        <v>140</v>
      </c>
      <c r="C127" t="s">
        <v>24</v>
      </c>
      <c r="D127" s="3">
        <v>4.875</v>
      </c>
      <c r="E127" s="5">
        <f t="shared" si="5"/>
        <v>1766</v>
      </c>
      <c r="F127">
        <v>0.67461000000000004</v>
      </c>
      <c r="G127">
        <f t="shared" si="6"/>
        <v>-1.22204</v>
      </c>
      <c r="H127">
        <f t="shared" si="7"/>
        <v>-1.22204</v>
      </c>
      <c r="I127" s="5">
        <f t="shared" si="8"/>
        <v>1766</v>
      </c>
      <c r="J127">
        <f>+H127+CF*F127*(1+($I127-1850)*slope/1000)+F127*hQc*COS(2*PI()*$I127/qbo+$L127)+F127*hQs*SIN(2*PI()*$I127/qbo+$L127)+F127*hCs*SIN(2*PI()*$I127/cw)+F127*hCc*COS(2*PI()*$I127/cw) +mix*F127*(hQc*COS(2*PI()*$I127/qbo+$L127)+hQs*SIN(2*PI()*$I127/qbo+$L127))*(hCs*SIN(2*PI()*$I127/cw)+hCc*COS(2*PI()*$I127/cw))</f>
        <v>20.146234053164278</v>
      </c>
      <c r="K127">
        <f>fQc*COS(2*PI()*$I127/qbo+$L127)+fQs*SIN(2*PI()*$I127/qbo+$L127)+fCs*SIN(2*PI()*$I127/cw)+fCc*COS(2*PI()*$I127/cw)</f>
        <v>-0.86878735215758085</v>
      </c>
      <c r="L127">
        <f>+QMA*COS(2*PI()*$I127/QM+QMP)</f>
        <v>0.94666317263811772</v>
      </c>
      <c r="P127">
        <f t="shared" si="9"/>
        <v>0</v>
      </c>
    </row>
    <row r="128" spans="1:16" x14ac:dyDescent="0.25">
      <c r="A128" s="1"/>
      <c r="B128" t="s">
        <v>141</v>
      </c>
      <c r="C128" t="s">
        <v>24</v>
      </c>
      <c r="D128" s="3">
        <v>4.916666666666667</v>
      </c>
      <c r="E128" s="5">
        <f t="shared" si="5"/>
        <v>1767</v>
      </c>
      <c r="F128">
        <v>0.39495000000000002</v>
      </c>
      <c r="G128">
        <f t="shared" si="6"/>
        <v>-0.18498999999999999</v>
      </c>
      <c r="H128">
        <f t="shared" si="7"/>
        <v>-0.18498999999999999</v>
      </c>
      <c r="I128" s="5">
        <f t="shared" si="8"/>
        <v>1767</v>
      </c>
      <c r="J128">
        <f>+H128+CF*F128*(1+($I128-1850)*slope/1000)+F128*hQc*COS(2*PI()*$I128/qbo+$L128)+F128*hQs*SIN(2*PI()*$I128/qbo+$L128)+F128*hCs*SIN(2*PI()*$I128/cw)+F128*hCc*COS(2*PI()*$I128/cw) +mix*F128*(hQc*COS(2*PI()*$I128/qbo+$L128)+hQs*SIN(2*PI()*$I128/qbo+$L128))*(hCs*SIN(2*PI()*$I128/cw)+hCc*COS(2*PI()*$I128/cw))</f>
        <v>-65.272223014055569</v>
      </c>
      <c r="K128">
        <f>fQc*COS(2*PI()*$I128/qbo+$L128)+fQs*SIN(2*PI()*$I128/qbo+$L128)+fCs*SIN(2*PI()*$I128/cw)+fCc*COS(2*PI()*$I128/cw)</f>
        <v>-1.0626519524405758</v>
      </c>
      <c r="L128">
        <f>+QMA*COS(2*PI()*$I128/QM+QMP)</f>
        <v>0.68681790564156586</v>
      </c>
      <c r="P128">
        <f t="shared" si="9"/>
        <v>1</v>
      </c>
    </row>
    <row r="129" spans="1:16" x14ac:dyDescent="0.25">
      <c r="A129" s="1"/>
      <c r="B129" t="s">
        <v>142</v>
      </c>
      <c r="C129" t="s">
        <v>24</v>
      </c>
      <c r="D129" s="3">
        <v>4.958333333333333</v>
      </c>
      <c r="E129" s="5">
        <f t="shared" si="5"/>
        <v>1768</v>
      </c>
      <c r="F129">
        <v>-6.9699999999999998E-2</v>
      </c>
      <c r="G129">
        <f t="shared" si="6"/>
        <v>0.86162000000000005</v>
      </c>
      <c r="H129">
        <f t="shared" si="7"/>
        <v>0.86162000000000005</v>
      </c>
      <c r="I129" s="5">
        <f t="shared" si="8"/>
        <v>1768</v>
      </c>
      <c r="J129">
        <f>+H129+CF*F129*(1+($I129-1850)*slope/1000)+F129*hQc*COS(2*PI()*$I129/qbo+$L129)+F129*hQs*SIN(2*PI()*$I129/qbo+$L129)+F129*hCs*SIN(2*PI()*$I129/cw)+F129*hCc*COS(2*PI()*$I129/cw) +mix*F129*(hQc*COS(2*PI()*$I129/qbo+$L129)+hQs*SIN(2*PI()*$I129/qbo+$L129))*(hCs*SIN(2*PI()*$I129/cw)+hCc*COS(2*PI()*$I129/cw))</f>
        <v>-4.3383474095164791</v>
      </c>
      <c r="K129">
        <f>fQc*COS(2*PI()*$I129/qbo+$L129)+fQs*SIN(2*PI()*$I129/qbo+$L129)+fCs*SIN(2*PI()*$I129/cw)+fCc*COS(2*PI()*$I129/cw)</f>
        <v>3.5676403127365193</v>
      </c>
      <c r="L129">
        <f>+QMA*COS(2*PI()*$I129/QM+QMP)</f>
        <v>0.41317679650638256</v>
      </c>
      <c r="P129">
        <f t="shared" si="9"/>
        <v>0</v>
      </c>
    </row>
    <row r="130" spans="1:16" x14ac:dyDescent="0.25">
      <c r="A130" s="1"/>
      <c r="B130" t="s">
        <v>143</v>
      </c>
      <c r="C130" t="s">
        <v>24</v>
      </c>
      <c r="D130" s="3">
        <v>5</v>
      </c>
      <c r="E130" s="5">
        <f t="shared" si="5"/>
        <v>1769</v>
      </c>
      <c r="F130">
        <v>0.32727000000000001</v>
      </c>
      <c r="G130">
        <f t="shared" si="6"/>
        <v>0.12131999999999993</v>
      </c>
      <c r="H130">
        <f t="shared" si="7"/>
        <v>0.12131999999999993</v>
      </c>
      <c r="I130" s="5">
        <f t="shared" si="8"/>
        <v>1769</v>
      </c>
      <c r="J130">
        <f>+H130+CF*F130*(1+($I130-1850)*slope/1000)+F130*hQc*COS(2*PI()*$I130/qbo+$L130)+F130*hQs*SIN(2*PI()*$I130/qbo+$L130)+F130*hCs*SIN(2*PI()*$I130/cw)+F130*hCc*COS(2*PI()*$I130/cw) +mix*F130*(hQc*COS(2*PI()*$I130/qbo+$L130)+hQs*SIN(2*PI()*$I130/qbo+$L130))*(hCs*SIN(2*PI()*$I130/cw)+hCc*COS(2*PI()*$I130/cw))</f>
        <v>16.976628357698544</v>
      </c>
      <c r="K130">
        <f>fQc*COS(2*PI()*$I130/qbo+$L130)+fQs*SIN(2*PI()*$I130/qbo+$L130)+fCs*SIN(2*PI()*$I130/cw)+fCc*COS(2*PI()*$I130/cw)</f>
        <v>-1.6744522388292431</v>
      </c>
      <c r="L130">
        <f>+QMA*COS(2*PI()*$I130/QM+QMP)</f>
        <v>0.13123636696457014</v>
      </c>
      <c r="P130">
        <f t="shared" si="9"/>
        <v>0</v>
      </c>
    </row>
    <row r="131" spans="1:16" x14ac:dyDescent="0.25">
      <c r="A131" s="1"/>
      <c r="B131" t="s">
        <v>144</v>
      </c>
      <c r="C131" t="s">
        <v>24</v>
      </c>
      <c r="D131" s="3">
        <v>5.041666666666667</v>
      </c>
      <c r="E131" s="5">
        <f t="shared" si="5"/>
        <v>1770</v>
      </c>
      <c r="F131">
        <v>0.84555999999999998</v>
      </c>
      <c r="G131">
        <f t="shared" si="6"/>
        <v>-0.67840999999999985</v>
      </c>
      <c r="H131">
        <f t="shared" si="7"/>
        <v>-0.67840999999999985</v>
      </c>
      <c r="I131" s="5">
        <f t="shared" si="8"/>
        <v>1770</v>
      </c>
      <c r="J131">
        <f>+H131+CF*F131*(1+($I131-1850)*slope/1000)+F131*hQc*COS(2*PI()*$I131/qbo+$L131)+F131*hQs*SIN(2*PI()*$I131/qbo+$L131)+F131*hCs*SIN(2*PI()*$I131/cw)+F131*hCc*COS(2*PI()*$I131/cw) +mix*F131*(hQc*COS(2*PI()*$I131/qbo+$L131)+hQs*SIN(2*PI()*$I131/qbo+$L131))*(hCs*SIN(2*PI()*$I131/cw)+hCc*COS(2*PI()*$I131/cw))</f>
        <v>62.46411869254716</v>
      </c>
      <c r="K131">
        <f>fQc*COS(2*PI()*$I131/qbo+$L131)+fQs*SIN(2*PI()*$I131/qbo+$L131)+fCs*SIN(2*PI()*$I131/cw)+fCc*COS(2*PI()*$I131/cw)</f>
        <v>-3.4103971423764508</v>
      </c>
      <c r="L131">
        <f>+QMA*COS(2*PI()*$I131/QM+QMP)</f>
        <v>-0.1533401560550971</v>
      </c>
      <c r="P131">
        <f t="shared" si="9"/>
        <v>0</v>
      </c>
    </row>
    <row r="132" spans="1:16" x14ac:dyDescent="0.25">
      <c r="A132" s="1"/>
      <c r="B132" t="s">
        <v>145</v>
      </c>
      <c r="C132" t="s">
        <v>24</v>
      </c>
      <c r="D132" s="3">
        <v>5.083333333333333</v>
      </c>
      <c r="E132" s="5">
        <f t="shared" si="5"/>
        <v>1771</v>
      </c>
      <c r="F132">
        <v>0.68544000000000005</v>
      </c>
      <c r="G132">
        <f t="shared" si="6"/>
        <v>-1.19834</v>
      </c>
      <c r="H132">
        <f t="shared" si="7"/>
        <v>-1.19834</v>
      </c>
      <c r="I132" s="5">
        <f t="shared" si="8"/>
        <v>1771</v>
      </c>
      <c r="J132">
        <f>+H132+CF*F132*(1+($I132-1850)*slope/1000)+F132*hQc*COS(2*PI()*$I132/qbo+$L132)+F132*hQs*SIN(2*PI()*$I132/qbo+$L132)+F132*hCs*SIN(2*PI()*$I132/cw)+F132*hCc*COS(2*PI()*$I132/cw) +mix*F132*(hQc*COS(2*PI()*$I132/qbo+$L132)+hQs*SIN(2*PI()*$I132/qbo+$L132))*(hCs*SIN(2*PI()*$I132/cw)+hCc*COS(2*PI()*$I132/cw))</f>
        <v>169.72660742358585</v>
      </c>
      <c r="K132">
        <f>fQc*COS(2*PI()*$I132/qbo+$L132)+fQs*SIN(2*PI()*$I132/qbo+$L132)+fCs*SIN(2*PI()*$I132/cw)+fCc*COS(2*PI()*$I132/cw)</f>
        <v>4.1280118408629853</v>
      </c>
      <c r="L132">
        <f>+QMA*COS(2*PI()*$I132/QM+QMP)</f>
        <v>-0.43483659544700481</v>
      </c>
      <c r="P132">
        <f t="shared" si="9"/>
        <v>1</v>
      </c>
    </row>
    <row r="133" spans="1:16" x14ac:dyDescent="0.25">
      <c r="A133" s="1"/>
      <c r="B133" t="s">
        <v>146</v>
      </c>
      <c r="C133" t="s">
        <v>24</v>
      </c>
      <c r="D133" s="3">
        <v>5.125</v>
      </c>
      <c r="E133" s="5">
        <f t="shared" si="5"/>
        <v>1772</v>
      </c>
      <c r="F133">
        <v>-0.67301999999999995</v>
      </c>
      <c r="G133">
        <f t="shared" si="6"/>
        <v>0.61890999999999985</v>
      </c>
      <c r="H133">
        <f t="shared" si="7"/>
        <v>0.61890999999999985</v>
      </c>
      <c r="I133" s="5">
        <f t="shared" si="8"/>
        <v>1772</v>
      </c>
      <c r="J133">
        <f>+H133+CF*F133*(1+($I133-1850)*slope/1000)+F133*hQc*COS(2*PI()*$I133/qbo+$L133)+F133*hQs*SIN(2*PI()*$I133/qbo+$L133)+F133*hCs*SIN(2*PI()*$I133/cw)+F133*hCc*COS(2*PI()*$I133/cw) +mix*F133*(hQc*COS(2*PI()*$I133/qbo+$L133)+hQs*SIN(2*PI()*$I133/qbo+$L133))*(hCs*SIN(2*PI()*$I133/cw)+hCc*COS(2*PI()*$I133/cw))</f>
        <v>-12.985514448327775</v>
      </c>
      <c r="K133">
        <f>fQc*COS(2*PI()*$I133/qbo+$L133)+fQs*SIN(2*PI()*$I133/qbo+$L133)+fCs*SIN(2*PI()*$I133/cw)+fCc*COS(2*PI()*$I133/cw)</f>
        <v>0.71248751312751746</v>
      </c>
      <c r="L133">
        <f>+QMA*COS(2*PI()*$I133/QM+QMP)</f>
        <v>-0.70759864253820881</v>
      </c>
      <c r="P133">
        <f t="shared" si="9"/>
        <v>0</v>
      </c>
    </row>
    <row r="134" spans="1:16" x14ac:dyDescent="0.25">
      <c r="A134" s="1"/>
      <c r="B134" t="s">
        <v>147</v>
      </c>
      <c r="C134" t="s">
        <v>24</v>
      </c>
      <c r="D134" s="3">
        <v>5.166666666666667</v>
      </c>
      <c r="E134" s="5">
        <f t="shared" si="5"/>
        <v>1773</v>
      </c>
      <c r="F134">
        <v>-1.4125700000000001</v>
      </c>
      <c r="G134">
        <f t="shared" si="6"/>
        <v>1.9438000000000002</v>
      </c>
      <c r="H134">
        <f t="shared" si="7"/>
        <v>1.9438000000000002</v>
      </c>
      <c r="I134" s="5">
        <f t="shared" si="8"/>
        <v>1773</v>
      </c>
      <c r="J134">
        <f>+H134+CF*F134*(1+($I134-1850)*slope/1000)+F134*hQc*COS(2*PI()*$I134/qbo+$L134)+F134*hQs*SIN(2*PI()*$I134/qbo+$L134)+F134*hCs*SIN(2*PI()*$I134/cw)+F134*hCc*COS(2*PI()*$I134/cw) +mix*F134*(hQc*COS(2*PI()*$I134/qbo+$L134)+hQs*SIN(2*PI()*$I134/qbo+$L134))*(hCs*SIN(2*PI()*$I134/cw)+hCc*COS(2*PI()*$I134/cw))</f>
        <v>-284.90024952727424</v>
      </c>
      <c r="K134">
        <f>fQc*COS(2*PI()*$I134/qbo+$L134)+fQs*SIN(2*PI()*$I134/qbo+$L134)+fCs*SIN(2*PI()*$I134/cw)+fCc*COS(2*PI()*$I134/cw)</f>
        <v>-3.7738833360245581</v>
      </c>
      <c r="L134">
        <f>+QMA*COS(2*PI()*$I134/QM+QMP)</f>
        <v>-0.96614743297185202</v>
      </c>
      <c r="P134">
        <f t="shared" si="9"/>
        <v>1</v>
      </c>
    </row>
    <row r="135" spans="1:16" x14ac:dyDescent="0.25">
      <c r="A135" s="1"/>
      <c r="B135" t="s">
        <v>148</v>
      </c>
      <c r="C135" t="s">
        <v>24</v>
      </c>
      <c r="D135" s="3">
        <v>5.208333333333333</v>
      </c>
      <c r="E135" s="5">
        <f t="shared" si="5"/>
        <v>1774</v>
      </c>
      <c r="F135">
        <v>-0.20832000000000001</v>
      </c>
      <c r="G135">
        <f t="shared" si="6"/>
        <v>-1.0641700000000001</v>
      </c>
      <c r="H135">
        <f t="shared" si="7"/>
        <v>-1.0641700000000001</v>
      </c>
      <c r="I135" s="5">
        <f t="shared" si="8"/>
        <v>1774</v>
      </c>
      <c r="J135">
        <f>+H135+CF*F135*(1+($I135-1850)*slope/1000)+F135*hQc*COS(2*PI()*$I135/qbo+$L135)+F135*hQs*SIN(2*PI()*$I135/qbo+$L135)+F135*hCs*SIN(2*PI()*$I135/cw)+F135*hCc*COS(2*PI()*$I135/cw) +mix*F135*(hQc*COS(2*PI()*$I135/qbo+$L135)+hQs*SIN(2*PI()*$I135/qbo+$L135))*(hCs*SIN(2*PI()*$I135/cw)+hCc*COS(2*PI()*$I135/cw))</f>
        <v>11.211854417246141</v>
      </c>
      <c r="K135">
        <f>fQc*COS(2*PI()*$I135/qbo+$L135)+fQs*SIN(2*PI()*$I135/qbo+$L135)+fCs*SIN(2*PI()*$I135/cw)+fCc*COS(2*PI()*$I135/cw)</f>
        <v>1.7990675792197188</v>
      </c>
      <c r="L135">
        <f>+QMA*COS(2*PI()*$I135/QM+QMP)</f>
        <v>-1.2052895985075052</v>
      </c>
      <c r="P135">
        <f t="shared" si="9"/>
        <v>1</v>
      </c>
    </row>
    <row r="136" spans="1:16" x14ac:dyDescent="0.25">
      <c r="A136" s="1"/>
      <c r="B136" t="s">
        <v>149</v>
      </c>
      <c r="C136" t="s">
        <v>24</v>
      </c>
      <c r="D136" s="3">
        <v>5.25</v>
      </c>
      <c r="E136" s="5">
        <f t="shared" si="5"/>
        <v>1775</v>
      </c>
      <c r="F136">
        <v>-6.8239999999999995E-2</v>
      </c>
      <c r="G136">
        <f t="shared" si="6"/>
        <v>-0.52205999999999997</v>
      </c>
      <c r="H136">
        <f t="shared" si="7"/>
        <v>-0.52205999999999997</v>
      </c>
      <c r="I136" s="5">
        <f t="shared" si="8"/>
        <v>1775</v>
      </c>
      <c r="J136">
        <f>+H136+CF*F136*(1+($I136-1850)*slope/1000)+F136*hQc*COS(2*PI()*$I136/qbo+$L136)+F136*hQs*SIN(2*PI()*$I136/qbo+$L136)+F136*hCs*SIN(2*PI()*$I136/cw)+F136*hCc*COS(2*PI()*$I136/cw) +mix*F136*(hQc*COS(2*PI()*$I136/qbo+$L136)+hQs*SIN(2*PI()*$I136/qbo+$L136))*(hCs*SIN(2*PI()*$I136/cw)+hCc*COS(2*PI()*$I136/cw))</f>
        <v>0.99868777516316642</v>
      </c>
      <c r="K136">
        <f>fQc*COS(2*PI()*$I136/qbo+$L136)+fQs*SIN(2*PI()*$I136/qbo+$L136)+fCs*SIN(2*PI()*$I136/cw)+fCc*COS(2*PI()*$I136/cw)</f>
        <v>0.57151469422179391</v>
      </c>
      <c r="L136">
        <f>+QMA*COS(2*PI()*$I136/QM+QMP)</f>
        <v>-1.4202215841747401</v>
      </c>
      <c r="P136">
        <f t="shared" si="9"/>
        <v>1</v>
      </c>
    </row>
    <row r="137" spans="1:16" x14ac:dyDescent="0.25">
      <c r="A137" s="1"/>
      <c r="B137" t="s">
        <v>150</v>
      </c>
      <c r="C137" t="s">
        <v>24</v>
      </c>
      <c r="D137" s="3">
        <v>5.291666666666667</v>
      </c>
      <c r="E137" s="5">
        <f t="shared" si="5"/>
        <v>1776</v>
      </c>
      <c r="F137">
        <v>-0.45022000000000001</v>
      </c>
      <c r="G137">
        <f t="shared" si="6"/>
        <v>0.28513000000000005</v>
      </c>
      <c r="H137">
        <f t="shared" si="7"/>
        <v>0.28513000000000005</v>
      </c>
      <c r="I137" s="5">
        <f t="shared" si="8"/>
        <v>1776</v>
      </c>
      <c r="J137">
        <f>+H137+CF*F137*(1+($I137-1850)*slope/1000)+F137*hQc*COS(2*PI()*$I137/qbo+$L137)+F137*hQs*SIN(2*PI()*$I137/qbo+$L137)+F137*hCs*SIN(2*PI()*$I137/cw)+F137*hCc*COS(2*PI()*$I137/cw) +mix*F137*(hQc*COS(2*PI()*$I137/qbo+$L137)+hQs*SIN(2*PI()*$I137/qbo+$L137))*(hCs*SIN(2*PI()*$I137/cw)+hCc*COS(2*PI()*$I137/cw))</f>
        <v>21.031612016481745</v>
      </c>
      <c r="K137">
        <f>fQc*COS(2*PI()*$I137/qbo+$L137)+fQs*SIN(2*PI()*$I137/qbo+$L137)+fCs*SIN(2*PI()*$I137/cw)+fCc*COS(2*PI()*$I137/cw)</f>
        <v>-0.94261627472261766</v>
      </c>
      <c r="L137">
        <f>+QMA*COS(2*PI()*$I137/QM+QMP)</f>
        <v>-1.6066261353993772</v>
      </c>
      <c r="P137">
        <f t="shared" si="9"/>
        <v>0</v>
      </c>
    </row>
    <row r="138" spans="1:16" x14ac:dyDescent="0.25">
      <c r="A138" s="1"/>
      <c r="B138" t="s">
        <v>151</v>
      </c>
      <c r="C138" t="s">
        <v>24</v>
      </c>
      <c r="D138" s="3">
        <v>5.333333333333333</v>
      </c>
      <c r="E138" s="5">
        <f t="shared" si="5"/>
        <v>1777</v>
      </c>
      <c r="F138">
        <v>-0.54706999999999995</v>
      </c>
      <c r="G138">
        <f t="shared" si="6"/>
        <v>-0.23581000000000013</v>
      </c>
      <c r="H138">
        <f t="shared" si="7"/>
        <v>-0.23581000000000013</v>
      </c>
      <c r="I138" s="5">
        <f t="shared" si="8"/>
        <v>1777</v>
      </c>
      <c r="J138">
        <f>+H138+CF*F138*(1+($I138-1850)*slope/1000)+F138*hQc*COS(2*PI()*$I138/qbo+$L138)+F138*hQs*SIN(2*PI()*$I138/qbo+$L138)+F138*hCs*SIN(2*PI()*$I138/cw)+F138*hCc*COS(2*PI()*$I138/cw) +mix*F138*(hQc*COS(2*PI()*$I138/qbo+$L138)+hQs*SIN(2*PI()*$I138/qbo+$L138))*(hCs*SIN(2*PI()*$I138/cw)+hCc*COS(2*PI()*$I138/cw))</f>
        <v>102.39664956189148</v>
      </c>
      <c r="K138">
        <f>fQc*COS(2*PI()*$I138/qbo+$L138)+fQs*SIN(2*PI()*$I138/qbo+$L138)+fCs*SIN(2*PI()*$I138/cw)+fCc*COS(2*PI()*$I138/cw)</f>
        <v>1.9326893602508621</v>
      </c>
      <c r="L138">
        <f>+QMA*COS(2*PI()*$I138/QM+QMP)</f>
        <v>-1.7607590170041536</v>
      </c>
      <c r="P138">
        <f t="shared" si="9"/>
        <v>1</v>
      </c>
    </row>
    <row r="139" spans="1:16" x14ac:dyDescent="0.25">
      <c r="A139" s="1"/>
      <c r="B139" t="s">
        <v>152</v>
      </c>
      <c r="C139" t="s">
        <v>24</v>
      </c>
      <c r="D139" s="3">
        <v>5.375</v>
      </c>
      <c r="E139" s="5">
        <f t="shared" si="5"/>
        <v>1778</v>
      </c>
      <c r="F139">
        <v>-0.87973000000000001</v>
      </c>
      <c r="G139">
        <f t="shared" si="6"/>
        <v>0.59026000000000012</v>
      </c>
      <c r="H139">
        <f t="shared" si="7"/>
        <v>0.59026000000000012</v>
      </c>
      <c r="I139" s="5">
        <f t="shared" si="8"/>
        <v>1778</v>
      </c>
      <c r="J139">
        <f>+H139+CF*F139*(1+($I139-1850)*slope/1000)+F139*hQc*COS(2*PI()*$I139/qbo+$L139)+F139*hQs*SIN(2*PI()*$I139/qbo+$L139)+F139*hCs*SIN(2*PI()*$I139/cw)+F139*hCc*COS(2*PI()*$I139/cw) +mix*F139*(hQc*COS(2*PI()*$I139/qbo+$L139)+hQs*SIN(2*PI()*$I139/qbo+$L139))*(hCs*SIN(2*PI()*$I139/cw)+hCc*COS(2*PI()*$I139/cw))</f>
        <v>-82.007255924537617</v>
      </c>
      <c r="K139">
        <f>fQc*COS(2*PI()*$I139/qbo+$L139)+fQs*SIN(2*PI()*$I139/qbo+$L139)+fCs*SIN(2*PI()*$I139/cw)+fCc*COS(2*PI()*$I139/cw)</f>
        <v>-2.9289416682242049</v>
      </c>
      <c r="L139">
        <f>+QMA*COS(2*PI()*$I139/QM+QMP)</f>
        <v>-1.879524222193852</v>
      </c>
      <c r="P139">
        <f t="shared" si="9"/>
        <v>1</v>
      </c>
    </row>
    <row r="140" spans="1:16" x14ac:dyDescent="0.25">
      <c r="A140" s="1"/>
      <c r="B140" t="s">
        <v>153</v>
      </c>
      <c r="C140" t="s">
        <v>24</v>
      </c>
      <c r="D140" s="3">
        <v>5.416666666666667</v>
      </c>
      <c r="E140" s="5">
        <f t="shared" si="5"/>
        <v>1779</v>
      </c>
      <c r="F140">
        <v>-0.62212999999999996</v>
      </c>
      <c r="G140">
        <f t="shared" si="6"/>
        <v>0.30409999999999993</v>
      </c>
      <c r="H140">
        <f t="shared" si="7"/>
        <v>0.30409999999999993</v>
      </c>
      <c r="I140" s="5">
        <f t="shared" si="8"/>
        <v>1779</v>
      </c>
      <c r="J140">
        <f>+H140+CF*F140*(1+($I140-1850)*slope/1000)+F140*hQc*COS(2*PI()*$I140/qbo+$L140)+F140*hQs*SIN(2*PI()*$I140/qbo+$L140)+F140*hCs*SIN(2*PI()*$I140/cw)+F140*hCc*COS(2*PI()*$I140/cw) +mix*F140*(hQc*COS(2*PI()*$I140/qbo+$L140)+hQs*SIN(2*PI()*$I140/qbo+$L140))*(hCs*SIN(2*PI()*$I140/cw)+hCc*COS(2*PI()*$I140/cw))</f>
        <v>12.690271885409416</v>
      </c>
      <c r="K140">
        <f>fQc*COS(2*PI()*$I140/qbo+$L140)+fQs*SIN(2*PI()*$I140/qbo+$L140)+fCs*SIN(2*PI()*$I140/cw)+fCc*COS(2*PI()*$I140/cw)</f>
        <v>0.24939311902646433</v>
      </c>
      <c r="L140">
        <f>+QMA*COS(2*PI()*$I140/QM+QMP)</f>
        <v>-1.9605361608302956</v>
      </c>
      <c r="P140">
        <f t="shared" si="9"/>
        <v>1</v>
      </c>
    </row>
    <row r="141" spans="1:16" x14ac:dyDescent="0.25">
      <c r="A141" s="1"/>
      <c r="B141" t="s">
        <v>154</v>
      </c>
      <c r="C141" t="s">
        <v>24</v>
      </c>
      <c r="D141" s="3">
        <v>5.458333333333333</v>
      </c>
      <c r="E141" s="5">
        <f t="shared" ref="E141:E204" si="10">+E140+1</f>
        <v>1780</v>
      </c>
      <c r="F141">
        <v>-6.0429999999999998E-2</v>
      </c>
      <c r="G141">
        <f t="shared" ref="G141:G204" si="11">+(F142-F141)-(F141-F140)</f>
        <v>-1.3107199999999999</v>
      </c>
      <c r="H141">
        <f t="shared" ref="H141:H204" si="12">+G141</f>
        <v>-1.3107199999999999</v>
      </c>
      <c r="I141" s="5">
        <f t="shared" si="8"/>
        <v>1780</v>
      </c>
      <c r="J141">
        <f>+H141+CF*F141*(1+($I141-1850)*slope/1000)+F141*hQc*COS(2*PI()*$I141/qbo+$L141)+F141*hQs*SIN(2*PI()*$I141/qbo+$L141)+F141*hCs*SIN(2*PI()*$I141/cw)+F141*hCc*COS(2*PI()*$I141/cw) +mix*F141*(hQc*COS(2*PI()*$I141/qbo+$L141)+hQs*SIN(2*PI()*$I141/qbo+$L141))*(hCs*SIN(2*PI()*$I141/cw)+hCc*COS(2*PI()*$I141/cw))</f>
        <v>-10.426426974667475</v>
      </c>
      <c r="K141">
        <f>fQc*COS(2*PI()*$I141/qbo+$L141)+fQs*SIN(2*PI()*$I141/qbo+$L141)+fCs*SIN(2*PI()*$I141/cw)+fCc*COS(2*PI()*$I141/cw)</f>
        <v>3.9973546146732337</v>
      </c>
      <c r="L141">
        <f>+QMA*COS(2*PI()*$I141/QM+QMP)</f>
        <v>-2.0021675778469219</v>
      </c>
      <c r="P141">
        <f t="shared" si="9"/>
        <v>0</v>
      </c>
    </row>
    <row r="142" spans="1:16" x14ac:dyDescent="0.25">
      <c r="A142" s="1"/>
      <c r="B142" t="s">
        <v>155</v>
      </c>
      <c r="C142" t="s">
        <v>24</v>
      </c>
      <c r="D142" s="3">
        <v>5.5</v>
      </c>
      <c r="E142" s="5">
        <f t="shared" si="10"/>
        <v>1781</v>
      </c>
      <c r="F142">
        <v>-0.80945</v>
      </c>
      <c r="G142">
        <f t="shared" si="11"/>
        <v>0.48418000000000005</v>
      </c>
      <c r="H142">
        <f t="shared" si="12"/>
        <v>0.48418000000000005</v>
      </c>
      <c r="I142" s="5">
        <f t="shared" ref="I142:I205" si="13">+E142</f>
        <v>1781</v>
      </c>
      <c r="J142">
        <f>+H142+CF*F142*(1+($I142-1850)*slope/1000)+F142*hQc*COS(2*PI()*$I142/qbo+$L142)+F142*hQs*SIN(2*PI()*$I142/qbo+$L142)+F142*hCs*SIN(2*PI()*$I142/cw)+F142*hCc*COS(2*PI()*$I142/cw) +mix*F142*(hQc*COS(2*PI()*$I142/qbo+$L142)+hQs*SIN(2*PI()*$I142/qbo+$L142))*(hCs*SIN(2*PI()*$I142/cw)+hCc*COS(2*PI()*$I142/cw))</f>
        <v>-169.02794269494217</v>
      </c>
      <c r="K142">
        <f>fQc*COS(2*PI()*$I142/qbo+$L142)+fQs*SIN(2*PI()*$I142/qbo+$L142)+fCs*SIN(2*PI()*$I142/cw)+fCc*COS(2*PI()*$I142/cw)</f>
        <v>-3.9208730713969566</v>
      </c>
      <c r="L142">
        <f>+QMA*COS(2*PI()*$I142/QM+QMP)</f>
        <v>-2.0035822392835478</v>
      </c>
      <c r="P142">
        <f t="shared" ref="P142:P205" si="14">+IF(J142*K142&gt;0,1, 0)</f>
        <v>1</v>
      </c>
    </row>
    <row r="143" spans="1:16" x14ac:dyDescent="0.25">
      <c r="A143" s="1"/>
      <c r="B143" t="s">
        <v>156</v>
      </c>
      <c r="C143" t="s">
        <v>24</v>
      </c>
      <c r="D143" s="3">
        <v>5.541666666666667</v>
      </c>
      <c r="E143" s="5">
        <f t="shared" si="10"/>
        <v>1782</v>
      </c>
      <c r="F143">
        <v>-1.07429</v>
      </c>
      <c r="G143">
        <f t="shared" si="11"/>
        <v>2.16337</v>
      </c>
      <c r="H143">
        <f t="shared" si="12"/>
        <v>2.16337</v>
      </c>
      <c r="I143" s="5">
        <f t="shared" si="13"/>
        <v>1782</v>
      </c>
      <c r="J143">
        <f>+H143+CF*F143*(1+($I143-1850)*slope/1000)+F143*hQc*COS(2*PI()*$I143/qbo+$L143)+F143*hQs*SIN(2*PI()*$I143/qbo+$L143)+F143*hCs*SIN(2*PI()*$I143/cw)+F143*hCc*COS(2*PI()*$I143/cw) +mix*F143*(hQc*COS(2*PI()*$I143/qbo+$L143)+hQs*SIN(2*PI()*$I143/qbo+$L143))*(hCs*SIN(2*PI()*$I143/cw)+hCc*COS(2*PI()*$I143/cw))</f>
        <v>68.133116766576734</v>
      </c>
      <c r="K143">
        <f>fQc*COS(2*PI()*$I143/qbo+$L143)+fQs*SIN(2*PI()*$I143/qbo+$L143)+fCs*SIN(2*PI()*$I143/cw)+fCc*COS(2*PI()*$I143/cw)</f>
        <v>0.30298997555851082</v>
      </c>
      <c r="L143">
        <f>+QMA*COS(2*PI()*$I143/QM+QMP)</f>
        <v>-1.9647517293902115</v>
      </c>
      <c r="P143">
        <f t="shared" si="14"/>
        <v>1</v>
      </c>
    </row>
    <row r="144" spans="1:16" x14ac:dyDescent="0.25">
      <c r="A144" s="1"/>
      <c r="B144" t="s">
        <v>157</v>
      </c>
      <c r="C144" t="s">
        <v>24</v>
      </c>
      <c r="D144" s="3">
        <v>5.583333333333333</v>
      </c>
      <c r="E144" s="5">
        <f t="shared" si="10"/>
        <v>1783</v>
      </c>
      <c r="F144">
        <v>0.82423999999999997</v>
      </c>
      <c r="G144">
        <f t="shared" si="11"/>
        <v>-1.2054200000000002</v>
      </c>
      <c r="H144">
        <f t="shared" si="12"/>
        <v>-1.2054200000000002</v>
      </c>
      <c r="I144" s="5">
        <f t="shared" si="13"/>
        <v>1783</v>
      </c>
      <c r="J144">
        <f>+H144+CF*F144*(1+($I144-1850)*slope/1000)+F144*hQc*COS(2*PI()*$I144/qbo+$L144)+F144*hQs*SIN(2*PI()*$I144/qbo+$L144)+F144*hCs*SIN(2*PI()*$I144/cw)+F144*hCc*COS(2*PI()*$I144/cw) +mix*F144*(hQc*COS(2*PI()*$I144/qbo+$L144)+hQs*SIN(2*PI()*$I144/qbo+$L144))*(hCs*SIN(2*PI()*$I144/cw)+hCc*COS(2*PI()*$I144/cw))</f>
        <v>35.60182692760872</v>
      </c>
      <c r="K144">
        <f>fQc*COS(2*PI()*$I144/qbo+$L144)+fQs*SIN(2*PI()*$I144/qbo+$L144)+fCs*SIN(2*PI()*$I144/cw)+fCc*COS(2*PI()*$I144/cw)</f>
        <v>1.2211034606077846</v>
      </c>
      <c r="L144">
        <f>+QMA*COS(2*PI()*$I144/QM+QMP)</f>
        <v>-1.8864560214033075</v>
      </c>
      <c r="P144">
        <f t="shared" si="14"/>
        <v>1</v>
      </c>
    </row>
    <row r="145" spans="1:16" x14ac:dyDescent="0.25">
      <c r="A145" s="1"/>
      <c r="B145" t="s">
        <v>158</v>
      </c>
      <c r="C145" t="s">
        <v>24</v>
      </c>
      <c r="D145" s="3">
        <v>5.625</v>
      </c>
      <c r="E145" s="5">
        <f t="shared" si="10"/>
        <v>1784</v>
      </c>
      <c r="F145">
        <v>1.51735</v>
      </c>
      <c r="G145">
        <f t="shared" si="11"/>
        <v>-2.7677499999999999</v>
      </c>
      <c r="H145">
        <f t="shared" si="12"/>
        <v>-2.7677499999999999</v>
      </c>
      <c r="I145" s="5">
        <f t="shared" si="13"/>
        <v>1784</v>
      </c>
      <c r="J145">
        <f>+H145+CF*F145*(1+($I145-1850)*slope/1000)+F145*hQc*COS(2*PI()*$I145/qbo+$L145)+F145*hQs*SIN(2*PI()*$I145/qbo+$L145)+F145*hCs*SIN(2*PI()*$I145/cw)+F145*hCc*COS(2*PI()*$I145/cw) +mix*F145*(hQc*COS(2*PI()*$I145/qbo+$L145)+hQs*SIN(2*PI()*$I145/qbo+$L145))*(hCs*SIN(2*PI()*$I145/cw)+hCc*COS(2*PI()*$I145/cw))</f>
        <v>-135.81685017184179</v>
      </c>
      <c r="K145">
        <f>fQc*COS(2*PI()*$I145/qbo+$L145)+fQs*SIN(2*PI()*$I145/qbo+$L145)+fCs*SIN(2*PI()*$I145/cw)+fCc*COS(2*PI()*$I145/cw)</f>
        <v>-0.71847457802599268</v>
      </c>
      <c r="L145">
        <f>+QMA*COS(2*PI()*$I145/QM+QMP)</f>
        <v>-1.7702678105286935</v>
      </c>
      <c r="P145">
        <f t="shared" si="14"/>
        <v>1</v>
      </c>
    </row>
    <row r="146" spans="1:16" x14ac:dyDescent="0.25">
      <c r="A146" s="1"/>
      <c r="B146" t="s">
        <v>159</v>
      </c>
      <c r="C146" t="s">
        <v>24</v>
      </c>
      <c r="D146" s="3">
        <v>5.666666666666667</v>
      </c>
      <c r="E146" s="5">
        <f t="shared" si="10"/>
        <v>1785</v>
      </c>
      <c r="F146">
        <v>-0.55728999999999995</v>
      </c>
      <c r="G146">
        <f t="shared" si="11"/>
        <v>1.5596000000000001</v>
      </c>
      <c r="H146">
        <f t="shared" si="12"/>
        <v>1.5596000000000001</v>
      </c>
      <c r="I146" s="5">
        <f t="shared" si="13"/>
        <v>1785</v>
      </c>
      <c r="J146">
        <f>+H146+CF*F146*(1+($I146-1850)*slope/1000)+F146*hQc*COS(2*PI()*$I146/qbo+$L146)+F146*hQs*SIN(2*PI()*$I146/qbo+$L146)+F146*hCs*SIN(2*PI()*$I146/cw)+F146*hCc*COS(2*PI()*$I146/cw) +mix*F146*(hQc*COS(2*PI()*$I146/qbo+$L146)+hQs*SIN(2*PI()*$I146/qbo+$L146))*(hCs*SIN(2*PI()*$I146/cw)+hCc*COS(2*PI()*$I146/cw))</f>
        <v>82.741255703924708</v>
      </c>
      <c r="K146">
        <f>fQc*COS(2*PI()*$I146/qbo+$L146)+fQs*SIN(2*PI()*$I146/qbo+$L146)+fCs*SIN(2*PI()*$I146/cw)+fCc*COS(2*PI()*$I146/cw)</f>
        <v>2.2643527195028268</v>
      </c>
      <c r="L146">
        <f>+QMA*COS(2*PI()*$I146/QM+QMP)</f>
        <v>-1.6185209238294724</v>
      </c>
      <c r="P146">
        <f t="shared" si="14"/>
        <v>1</v>
      </c>
    </row>
    <row r="147" spans="1:16" x14ac:dyDescent="0.25">
      <c r="A147" s="1"/>
      <c r="B147" t="s">
        <v>160</v>
      </c>
      <c r="C147" t="s">
        <v>24</v>
      </c>
      <c r="D147" s="3">
        <v>5.708333333333333</v>
      </c>
      <c r="E147" s="5">
        <f t="shared" si="10"/>
        <v>1786</v>
      </c>
      <c r="F147">
        <v>-1.07233</v>
      </c>
      <c r="G147">
        <f t="shared" si="11"/>
        <v>1.5132400000000001</v>
      </c>
      <c r="H147">
        <f t="shared" si="12"/>
        <v>1.5132400000000001</v>
      </c>
      <c r="I147" s="5">
        <f t="shared" si="13"/>
        <v>1786</v>
      </c>
      <c r="J147">
        <f>+H147+CF*F147*(1+($I147-1850)*slope/1000)+F147*hQc*COS(2*PI()*$I147/qbo+$L147)+F147*hQs*SIN(2*PI()*$I147/qbo+$L147)+F147*hCs*SIN(2*PI()*$I147/cw)+F147*hCc*COS(2*PI()*$I147/cw) +mix*F147*(hQc*COS(2*PI()*$I147/qbo+$L147)+hQs*SIN(2*PI()*$I147/qbo+$L147))*(hCs*SIN(2*PI()*$I147/cw)+hCc*COS(2*PI()*$I147/cw))</f>
        <v>-194.82541189539947</v>
      </c>
      <c r="K147">
        <f>fQc*COS(2*PI()*$I147/qbo+$L147)+fQs*SIN(2*PI()*$I147/qbo+$L147)+fCs*SIN(2*PI()*$I147/cw)+fCc*COS(2*PI()*$I147/cw)</f>
        <v>-4.3118599632494092</v>
      </c>
      <c r="L147">
        <f>+QMA*COS(2*PI()*$I147/QM+QMP)</f>
        <v>-1.4342634415562765</v>
      </c>
      <c r="P147">
        <f t="shared" si="14"/>
        <v>1</v>
      </c>
    </row>
    <row r="148" spans="1:16" x14ac:dyDescent="0.25">
      <c r="A148" s="1"/>
      <c r="B148" t="s">
        <v>161</v>
      </c>
      <c r="C148" t="s">
        <v>24</v>
      </c>
      <c r="D148" s="3">
        <v>5.75</v>
      </c>
      <c r="E148" s="5">
        <f t="shared" si="10"/>
        <v>1787</v>
      </c>
      <c r="F148">
        <v>-7.4130000000000001E-2</v>
      </c>
      <c r="G148">
        <f t="shared" si="11"/>
        <v>-0.81238999999999995</v>
      </c>
      <c r="H148">
        <f t="shared" si="12"/>
        <v>-0.81238999999999995</v>
      </c>
      <c r="I148" s="5">
        <f t="shared" si="13"/>
        <v>1787</v>
      </c>
      <c r="J148">
        <f>+H148+CF*F148*(1+($I148-1850)*slope/1000)+F148*hQc*COS(2*PI()*$I148/qbo+$L148)+F148*hQs*SIN(2*PI()*$I148/qbo+$L148)+F148*hCs*SIN(2*PI()*$I148/cw)+F148*hCc*COS(2*PI()*$I148/cw) +mix*F148*(hQc*COS(2*PI()*$I148/qbo+$L148)+hQs*SIN(2*PI()*$I148/qbo+$L148))*(hCs*SIN(2*PI()*$I148/cw)+hCc*COS(2*PI()*$I148/cw))</f>
        <v>-10.086517479442231</v>
      </c>
      <c r="K148">
        <f>fQc*COS(2*PI()*$I148/qbo+$L148)+fQs*SIN(2*PI()*$I148/qbo+$L148)+fCs*SIN(2*PI()*$I148/cw)+fCc*COS(2*PI()*$I148/cw)</f>
        <v>2.4388891417064738</v>
      </c>
      <c r="L148">
        <f>+QMA*COS(2*PI()*$I148/QM+QMP)</f>
        <v>-1.2211964715534847</v>
      </c>
      <c r="P148">
        <f t="shared" si="14"/>
        <v>0</v>
      </c>
    </row>
    <row r="149" spans="1:16" x14ac:dyDescent="0.25">
      <c r="A149" s="1"/>
      <c r="B149" t="s">
        <v>162</v>
      </c>
      <c r="C149" t="s">
        <v>24</v>
      </c>
      <c r="D149" s="3">
        <v>5.791666666666667</v>
      </c>
      <c r="E149" s="5">
        <f t="shared" si="10"/>
        <v>1788</v>
      </c>
      <c r="F149">
        <v>0.11168</v>
      </c>
      <c r="G149">
        <f t="shared" si="11"/>
        <v>-1.2239200000000001</v>
      </c>
      <c r="H149">
        <f t="shared" si="12"/>
        <v>-1.2239200000000001</v>
      </c>
      <c r="I149" s="5">
        <f t="shared" si="13"/>
        <v>1788</v>
      </c>
      <c r="J149">
        <f>+H149+CF*F149*(1+($I149-1850)*slope/1000)+F149*hQc*COS(2*PI()*$I149/qbo+$L149)+F149*hQs*SIN(2*PI()*$I149/qbo+$L149)+F149*hCs*SIN(2*PI()*$I149/cw)+F149*hCc*COS(2*PI()*$I149/cw) +mix*F149*(hQc*COS(2*PI()*$I149/qbo+$L149)+hQs*SIN(2*PI()*$I149/qbo+$L149))*(hCs*SIN(2*PI()*$I149/cw)+hCc*COS(2*PI()*$I149/cw))</f>
        <v>-0.76934254378296663</v>
      </c>
      <c r="K149">
        <f>fQc*COS(2*PI()*$I149/qbo+$L149)+fQs*SIN(2*PI()*$I149/qbo+$L149)+fCs*SIN(2*PI()*$I149/cw)+fCc*COS(2*PI()*$I149/cw)</f>
        <v>1.2544185192639767</v>
      </c>
      <c r="L149">
        <f>+QMA*COS(2*PI()*$I149/QM+QMP)</f>
        <v>-0.98359980655669277</v>
      </c>
      <c r="P149">
        <f t="shared" si="14"/>
        <v>0</v>
      </c>
    </row>
    <row r="150" spans="1:16" x14ac:dyDescent="0.25">
      <c r="A150" s="1"/>
      <c r="B150" t="s">
        <v>163</v>
      </c>
      <c r="C150" t="s">
        <v>24</v>
      </c>
      <c r="D150" s="3">
        <v>5.833333333333333</v>
      </c>
      <c r="E150" s="5">
        <f t="shared" si="10"/>
        <v>1789</v>
      </c>
      <c r="F150">
        <v>-0.92642999999999998</v>
      </c>
      <c r="G150">
        <f t="shared" si="11"/>
        <v>0.5069800000000001</v>
      </c>
      <c r="H150">
        <f t="shared" si="12"/>
        <v>0.5069800000000001</v>
      </c>
      <c r="I150" s="5">
        <f t="shared" si="13"/>
        <v>1789</v>
      </c>
      <c r="J150">
        <f>+H150+CF*F150*(1+($I150-1850)*slope/1000)+F150*hQc*COS(2*PI()*$I150/qbo+$L150)+F150*hQs*SIN(2*PI()*$I150/qbo+$L150)+F150*hCs*SIN(2*PI()*$I150/cw)+F150*hCc*COS(2*PI()*$I150/cw) +mix*F150*(hQc*COS(2*PI()*$I150/qbo+$L150)+hQs*SIN(2*PI()*$I150/qbo+$L150))*(hCs*SIN(2*PI()*$I150/cw)+hCc*COS(2*PI()*$I150/cw))</f>
        <v>-70.407957801573247</v>
      </c>
      <c r="K150">
        <f>fQc*COS(2*PI()*$I150/qbo+$L150)+fQs*SIN(2*PI()*$I150/qbo+$L150)+fCs*SIN(2*PI()*$I150/cw)+fCc*COS(2*PI()*$I150/cw)</f>
        <v>-1.816736545361433</v>
      </c>
      <c r="L150">
        <f>+QMA*COS(2*PI()*$I150/QM+QMP)</f>
        <v>-0.72624595767249223</v>
      </c>
      <c r="P150">
        <f t="shared" si="14"/>
        <v>1</v>
      </c>
    </row>
    <row r="151" spans="1:16" x14ac:dyDescent="0.25">
      <c r="A151" s="1"/>
      <c r="B151" t="s">
        <v>164</v>
      </c>
      <c r="C151" t="s">
        <v>24</v>
      </c>
      <c r="D151" s="3">
        <v>5.875</v>
      </c>
      <c r="E151" s="5">
        <f t="shared" si="10"/>
        <v>1790</v>
      </c>
      <c r="F151">
        <v>-1.45756</v>
      </c>
      <c r="G151">
        <f t="shared" si="11"/>
        <v>3.2947699999999998</v>
      </c>
      <c r="H151">
        <f t="shared" si="12"/>
        <v>3.2947699999999998</v>
      </c>
      <c r="I151" s="5">
        <f t="shared" si="13"/>
        <v>1790</v>
      </c>
      <c r="J151">
        <f>+H151+CF*F151*(1+($I151-1850)*slope/1000)+F151*hQc*COS(2*PI()*$I151/qbo+$L151)+F151*hQs*SIN(2*PI()*$I151/qbo+$L151)+F151*hCs*SIN(2*PI()*$I151/cw)+F151*hCc*COS(2*PI()*$I151/cw) +mix*F151*(hQc*COS(2*PI()*$I151/qbo+$L151)+hQs*SIN(2*PI()*$I151/qbo+$L151))*(hCs*SIN(2*PI()*$I151/cw)+hCc*COS(2*PI()*$I151/cw))</f>
        <v>197.51682615757878</v>
      </c>
      <c r="K151">
        <f>fQc*COS(2*PI()*$I151/qbo+$L151)+fQs*SIN(2*PI()*$I151/qbo+$L151)+fCs*SIN(2*PI()*$I151/cw)+fCc*COS(2*PI()*$I151/cw)</f>
        <v>0.88784788135719594</v>
      </c>
      <c r="L151">
        <f>+QMA*COS(2*PI()*$I151/QM+QMP)</f>
        <v>-0.45430429081848123</v>
      </c>
      <c r="P151">
        <f t="shared" si="14"/>
        <v>1</v>
      </c>
    </row>
    <row r="152" spans="1:16" x14ac:dyDescent="0.25">
      <c r="A152" s="1"/>
      <c r="B152" t="s">
        <v>165</v>
      </c>
      <c r="C152" t="s">
        <v>24</v>
      </c>
      <c r="D152" s="3">
        <v>5.916666666666667</v>
      </c>
      <c r="E152" s="5">
        <f t="shared" si="10"/>
        <v>1791</v>
      </c>
      <c r="F152">
        <v>1.3060799999999999</v>
      </c>
      <c r="G152">
        <f t="shared" si="11"/>
        <v>-1.8857299999999995</v>
      </c>
      <c r="H152">
        <f t="shared" si="12"/>
        <v>-1.8857299999999995</v>
      </c>
      <c r="I152" s="5">
        <f t="shared" si="13"/>
        <v>1791</v>
      </c>
      <c r="J152">
        <f>+H152+CF*F152*(1+($I152-1850)*slope/1000)+F152*hQc*COS(2*PI()*$I152/qbo+$L152)+F152*hQs*SIN(2*PI()*$I152/qbo+$L152)+F152*hCs*SIN(2*PI()*$I152/cw)+F152*hCc*COS(2*PI()*$I152/cw) +mix*F152*(hQc*COS(2*PI()*$I152/qbo+$L152)+hQs*SIN(2*PI()*$I152/qbo+$L152))*(hCs*SIN(2*PI()*$I152/cw)+hCc*COS(2*PI()*$I152/cw))</f>
        <v>-147.9850897998522</v>
      </c>
      <c r="K152">
        <f>fQc*COS(2*PI()*$I152/qbo+$L152)+fQs*SIN(2*PI()*$I152/qbo+$L152)+fCs*SIN(2*PI()*$I152/cw)+fCc*COS(2*PI()*$I152/cw)</f>
        <v>-2.5932785573315158</v>
      </c>
      <c r="L152">
        <f>+QMA*COS(2*PI()*$I152/QM+QMP)</f>
        <v>-0.173237191695543</v>
      </c>
      <c r="P152">
        <f t="shared" si="14"/>
        <v>1</v>
      </c>
    </row>
    <row r="153" spans="1:16" x14ac:dyDescent="0.25">
      <c r="A153" s="1"/>
      <c r="B153" t="s">
        <v>166</v>
      </c>
      <c r="C153" t="s">
        <v>24</v>
      </c>
      <c r="D153" s="3">
        <v>5.958333333333333</v>
      </c>
      <c r="E153" s="5">
        <f t="shared" si="10"/>
        <v>1792</v>
      </c>
      <c r="F153">
        <v>2.1839900000000001</v>
      </c>
      <c r="G153">
        <f t="shared" si="11"/>
        <v>-1.3871000000000002</v>
      </c>
      <c r="H153">
        <f t="shared" si="12"/>
        <v>-1.3871000000000002</v>
      </c>
      <c r="I153" s="5">
        <f t="shared" si="13"/>
        <v>1792</v>
      </c>
      <c r="J153">
        <f>+H153+CF*F153*(1+($I153-1850)*slope/1000)+F153*hQc*COS(2*PI()*$I153/qbo+$L153)+F153*hQs*SIN(2*PI()*$I153/qbo+$L153)+F153*hCs*SIN(2*PI()*$I153/cw)+F153*hCc*COS(2*PI()*$I153/cw) +mix*F153*(hQc*COS(2*PI()*$I153/qbo+$L153)+hQs*SIN(2*PI()*$I153/qbo+$L153))*(hCs*SIN(2*PI()*$I153/cw)+hCc*COS(2*PI()*$I153/cw))</f>
        <v>497.08655512221821</v>
      </c>
      <c r="K153">
        <f>fQc*COS(2*PI()*$I153/qbo+$L153)+fQs*SIN(2*PI()*$I153/qbo+$L153)+fCs*SIN(2*PI()*$I153/cw)+fCc*COS(2*PI()*$I153/cw)</f>
        <v>4.5128223141827659</v>
      </c>
      <c r="L153">
        <f>+QMA*COS(2*PI()*$I153/QM+QMP)</f>
        <v>0.11130965501351134</v>
      </c>
      <c r="P153">
        <f t="shared" si="14"/>
        <v>1</v>
      </c>
    </row>
    <row r="154" spans="1:16" x14ac:dyDescent="0.25">
      <c r="A154" s="1"/>
      <c r="B154" t="s">
        <v>167</v>
      </c>
      <c r="C154" t="s">
        <v>24</v>
      </c>
      <c r="D154" s="3">
        <v>6</v>
      </c>
      <c r="E154" s="5">
        <f t="shared" si="10"/>
        <v>1793</v>
      </c>
      <c r="F154">
        <v>1.6748000000000001</v>
      </c>
      <c r="G154">
        <f t="shared" si="11"/>
        <v>-0.90332000000000012</v>
      </c>
      <c r="H154">
        <f t="shared" si="12"/>
        <v>-0.90332000000000012</v>
      </c>
      <c r="I154" s="5">
        <f t="shared" si="13"/>
        <v>1793</v>
      </c>
      <c r="J154">
        <f>+H154+CF*F154*(1+($I154-1850)*slope/1000)+F154*hQc*COS(2*PI()*$I154/qbo+$L154)+F154*hQs*SIN(2*PI()*$I154/qbo+$L154)+F154*hCs*SIN(2*PI()*$I154/cw)+F154*hCc*COS(2*PI()*$I154/cw) +mix*F154*(hQc*COS(2*PI()*$I154/qbo+$L154)+hQs*SIN(2*PI()*$I154/qbo+$L154))*(hCs*SIN(2*PI()*$I154/cw)+hCc*COS(2*PI()*$I154/cw))</f>
        <v>171.01499575329998</v>
      </c>
      <c r="K154">
        <f>fQc*COS(2*PI()*$I154/qbo+$L154)+fQs*SIN(2*PI()*$I154/qbo+$L154)+fCs*SIN(2*PI()*$I154/cw)+fCc*COS(2*PI()*$I154/cw)</f>
        <v>-2.4650779815077017</v>
      </c>
      <c r="L154">
        <f>+QMA*COS(2*PI()*$I154/QM+QMP)</f>
        <v>0.39362066829932063</v>
      </c>
      <c r="P154">
        <f t="shared" si="14"/>
        <v>0</v>
      </c>
    </row>
    <row r="155" spans="1:16" x14ac:dyDescent="0.25">
      <c r="A155" s="1"/>
      <c r="B155" t="s">
        <v>168</v>
      </c>
      <c r="C155" t="s">
        <v>24</v>
      </c>
      <c r="D155" s="3">
        <v>6.041666666666667</v>
      </c>
      <c r="E155" s="5">
        <f t="shared" si="10"/>
        <v>1794</v>
      </c>
      <c r="F155">
        <v>0.26229000000000002</v>
      </c>
      <c r="G155">
        <f t="shared" si="11"/>
        <v>1.7649700000000001</v>
      </c>
      <c r="H155">
        <f t="shared" si="12"/>
        <v>1.7649700000000001</v>
      </c>
      <c r="I155" s="5">
        <f t="shared" si="13"/>
        <v>1794</v>
      </c>
      <c r="J155">
        <f>+H155+CF*F155*(1+($I155-1850)*slope/1000)+F155*hQc*COS(2*PI()*$I155/qbo+$L155)+F155*hQs*SIN(2*PI()*$I155/qbo+$L155)+F155*hCs*SIN(2*PI()*$I155/cw)+F155*hCc*COS(2*PI()*$I155/cw) +mix*F155*(hQc*COS(2*PI()*$I155/qbo+$L155)+hQs*SIN(2*PI()*$I155/qbo+$L155))*(hCs*SIN(2*PI()*$I155/cw)+hCc*COS(2*PI()*$I155/cw))</f>
        <v>-10.066416613826068</v>
      </c>
      <c r="K155">
        <f>fQc*COS(2*PI()*$I155/qbo+$L155)+fQs*SIN(2*PI()*$I155/qbo+$L155)+fCs*SIN(2*PI()*$I155/cw)+fCc*COS(2*PI()*$I155/cw)</f>
        <v>-0.78620753730795867</v>
      </c>
      <c r="L155">
        <f>+QMA*COS(2*PI()*$I155/QM+QMP)</f>
        <v>0.66802517746254986</v>
      </c>
      <c r="P155">
        <f t="shared" si="14"/>
        <v>1</v>
      </c>
    </row>
    <row r="156" spans="1:16" x14ac:dyDescent="0.25">
      <c r="A156" s="1"/>
      <c r="B156" t="s">
        <v>169</v>
      </c>
      <c r="C156" t="s">
        <v>24</v>
      </c>
      <c r="D156" s="3">
        <v>6.083333333333333</v>
      </c>
      <c r="E156" s="5">
        <f t="shared" si="10"/>
        <v>1795</v>
      </c>
      <c r="F156">
        <v>0.61475000000000002</v>
      </c>
      <c r="G156">
        <f t="shared" si="11"/>
        <v>-0.77715000000000001</v>
      </c>
      <c r="H156">
        <f t="shared" si="12"/>
        <v>-0.77715000000000001</v>
      </c>
      <c r="I156" s="5">
        <f t="shared" si="13"/>
        <v>1795</v>
      </c>
      <c r="J156">
        <f>+H156+CF*F156*(1+($I156-1850)*slope/1000)+F156*hQc*COS(2*PI()*$I156/qbo+$L156)+F156*hQs*SIN(2*PI()*$I156/qbo+$L156)+F156*hCs*SIN(2*PI()*$I156/cw)+F156*hCc*COS(2*PI()*$I156/cw) +mix*F156*(hQc*COS(2*PI()*$I156/qbo+$L156)+hQs*SIN(2*PI()*$I156/qbo+$L156))*(hCs*SIN(2*PI()*$I156/cw)+hCc*COS(2*PI()*$I156/cw))</f>
        <v>26.791448718056394</v>
      </c>
      <c r="K156">
        <f>fQc*COS(2*PI()*$I156/qbo+$L156)+fQs*SIN(2*PI()*$I156/qbo+$L156)+fCs*SIN(2*PI()*$I156/cw)+fCc*COS(2*PI()*$I156/cw)</f>
        <v>0.93473382762034318</v>
      </c>
      <c r="L156">
        <f>+QMA*COS(2*PI()*$I156/QM+QMP)</f>
        <v>0.92901132665409025</v>
      </c>
      <c r="P156">
        <f t="shared" si="14"/>
        <v>1</v>
      </c>
    </row>
    <row r="157" spans="1:16" x14ac:dyDescent="0.25">
      <c r="A157" s="1"/>
      <c r="B157" t="s">
        <v>170</v>
      </c>
      <c r="C157" t="s">
        <v>24</v>
      </c>
      <c r="D157" s="3">
        <v>6.125</v>
      </c>
      <c r="E157" s="5">
        <f t="shared" si="10"/>
        <v>1796</v>
      </c>
      <c r="F157">
        <v>0.19006000000000001</v>
      </c>
      <c r="G157">
        <f t="shared" si="11"/>
        <v>-0.57364000000000004</v>
      </c>
      <c r="H157">
        <f t="shared" si="12"/>
        <v>-0.57364000000000004</v>
      </c>
      <c r="I157" s="5">
        <f t="shared" si="13"/>
        <v>1796</v>
      </c>
      <c r="J157">
        <f>+H157+CF*F157*(1+($I157-1850)*slope/1000)+F157*hQc*COS(2*PI()*$I157/qbo+$L157)+F157*hQs*SIN(2*PI()*$I157/qbo+$L157)+F157*hCs*SIN(2*PI()*$I157/cw)+F157*hCc*COS(2*PI()*$I157/cw) +mix*F157*(hQc*COS(2*PI()*$I157/qbo+$L157)+hQs*SIN(2*PI()*$I157/qbo+$L157))*(hCs*SIN(2*PI()*$I157/cw)+hCc*COS(2*PI()*$I157/cw))</f>
        <v>-25.070655292515593</v>
      </c>
      <c r="K157">
        <f>fQc*COS(2*PI()*$I157/qbo+$L157)+fQs*SIN(2*PI()*$I157/qbo+$L157)+fCs*SIN(2*PI()*$I157/cw)+fCc*COS(2*PI()*$I157/cw)</f>
        <v>-0.49137504813059696</v>
      </c>
      <c r="L157">
        <f>+QMA*COS(2*PI()*$I157/QM+QMP)</f>
        <v>1.1713367893634352</v>
      </c>
      <c r="P157">
        <f t="shared" si="14"/>
        <v>1</v>
      </c>
    </row>
    <row r="158" spans="1:16" x14ac:dyDescent="0.25">
      <c r="A158" s="1"/>
      <c r="B158" t="s">
        <v>171</v>
      </c>
      <c r="C158" t="s">
        <v>24</v>
      </c>
      <c r="D158" s="3">
        <v>6.166666666666667</v>
      </c>
      <c r="E158" s="5">
        <f t="shared" si="10"/>
        <v>1797</v>
      </c>
      <c r="F158">
        <v>-0.80827000000000004</v>
      </c>
      <c r="G158">
        <f t="shared" si="11"/>
        <v>0.9987100000000001</v>
      </c>
      <c r="H158">
        <f t="shared" si="12"/>
        <v>0.9987100000000001</v>
      </c>
      <c r="I158" s="5">
        <f t="shared" si="13"/>
        <v>1797</v>
      </c>
      <c r="J158">
        <f>+H158+CF*F158*(1+($I158-1850)*slope/1000)+F158*hQc*COS(2*PI()*$I158/qbo+$L158)+F158*hQs*SIN(2*PI()*$I158/qbo+$L158)+F158*hCs*SIN(2*PI()*$I158/cw)+F158*hCc*COS(2*PI()*$I158/cw) +mix*F158*(hQc*COS(2*PI()*$I158/qbo+$L158)+hQs*SIN(2*PI()*$I158/qbo+$L158))*(hCs*SIN(2*PI()*$I158/cw)+hCc*COS(2*PI()*$I158/cw))</f>
        <v>52.414121377693867</v>
      </c>
      <c r="K158">
        <f>fQc*COS(2*PI()*$I158/qbo+$L158)+fQs*SIN(2*PI()*$I158/qbo+$L158)+fCs*SIN(2*PI()*$I158/cw)+fCc*COS(2*PI()*$I158/cw)</f>
        <v>2.8672041632181879</v>
      </c>
      <c r="L158">
        <f>+QMA*COS(2*PI()*$I158/QM+QMP)</f>
        <v>1.3901340689770223</v>
      </c>
      <c r="P158">
        <f t="shared" si="14"/>
        <v>1</v>
      </c>
    </row>
    <row r="159" spans="1:16" x14ac:dyDescent="0.25">
      <c r="A159" s="1"/>
      <c r="B159" t="s">
        <v>172</v>
      </c>
      <c r="C159" t="s">
        <v>24</v>
      </c>
      <c r="D159" s="3">
        <v>6.208333333333333</v>
      </c>
      <c r="E159" s="5">
        <f t="shared" si="10"/>
        <v>1798</v>
      </c>
      <c r="F159">
        <v>-0.80789</v>
      </c>
      <c r="G159">
        <f t="shared" si="11"/>
        <v>1.6793199999999999</v>
      </c>
      <c r="H159">
        <f t="shared" si="12"/>
        <v>1.6793199999999999</v>
      </c>
      <c r="I159" s="5">
        <f t="shared" si="13"/>
        <v>1798</v>
      </c>
      <c r="J159">
        <f>+H159+CF*F159*(1+($I159-1850)*slope/1000)+F159*hQc*COS(2*PI()*$I159/qbo+$L159)+F159*hQs*SIN(2*PI()*$I159/qbo+$L159)+F159*hCs*SIN(2*PI()*$I159/cw)+F159*hCc*COS(2*PI()*$I159/cw) +mix*F159*(hQc*COS(2*PI()*$I159/qbo+$L159)+hQs*SIN(2*PI()*$I159/qbo+$L159))*(hCs*SIN(2*PI()*$I159/cw)+hCc*COS(2*PI()*$I159/cw))</f>
        <v>-187.37218919755915</v>
      </c>
      <c r="K159">
        <f>fQc*COS(2*PI()*$I159/qbo+$L159)+fQs*SIN(2*PI()*$I159/qbo+$L159)+fCs*SIN(2*PI()*$I159/cw)+fCc*COS(2*PI()*$I159/cw)</f>
        <v>-4.5619875685149101</v>
      </c>
      <c r="L159">
        <f>+QMA*COS(2*PI()*$I159/QM+QMP)</f>
        <v>1.5810082702759747</v>
      </c>
      <c r="P159">
        <f t="shared" si="14"/>
        <v>1</v>
      </c>
    </row>
    <row r="160" spans="1:16" x14ac:dyDescent="0.25">
      <c r="A160" s="1"/>
      <c r="B160" t="s">
        <v>173</v>
      </c>
      <c r="C160" t="s">
        <v>24</v>
      </c>
      <c r="D160" s="3">
        <v>6.25</v>
      </c>
      <c r="E160" s="5">
        <f t="shared" si="10"/>
        <v>1799</v>
      </c>
      <c r="F160">
        <v>0.87180999999999997</v>
      </c>
      <c r="G160">
        <f t="shared" si="11"/>
        <v>-1.5446</v>
      </c>
      <c r="H160">
        <f t="shared" si="12"/>
        <v>-1.5446</v>
      </c>
      <c r="I160" s="5">
        <f t="shared" si="13"/>
        <v>1799</v>
      </c>
      <c r="J160">
        <f>+H160+CF*F160*(1+($I160-1850)*slope/1000)+F160*hQc*COS(2*PI()*$I160/qbo+$L160)+F160*hQs*SIN(2*PI()*$I160/qbo+$L160)+F160*hCs*SIN(2*PI()*$I160/cw)+F160*hCc*COS(2*PI()*$I160/cw) +mix*F160*(hQc*COS(2*PI()*$I160/qbo+$L160)+hQs*SIN(2*PI()*$I160/qbo+$L160))*(hCs*SIN(2*PI()*$I160/cw)+hCc*COS(2*PI()*$I160/cw))</f>
        <v>58.264211158218856</v>
      </c>
      <c r="K160">
        <f>fQc*COS(2*PI()*$I160/qbo+$L160)+fQs*SIN(2*PI()*$I160/qbo+$L160)+fCs*SIN(2*PI()*$I160/cw)+fCc*COS(2*PI()*$I160/cw)</f>
        <v>1.844731731989258</v>
      </c>
      <c r="L160">
        <f>+QMA*COS(2*PI()*$I160/QM+QMP)</f>
        <v>1.7401253779733101</v>
      </c>
      <c r="P160">
        <f t="shared" si="14"/>
        <v>1</v>
      </c>
    </row>
    <row r="161" spans="1:16" x14ac:dyDescent="0.25">
      <c r="A161" s="1"/>
      <c r="B161" t="s">
        <v>174</v>
      </c>
      <c r="C161" t="s">
        <v>24</v>
      </c>
      <c r="D161" s="3">
        <v>6.291666666666667</v>
      </c>
      <c r="E161" s="5">
        <f t="shared" si="10"/>
        <v>1800</v>
      </c>
      <c r="F161">
        <v>1.00691</v>
      </c>
      <c r="G161">
        <f t="shared" si="11"/>
        <v>-2.2700099999999996</v>
      </c>
      <c r="H161">
        <f t="shared" si="12"/>
        <v>-2.2700099999999996</v>
      </c>
      <c r="I161" s="5">
        <f t="shared" si="13"/>
        <v>1800</v>
      </c>
      <c r="J161">
        <f>+H161+CF*F161*(1+($I161-1850)*slope/1000)+F161*hQc*COS(2*PI()*$I161/qbo+$L161)+F161*hQs*SIN(2*PI()*$I161/qbo+$L161)+F161*hCs*SIN(2*PI()*$I161/cw)+F161*hCc*COS(2*PI()*$I161/cw) +mix*F161*(hQc*COS(2*PI()*$I161/qbo+$L161)+hQs*SIN(2*PI()*$I161/qbo+$L161))*(hCs*SIN(2*PI()*$I161/cw)+hCc*COS(2*PI()*$I161/cw))</f>
        <v>13.714950430411886</v>
      </c>
      <c r="K161">
        <f>fQc*COS(2*PI()*$I161/qbo+$L161)+fQs*SIN(2*PI()*$I161/qbo+$L161)+fCs*SIN(2*PI()*$I161/cw)+fCc*COS(2*PI()*$I161/cw)</f>
        <v>1.6286350889934753</v>
      </c>
      <c r="L161">
        <f>+QMA*COS(2*PI()*$I161/QM+QMP)</f>
        <v>1.8642892690773989</v>
      </c>
      <c r="P161">
        <f t="shared" si="14"/>
        <v>1</v>
      </c>
    </row>
    <row r="162" spans="1:16" x14ac:dyDescent="0.25">
      <c r="A162" s="1"/>
      <c r="B162" t="s">
        <v>175</v>
      </c>
      <c r="C162" t="s">
        <v>24</v>
      </c>
      <c r="D162" s="3">
        <v>6.333333333333333</v>
      </c>
      <c r="E162" s="5">
        <f t="shared" si="10"/>
        <v>1801</v>
      </c>
      <c r="F162">
        <v>-1.1279999999999999</v>
      </c>
      <c r="G162">
        <f t="shared" si="11"/>
        <v>2.4182199999999994</v>
      </c>
      <c r="H162">
        <f t="shared" si="12"/>
        <v>2.4182199999999994</v>
      </c>
      <c r="I162" s="5">
        <f t="shared" si="13"/>
        <v>1801</v>
      </c>
      <c r="J162">
        <f>+H162+CF*F162*(1+($I162-1850)*slope/1000)+F162*hQc*COS(2*PI()*$I162/qbo+$L162)+F162*hQs*SIN(2*PI()*$I162/qbo+$L162)+F162*hCs*SIN(2*PI()*$I162/cw)+F162*hCc*COS(2*PI()*$I162/cw) +mix*F162*(hQc*COS(2*PI()*$I162/qbo+$L162)+hQs*SIN(2*PI()*$I162/qbo+$L162))*(hCs*SIN(2*PI()*$I162/cw)+hCc*COS(2*PI()*$I162/cw))</f>
        <v>-54.435431181200272</v>
      </c>
      <c r="K162">
        <f>fQc*COS(2*PI()*$I162/qbo+$L162)+fQs*SIN(2*PI()*$I162/qbo+$L162)+fCs*SIN(2*PI()*$I162/cw)+fCc*COS(2*PI()*$I162/cw)</f>
        <v>-1.8097505144598092</v>
      </c>
      <c r="L162">
        <f>+QMA*COS(2*PI()*$I162/QM+QMP)</f>
        <v>1.9510059121616423</v>
      </c>
      <c r="P162">
        <f t="shared" si="14"/>
        <v>1</v>
      </c>
    </row>
    <row r="163" spans="1:16" x14ac:dyDescent="0.25">
      <c r="A163" s="1"/>
      <c r="B163" t="s">
        <v>176</v>
      </c>
      <c r="C163" t="s">
        <v>24</v>
      </c>
      <c r="D163" s="3">
        <v>6.375</v>
      </c>
      <c r="E163" s="5">
        <f t="shared" si="10"/>
        <v>1802</v>
      </c>
      <c r="F163">
        <v>-0.84469000000000005</v>
      </c>
      <c r="G163">
        <f t="shared" si="11"/>
        <v>0.33026000000000022</v>
      </c>
      <c r="H163">
        <f t="shared" si="12"/>
        <v>0.33026000000000022</v>
      </c>
      <c r="I163" s="5">
        <f t="shared" si="13"/>
        <v>1802</v>
      </c>
      <c r="J163">
        <f>+H163+CF*F163*(1+($I163-1850)*slope/1000)+F163*hQc*COS(2*PI()*$I163/qbo+$L163)+F163*hQs*SIN(2*PI()*$I163/qbo+$L163)+F163*hCs*SIN(2*PI()*$I163/cw)+F163*hCc*COS(2*PI()*$I163/cw) +mix*F163*(hQc*COS(2*PI()*$I163/qbo+$L163)+hQs*SIN(2*PI()*$I163/qbo+$L163))*(hCs*SIN(2*PI()*$I163/cw)+hCc*COS(2*PI()*$I163/cw))</f>
        <v>183.40709749616255</v>
      </c>
      <c r="K163">
        <f>fQc*COS(2*PI()*$I163/qbo+$L163)+fQs*SIN(2*PI()*$I163/qbo+$L163)+fCs*SIN(2*PI()*$I163/cw)+fCc*COS(2*PI()*$I163/cw)</f>
        <v>1.4046948424294288</v>
      </c>
      <c r="L163">
        <f>+QMA*COS(2*PI()*$I163/QM+QMP)</f>
        <v>1.9985334639966144</v>
      </c>
      <c r="P163">
        <f t="shared" si="14"/>
        <v>1</v>
      </c>
    </row>
    <row r="164" spans="1:16" x14ac:dyDescent="0.25">
      <c r="A164" s="1"/>
      <c r="B164" t="s">
        <v>177</v>
      </c>
      <c r="C164" t="s">
        <v>24</v>
      </c>
      <c r="D164" s="3">
        <v>6.416666666666667</v>
      </c>
      <c r="E164" s="5">
        <f t="shared" si="10"/>
        <v>1803</v>
      </c>
      <c r="F164">
        <v>-0.23111999999999999</v>
      </c>
      <c r="G164">
        <f t="shared" si="11"/>
        <v>0.74812999999999985</v>
      </c>
      <c r="H164">
        <f t="shared" si="12"/>
        <v>0.74812999999999985</v>
      </c>
      <c r="I164" s="5">
        <f t="shared" si="13"/>
        <v>1803</v>
      </c>
      <c r="J164">
        <f>+H164+CF*F164*(1+($I164-1850)*slope/1000)+F164*hQc*COS(2*PI()*$I164/qbo+$L164)+F164*hQs*SIN(2*PI()*$I164/qbo+$L164)+F164*hCs*SIN(2*PI()*$I164/cw)+F164*hCc*COS(2*PI()*$I164/cw) +mix*F164*(hQc*COS(2*PI()*$I164/qbo+$L164)+hQs*SIN(2*PI()*$I164/qbo+$L164))*(hCs*SIN(2*PI()*$I164/cw)+hCc*COS(2*PI()*$I164/cw))</f>
        <v>4.9622804346557823</v>
      </c>
      <c r="K164">
        <f>fQc*COS(2*PI()*$I164/qbo+$L164)+fQs*SIN(2*PI()*$I164/qbo+$L164)+fCs*SIN(2*PI()*$I164/cw)+fCc*COS(2*PI()*$I164/cw)</f>
        <v>-2.7947544036755154</v>
      </c>
      <c r="L164">
        <f>+QMA*COS(2*PI()*$I164/QM+QMP)</f>
        <v>2.0059172572724555</v>
      </c>
      <c r="P164">
        <f t="shared" si="14"/>
        <v>0</v>
      </c>
    </row>
    <row r="165" spans="1:16" x14ac:dyDescent="0.25">
      <c r="A165" s="1"/>
      <c r="B165" t="s">
        <v>178</v>
      </c>
      <c r="C165" t="s">
        <v>24</v>
      </c>
      <c r="D165" s="3">
        <v>6.458333333333333</v>
      </c>
      <c r="E165" s="5">
        <f t="shared" si="10"/>
        <v>1804</v>
      </c>
      <c r="F165">
        <v>1.1305799999999999</v>
      </c>
      <c r="G165">
        <f t="shared" si="11"/>
        <v>-3.59389</v>
      </c>
      <c r="H165">
        <f t="shared" si="12"/>
        <v>-3.59389</v>
      </c>
      <c r="I165" s="5">
        <f t="shared" si="13"/>
        <v>1804</v>
      </c>
      <c r="J165">
        <f>+H165+CF*F165*(1+($I165-1850)*slope/1000)+F165*hQc*COS(2*PI()*$I165/qbo+$L165)+F165*hQs*SIN(2*PI()*$I165/qbo+$L165)+F165*hCs*SIN(2*PI()*$I165/cw)+F165*hCc*COS(2*PI()*$I165/cw) +mix*F165*(hQc*COS(2*PI()*$I165/qbo+$L165)+hQs*SIN(2*PI()*$I165/qbo+$L165))*(hCs*SIN(2*PI()*$I165/cw)+hCc*COS(2*PI()*$I165/cw))</f>
        <v>78.158927867667799</v>
      </c>
      <c r="K165">
        <f>fQc*COS(2*PI()*$I165/qbo+$L165)+fQs*SIN(2*PI()*$I165/qbo+$L165)+fCs*SIN(2*PI()*$I165/cw)+fCc*COS(2*PI()*$I165/cw)</f>
        <v>2.1647194841401971</v>
      </c>
      <c r="L165">
        <f>+QMA*COS(2*PI()*$I165/QM+QMP)</f>
        <v>1.973008976626982</v>
      </c>
      <c r="P165">
        <f t="shared" si="14"/>
        <v>1</v>
      </c>
    </row>
    <row r="166" spans="1:16" x14ac:dyDescent="0.25">
      <c r="A166" s="1"/>
      <c r="B166" t="s">
        <v>179</v>
      </c>
      <c r="C166" t="s">
        <v>24</v>
      </c>
      <c r="D166" s="3">
        <v>6.5</v>
      </c>
      <c r="E166" s="5">
        <f t="shared" si="10"/>
        <v>1805</v>
      </c>
      <c r="F166">
        <v>-1.10161</v>
      </c>
      <c r="G166">
        <f t="shared" si="11"/>
        <v>2.3978600000000001</v>
      </c>
      <c r="H166">
        <f t="shared" si="12"/>
        <v>2.3978600000000001</v>
      </c>
      <c r="I166" s="5">
        <f t="shared" si="13"/>
        <v>1805</v>
      </c>
      <c r="J166">
        <f>+H166+CF*F166*(1+($I166-1850)*slope/1000)+F166*hQc*COS(2*PI()*$I166/qbo+$L166)+F166*hQs*SIN(2*PI()*$I166/qbo+$L166)+F166*hCs*SIN(2*PI()*$I166/cw)+F166*hCc*COS(2*PI()*$I166/cw) +mix*F166*(hQc*COS(2*PI()*$I166/qbo+$L166)+hQs*SIN(2*PI()*$I166/qbo+$L166))*(hCs*SIN(2*PI()*$I166/cw)+hCc*COS(2*PI()*$I166/cw))</f>
        <v>-3.7404543092154707</v>
      </c>
      <c r="K166">
        <f>fQc*COS(2*PI()*$I166/qbo+$L166)+fQs*SIN(2*PI()*$I166/qbo+$L166)+fCs*SIN(2*PI()*$I166/cw)+fCc*COS(2*PI()*$I166/cw)</f>
        <v>2.2341946782397013</v>
      </c>
      <c r="L166">
        <f>+QMA*COS(2*PI()*$I166/QM+QMP)</f>
        <v>1.9004696377983219</v>
      </c>
      <c r="P166">
        <f t="shared" si="14"/>
        <v>0</v>
      </c>
    </row>
    <row r="167" spans="1:16" x14ac:dyDescent="0.25">
      <c r="A167" s="1"/>
      <c r="B167" t="s">
        <v>180</v>
      </c>
      <c r="C167" t="s">
        <v>24</v>
      </c>
      <c r="D167" s="3">
        <v>6.541666666666667</v>
      </c>
      <c r="E167" s="5">
        <f t="shared" si="10"/>
        <v>1806</v>
      </c>
      <c r="F167">
        <v>-0.93593999999999999</v>
      </c>
      <c r="G167">
        <f t="shared" si="11"/>
        <v>1.1355599999999999</v>
      </c>
      <c r="H167">
        <f t="shared" si="12"/>
        <v>1.1355599999999999</v>
      </c>
      <c r="I167" s="5">
        <f t="shared" si="13"/>
        <v>1806</v>
      </c>
      <c r="J167">
        <f>+H167+CF*F167*(1+($I167-1850)*slope/1000)+F167*hQc*COS(2*PI()*$I167/qbo+$L167)+F167*hQs*SIN(2*PI()*$I167/qbo+$L167)+F167*hCs*SIN(2*PI()*$I167/cw)+F167*hCc*COS(2*PI()*$I167/cw) +mix*F167*(hQc*COS(2*PI()*$I167/qbo+$L167)+hQs*SIN(2*PI()*$I167/qbo+$L167))*(hCs*SIN(2*PI()*$I167/cw)+hCc*COS(2*PI()*$I167/cw))</f>
        <v>-236.42524430225234</v>
      </c>
      <c r="K167">
        <f>fQc*COS(2*PI()*$I167/qbo+$L167)+fQs*SIN(2*PI()*$I167/qbo+$L167)+fCs*SIN(2*PI()*$I167/cw)+fCc*COS(2*PI()*$I167/cw)</f>
        <v>-4.6626112078076209</v>
      </c>
      <c r="L167">
        <f>+QMA*COS(2*PI()*$I167/QM+QMP)</f>
        <v>1.7897563100606835</v>
      </c>
      <c r="P167">
        <f t="shared" si="14"/>
        <v>1</v>
      </c>
    </row>
    <row r="168" spans="1:16" x14ac:dyDescent="0.25">
      <c r="A168" s="1"/>
      <c r="B168" t="s">
        <v>181</v>
      </c>
      <c r="C168" t="s">
        <v>24</v>
      </c>
      <c r="D168" s="3">
        <v>6.583333333333333</v>
      </c>
      <c r="E168" s="5">
        <f t="shared" si="10"/>
        <v>1807</v>
      </c>
      <c r="F168">
        <v>0.36529</v>
      </c>
      <c r="G168">
        <f t="shared" si="11"/>
        <v>-2.5386899999999999</v>
      </c>
      <c r="H168">
        <f t="shared" si="12"/>
        <v>-2.5386899999999999</v>
      </c>
      <c r="I168" s="5">
        <f t="shared" si="13"/>
        <v>1807</v>
      </c>
      <c r="J168">
        <f>+H168+CF*F168*(1+($I168-1850)*slope/1000)+F168*hQc*COS(2*PI()*$I168/qbo+$L168)+F168*hQs*SIN(2*PI()*$I168/qbo+$L168)+F168*hCs*SIN(2*PI()*$I168/cw)+F168*hCc*COS(2*PI()*$I168/cw) +mix*F168*(hQc*COS(2*PI()*$I168/qbo+$L168)+hQs*SIN(2*PI()*$I168/qbo+$L168))*(hCs*SIN(2*PI()*$I168/cw)+hCc*COS(2*PI()*$I168/cw))</f>
        <v>6.0670091075219723</v>
      </c>
      <c r="K168">
        <f>fQc*COS(2*PI()*$I168/qbo+$L168)+fQs*SIN(2*PI()*$I168/qbo+$L168)+fCs*SIN(2*PI()*$I168/cw)+fCc*COS(2*PI()*$I168/cw)</f>
        <v>1.4967866961218479</v>
      </c>
      <c r="L168">
        <f>+QMA*COS(2*PI()*$I168/QM+QMP)</f>
        <v>1.6430928486450254</v>
      </c>
      <c r="P168">
        <f t="shared" si="14"/>
        <v>1</v>
      </c>
    </row>
    <row r="169" spans="1:16" x14ac:dyDescent="0.25">
      <c r="A169" s="1"/>
      <c r="B169" t="s">
        <v>182</v>
      </c>
      <c r="C169" t="s">
        <v>24</v>
      </c>
      <c r="D169" s="3">
        <v>6.625</v>
      </c>
      <c r="E169" s="5">
        <f t="shared" si="10"/>
        <v>1808</v>
      </c>
      <c r="F169">
        <v>-0.87217</v>
      </c>
      <c r="G169">
        <f t="shared" si="11"/>
        <v>1.8944000000000001</v>
      </c>
      <c r="H169">
        <f t="shared" si="12"/>
        <v>1.8944000000000001</v>
      </c>
      <c r="I169" s="5">
        <f t="shared" si="13"/>
        <v>1808</v>
      </c>
      <c r="J169">
        <f>+H169+CF*F169*(1+($I169-1850)*slope/1000)+F169*hQc*COS(2*PI()*$I169/qbo+$L169)+F169*hQs*SIN(2*PI()*$I169/qbo+$L169)+F169*hCs*SIN(2*PI()*$I169/cw)+F169*hCc*COS(2*PI()*$I169/cw) +mix*F169*(hQc*COS(2*PI()*$I169/qbo+$L169)+hQs*SIN(2*PI()*$I169/qbo+$L169))*(hCs*SIN(2*PI()*$I169/cw)+hCc*COS(2*PI()*$I169/cw))</f>
        <v>-65.799529476550504</v>
      </c>
      <c r="K169">
        <f>fQc*COS(2*PI()*$I169/qbo+$L169)+fQs*SIN(2*PI()*$I169/qbo+$L169)+fCs*SIN(2*PI()*$I169/cw)+fCc*COS(2*PI()*$I169/cw)</f>
        <v>2.3428898437060539</v>
      </c>
      <c r="L169">
        <f>+QMA*COS(2*PI()*$I169/QM+QMP)</f>
        <v>1.463425225030188</v>
      </c>
      <c r="P169">
        <f t="shared" si="14"/>
        <v>0</v>
      </c>
    </row>
    <row r="170" spans="1:16" x14ac:dyDescent="0.25">
      <c r="A170" s="1"/>
      <c r="B170" t="s">
        <v>183</v>
      </c>
      <c r="C170" t="s">
        <v>24</v>
      </c>
      <c r="D170" s="3">
        <v>6.666666666666667</v>
      </c>
      <c r="E170" s="5">
        <f t="shared" si="10"/>
        <v>1809</v>
      </c>
      <c r="F170">
        <v>-0.21523</v>
      </c>
      <c r="G170">
        <f t="shared" si="11"/>
        <v>-0.44238</v>
      </c>
      <c r="H170">
        <f t="shared" si="12"/>
        <v>-0.44238</v>
      </c>
      <c r="I170" s="5">
        <f t="shared" si="13"/>
        <v>1809</v>
      </c>
      <c r="J170">
        <f>+H170+CF*F170*(1+($I170-1850)*slope/1000)+F170*hQc*COS(2*PI()*$I170/qbo+$L170)+F170*hQs*SIN(2*PI()*$I170/qbo+$L170)+F170*hCs*SIN(2*PI()*$I170/cw)+F170*hCc*COS(2*PI()*$I170/cw) +mix*F170*(hQc*COS(2*PI()*$I170/qbo+$L170)+hQs*SIN(2*PI()*$I170/qbo+$L170))*(hCs*SIN(2*PI()*$I170/cw)+hCc*COS(2*PI()*$I170/cw))</f>
        <v>-1.1046863180136968</v>
      </c>
      <c r="K170">
        <f>fQc*COS(2*PI()*$I170/qbo+$L170)+fQs*SIN(2*PI()*$I170/qbo+$L170)+fCs*SIN(2*PI()*$I170/cw)+fCc*COS(2*PI()*$I170/cw)</f>
        <v>-2.3392018746233076</v>
      </c>
      <c r="L170">
        <f>+QMA*COS(2*PI()*$I170/QM+QMP)</f>
        <v>1.2543623523682608</v>
      </c>
      <c r="P170">
        <f t="shared" si="14"/>
        <v>1</v>
      </c>
    </row>
    <row r="171" spans="1:16" x14ac:dyDescent="0.25">
      <c r="A171" s="1"/>
      <c r="B171" t="s">
        <v>184</v>
      </c>
      <c r="C171" t="s">
        <v>24</v>
      </c>
      <c r="D171" s="3">
        <v>6.708333333333333</v>
      </c>
      <c r="E171" s="5">
        <f t="shared" si="10"/>
        <v>1810</v>
      </c>
      <c r="F171">
        <v>-6.7000000000000002E-4</v>
      </c>
      <c r="G171">
        <f t="shared" si="11"/>
        <v>-0.71382000000000001</v>
      </c>
      <c r="H171">
        <f t="shared" si="12"/>
        <v>-0.71382000000000001</v>
      </c>
      <c r="I171" s="5">
        <f t="shared" si="13"/>
        <v>1810</v>
      </c>
      <c r="J171">
        <f>+H171+CF*F171*(1+($I171-1850)*slope/1000)+F171*hQc*COS(2*PI()*$I171/qbo+$L171)+F171*hQs*SIN(2*PI()*$I171/qbo+$L171)+F171*hCs*SIN(2*PI()*$I171/cw)+F171*hCc*COS(2*PI()*$I171/cw) +mix*F171*(hQc*COS(2*PI()*$I171/qbo+$L171)+hQs*SIN(2*PI()*$I171/qbo+$L171))*(hCs*SIN(2*PI()*$I171/cw)+hCc*COS(2*PI()*$I171/cw))</f>
        <v>-0.59298483707625771</v>
      </c>
      <c r="K171">
        <f>fQc*COS(2*PI()*$I171/qbo+$L171)+fQs*SIN(2*PI()*$I171/qbo+$L171)+fCs*SIN(2*PI()*$I171/cw)+fCc*COS(2*PI()*$I171/cw)</f>
        <v>0.90180453921202264</v>
      </c>
      <c r="L171">
        <f>+QMA*COS(2*PI()*$I171/QM+QMP)</f>
        <v>1.020103594660569</v>
      </c>
      <c r="P171">
        <f t="shared" si="14"/>
        <v>0</v>
      </c>
    </row>
    <row r="172" spans="1:16" x14ac:dyDescent="0.25">
      <c r="A172" s="1"/>
      <c r="B172" t="s">
        <v>185</v>
      </c>
      <c r="C172" t="s">
        <v>24</v>
      </c>
      <c r="D172" s="3">
        <v>6.75</v>
      </c>
      <c r="E172" s="5">
        <f t="shared" si="10"/>
        <v>1811</v>
      </c>
      <c r="F172">
        <v>-0.49992999999999999</v>
      </c>
      <c r="G172">
        <f t="shared" si="11"/>
        <v>0.46398</v>
      </c>
      <c r="H172">
        <f t="shared" si="12"/>
        <v>0.46398</v>
      </c>
      <c r="I172" s="5">
        <f t="shared" si="13"/>
        <v>1811</v>
      </c>
      <c r="J172">
        <f>+H172+CF*F172*(1+($I172-1850)*slope/1000)+F172*hQc*COS(2*PI()*$I172/qbo+$L172)+F172*hQs*SIN(2*PI()*$I172/qbo+$L172)+F172*hCs*SIN(2*PI()*$I172/cw)+F172*hCc*COS(2*PI()*$I172/cw) +mix*F172*(hQc*COS(2*PI()*$I172/qbo+$L172)+hQs*SIN(2*PI()*$I172/qbo+$L172))*(hCs*SIN(2*PI()*$I172/cw)+hCc*COS(2*PI()*$I172/cw))</f>
        <v>-6.0580637802367168</v>
      </c>
      <c r="K172">
        <f>fQc*COS(2*PI()*$I172/qbo+$L172)+fQs*SIN(2*PI()*$I172/qbo+$L172)+fCs*SIN(2*PI()*$I172/cw)+fCc*COS(2*PI()*$I172/cw)</f>
        <v>-0.30661324033956056</v>
      </c>
      <c r="L172">
        <f>+QMA*COS(2*PI()*$I172/QM+QMP)</f>
        <v>0.76535441577790775</v>
      </c>
      <c r="P172">
        <f t="shared" si="14"/>
        <v>1</v>
      </c>
    </row>
    <row r="173" spans="1:16" x14ac:dyDescent="0.25">
      <c r="A173" s="1"/>
      <c r="B173" t="s">
        <v>186</v>
      </c>
      <c r="C173" t="s">
        <v>24</v>
      </c>
      <c r="D173" s="3">
        <v>6.791666666666667</v>
      </c>
      <c r="E173" s="5">
        <f t="shared" si="10"/>
        <v>1812</v>
      </c>
      <c r="F173">
        <v>-0.53520999999999996</v>
      </c>
      <c r="G173">
        <f t="shared" si="11"/>
        <v>-0.15298</v>
      </c>
      <c r="H173">
        <f t="shared" si="12"/>
        <v>-0.15298</v>
      </c>
      <c r="I173" s="5">
        <f t="shared" si="13"/>
        <v>1812</v>
      </c>
      <c r="J173">
        <f>+H173+CF*F173*(1+($I173-1850)*slope/1000)+F173*hQc*COS(2*PI()*$I173/qbo+$L173)+F173*hQs*SIN(2*PI()*$I173/qbo+$L173)+F173*hCs*SIN(2*PI()*$I173/cw)+F173*hCc*COS(2*PI()*$I173/cw) +mix*F173*(hQc*COS(2*PI()*$I173/qbo+$L173)+hQs*SIN(2*PI()*$I173/qbo+$L173))*(hCs*SIN(2*PI()*$I173/cw)+hCc*COS(2*PI()*$I173/cw))</f>
        <v>108.57607049685446</v>
      </c>
      <c r="K173">
        <f>fQc*COS(2*PI()*$I173/qbo+$L173)+fQs*SIN(2*PI()*$I173/qbo+$L173)+fCs*SIN(2*PI()*$I173/cw)+fCc*COS(2*PI()*$I173/cw)</f>
        <v>-1.3498656524040302</v>
      </c>
      <c r="L173">
        <f>+QMA*COS(2*PI()*$I173/QM+QMP)</f>
        <v>0.49523186265235997</v>
      </c>
      <c r="P173">
        <f t="shared" si="14"/>
        <v>0</v>
      </c>
    </row>
    <row r="174" spans="1:16" x14ac:dyDescent="0.25">
      <c r="A174" s="1"/>
      <c r="B174" t="s">
        <v>187</v>
      </c>
      <c r="C174" t="s">
        <v>24</v>
      </c>
      <c r="D174" s="3">
        <v>6.833333333333333</v>
      </c>
      <c r="E174" s="5">
        <f t="shared" si="10"/>
        <v>1813</v>
      </c>
      <c r="F174">
        <v>-0.72346999999999995</v>
      </c>
      <c r="G174">
        <f t="shared" si="11"/>
        <v>1.4404699999999999</v>
      </c>
      <c r="H174">
        <f t="shared" si="12"/>
        <v>1.4404699999999999</v>
      </c>
      <c r="I174" s="5">
        <f t="shared" si="13"/>
        <v>1813</v>
      </c>
      <c r="J174">
        <f>+H174+CF*F174*(1+($I174-1850)*slope/1000)+F174*hQc*COS(2*PI()*$I174/qbo+$L174)+F174*hQs*SIN(2*PI()*$I174/qbo+$L174)+F174*hCs*SIN(2*PI()*$I174/cw)+F174*hCc*COS(2*PI()*$I174/cw) +mix*F174*(hQc*COS(2*PI()*$I174/qbo+$L174)+hQs*SIN(2*PI()*$I174/qbo+$L174))*(hCs*SIN(2*PI()*$I174/cw)+hCc*COS(2*PI()*$I174/cw))</f>
        <v>-38.606215790488626</v>
      </c>
      <c r="K174">
        <f>fQc*COS(2*PI()*$I174/qbo+$L174)+fQs*SIN(2*PI()*$I174/qbo+$L174)+fCs*SIN(2*PI()*$I174/cw)+fCc*COS(2*PI()*$I174/cw)</f>
        <v>3.2535264437019613</v>
      </c>
      <c r="L174">
        <f>+QMA*COS(2*PI()*$I174/QM+QMP)</f>
        <v>0.21516178116001369</v>
      </c>
      <c r="P174">
        <f t="shared" si="14"/>
        <v>0</v>
      </c>
    </row>
    <row r="175" spans="1:16" x14ac:dyDescent="0.25">
      <c r="A175" s="1"/>
      <c r="B175" t="s">
        <v>188</v>
      </c>
      <c r="C175" t="s">
        <v>24</v>
      </c>
      <c r="D175" s="3">
        <v>6.875</v>
      </c>
      <c r="E175" s="5">
        <f t="shared" si="10"/>
        <v>1814</v>
      </c>
      <c r="F175">
        <v>0.52873999999999999</v>
      </c>
      <c r="G175">
        <f t="shared" si="11"/>
        <v>-0.60739999999999972</v>
      </c>
      <c r="H175">
        <f t="shared" si="12"/>
        <v>-0.60739999999999972</v>
      </c>
      <c r="I175" s="5">
        <f t="shared" si="13"/>
        <v>1814</v>
      </c>
      <c r="J175">
        <f>+H175+CF*F175*(1+($I175-1850)*slope/1000)+F175*hQc*COS(2*PI()*$I175/qbo+$L175)+F175*hQs*SIN(2*PI()*$I175/qbo+$L175)+F175*hCs*SIN(2*PI()*$I175/cw)+F175*hCc*COS(2*PI()*$I175/cw) +mix*F175*(hQc*COS(2*PI()*$I175/qbo+$L175)+hQs*SIN(2*PI()*$I175/qbo+$L175))*(hCs*SIN(2*PI()*$I175/cw)+hCc*COS(2*PI()*$I175/cw))</f>
        <v>-5.8847189531125856</v>
      </c>
      <c r="K175">
        <f>fQc*COS(2*PI()*$I175/qbo+$L175)+fQs*SIN(2*PI()*$I175/qbo+$L175)+fCs*SIN(2*PI()*$I175/cw)+fCc*COS(2*PI()*$I175/cw)</f>
        <v>-1.0574294519922642</v>
      </c>
      <c r="L175">
        <f>+QMA*COS(2*PI()*$I175/QM+QMP)</f>
        <v>-6.9230170718784928E-2</v>
      </c>
      <c r="P175">
        <f t="shared" si="14"/>
        <v>1</v>
      </c>
    </row>
    <row r="176" spans="1:16" x14ac:dyDescent="0.25">
      <c r="A176" s="1"/>
      <c r="B176" t="s">
        <v>189</v>
      </c>
      <c r="C176" t="s">
        <v>24</v>
      </c>
      <c r="D176" s="3">
        <v>6.916666666666667</v>
      </c>
      <c r="E176" s="5">
        <f t="shared" si="10"/>
        <v>1815</v>
      </c>
      <c r="F176">
        <v>1.1735500000000001</v>
      </c>
      <c r="G176">
        <f t="shared" si="11"/>
        <v>-0.10818000000000016</v>
      </c>
      <c r="H176">
        <f t="shared" si="12"/>
        <v>-0.10818000000000016</v>
      </c>
      <c r="I176" s="5">
        <f t="shared" si="13"/>
        <v>1815</v>
      </c>
      <c r="J176">
        <f>+H176+CF*F176*(1+($I176-1850)*slope/1000)+F176*hQc*COS(2*PI()*$I176/qbo+$L176)+F176*hQs*SIN(2*PI()*$I176/qbo+$L176)+F176*hCs*SIN(2*PI()*$I176/cw)+F176*hCc*COS(2*PI()*$I176/cw) +mix*F176*(hQc*COS(2*PI()*$I176/qbo+$L176)+hQs*SIN(2*PI()*$I176/qbo+$L176))*(hCs*SIN(2*PI()*$I176/cw)+hCc*COS(2*PI()*$I176/cw))</f>
        <v>77.310621714255632</v>
      </c>
      <c r="K176">
        <f>fQc*COS(2*PI()*$I176/qbo+$L176)+fQs*SIN(2*PI()*$I176/qbo+$L176)+fCs*SIN(2*PI()*$I176/cw)+fCc*COS(2*PI()*$I176/cw)</f>
        <v>-3.7041153058798768</v>
      </c>
      <c r="L176">
        <f>+QMA*COS(2*PI()*$I176/QM+QMP)</f>
        <v>-0.35223152328637669</v>
      </c>
      <c r="P176">
        <f t="shared" si="14"/>
        <v>0</v>
      </c>
    </row>
    <row r="177" spans="1:16" x14ac:dyDescent="0.25">
      <c r="A177" s="1"/>
      <c r="B177" t="s">
        <v>190</v>
      </c>
      <c r="C177" t="s">
        <v>24</v>
      </c>
      <c r="D177" s="3">
        <v>6.958333333333333</v>
      </c>
      <c r="E177" s="5">
        <f t="shared" si="10"/>
        <v>1816</v>
      </c>
      <c r="F177">
        <v>1.71018</v>
      </c>
      <c r="G177">
        <f t="shared" si="11"/>
        <v>-1.95078</v>
      </c>
      <c r="H177">
        <f t="shared" si="12"/>
        <v>-1.95078</v>
      </c>
      <c r="I177" s="5">
        <f t="shared" si="13"/>
        <v>1816</v>
      </c>
      <c r="J177">
        <f>+H177+CF*F177*(1+($I177-1850)*slope/1000)+F177*hQc*COS(2*PI()*$I177/qbo+$L177)+F177*hQs*SIN(2*PI()*$I177/qbo+$L177)+F177*hCs*SIN(2*PI()*$I177/cw)+F177*hCc*COS(2*PI()*$I177/cw) +mix*F177*(hQc*COS(2*PI()*$I177/qbo+$L177)+hQs*SIN(2*PI()*$I177/qbo+$L177))*(hCs*SIN(2*PI()*$I177/cw)+hCc*COS(2*PI()*$I177/cw))</f>
        <v>361.38942575277832</v>
      </c>
      <c r="K177">
        <f>fQc*COS(2*PI()*$I177/qbo+$L177)+fQs*SIN(2*PI()*$I177/qbo+$L177)+fCs*SIN(2*PI()*$I177/cw)+fCc*COS(2*PI()*$I177/cw)</f>
        <v>3.8212157974248404</v>
      </c>
      <c r="L177">
        <f>+QMA*COS(2*PI()*$I177/QM+QMP)</f>
        <v>-0.62815773926872809</v>
      </c>
      <c r="P177">
        <f t="shared" si="14"/>
        <v>1</v>
      </c>
    </row>
    <row r="178" spans="1:16" x14ac:dyDescent="0.25">
      <c r="A178" s="1"/>
      <c r="B178" t="s">
        <v>191</v>
      </c>
      <c r="C178" t="s">
        <v>24</v>
      </c>
      <c r="D178" s="3">
        <v>7</v>
      </c>
      <c r="E178" s="5">
        <f t="shared" si="10"/>
        <v>1817</v>
      </c>
      <c r="F178">
        <v>0.29603000000000002</v>
      </c>
      <c r="G178">
        <f t="shared" si="11"/>
        <v>-8.0999999999999961E-3</v>
      </c>
      <c r="H178">
        <f t="shared" si="12"/>
        <v>-8.0999999999999961E-3</v>
      </c>
      <c r="I178" s="5">
        <f t="shared" si="13"/>
        <v>1817</v>
      </c>
      <c r="J178">
        <f>+H178+CF*F178*(1+($I178-1850)*slope/1000)+F178*hQc*COS(2*PI()*$I178/qbo+$L178)+F178*hQs*SIN(2*PI()*$I178/qbo+$L178)+F178*hCs*SIN(2*PI()*$I178/cw)+F178*hCc*COS(2*PI()*$I178/cw) +mix*F178*(hQc*COS(2*PI()*$I178/qbo+$L178)+hQs*SIN(2*PI()*$I178/qbo+$L178))*(hCs*SIN(2*PI()*$I178/cw)+hCc*COS(2*PI()*$I178/cw))</f>
        <v>6.2200416450911256</v>
      </c>
      <c r="K178">
        <f>fQc*COS(2*PI()*$I178/qbo+$L178)+fQs*SIN(2*PI()*$I178/qbo+$L178)+fCs*SIN(2*PI()*$I178/cw)+fCc*COS(2*PI()*$I178/cw)</f>
        <v>1.2778739247627127</v>
      </c>
      <c r="L178">
        <f>+QMA*COS(2*PI()*$I178/QM+QMP)</f>
        <v>-0.89146639688814766</v>
      </c>
      <c r="P178">
        <f t="shared" si="14"/>
        <v>1</v>
      </c>
    </row>
    <row r="179" spans="1:16" x14ac:dyDescent="0.25">
      <c r="A179" s="1"/>
      <c r="B179" t="s">
        <v>192</v>
      </c>
      <c r="C179" t="s">
        <v>24</v>
      </c>
      <c r="D179" s="3">
        <v>7.041666666666667</v>
      </c>
      <c r="E179" s="5">
        <f t="shared" si="10"/>
        <v>1818</v>
      </c>
      <c r="F179">
        <v>-1.12622</v>
      </c>
      <c r="G179">
        <f t="shared" si="11"/>
        <v>1.1086400000000001</v>
      </c>
      <c r="H179">
        <f t="shared" si="12"/>
        <v>1.1086400000000001</v>
      </c>
      <c r="I179" s="5">
        <f t="shared" si="13"/>
        <v>1818</v>
      </c>
      <c r="J179">
        <f>+H179+CF*F179*(1+($I179-1850)*slope/1000)+F179*hQc*COS(2*PI()*$I179/qbo+$L179)+F179*hQs*SIN(2*PI()*$I179/qbo+$L179)+F179*hCs*SIN(2*PI()*$I179/cw)+F179*hCc*COS(2*PI()*$I179/cw) +mix*F179*(hQc*COS(2*PI()*$I179/qbo+$L179)+hQs*SIN(2*PI()*$I179/qbo+$L179))*(hCs*SIN(2*PI()*$I179/cw)+hCc*COS(2*PI()*$I179/cw))</f>
        <v>-235.18333073353426</v>
      </c>
      <c r="K179">
        <f>fQc*COS(2*PI()*$I179/qbo+$L179)+fQs*SIN(2*PI()*$I179/qbo+$L179)+fCs*SIN(2*PI()*$I179/cw)+fCc*COS(2*PI()*$I179/cw)</f>
        <v>-4.0478857579637557</v>
      </c>
      <c r="L179">
        <f>+QMA*COS(2*PI()*$I179/QM+QMP)</f>
        <v>-1.1368685183175262</v>
      </c>
      <c r="P179">
        <f t="shared" si="14"/>
        <v>1</v>
      </c>
    </row>
    <row r="180" spans="1:16" x14ac:dyDescent="0.25">
      <c r="A180" s="1"/>
      <c r="B180" t="s">
        <v>193</v>
      </c>
      <c r="C180" t="s">
        <v>24</v>
      </c>
      <c r="D180" s="3">
        <v>7.083333333333333</v>
      </c>
      <c r="E180" s="5">
        <f t="shared" si="10"/>
        <v>1819</v>
      </c>
      <c r="F180">
        <v>-1.4398299999999999</v>
      </c>
      <c r="G180">
        <f t="shared" si="11"/>
        <v>-0.21862000000000004</v>
      </c>
      <c r="H180">
        <f t="shared" si="12"/>
        <v>-0.21862000000000004</v>
      </c>
      <c r="I180" s="5">
        <f t="shared" si="13"/>
        <v>1819</v>
      </c>
      <c r="J180">
        <f>+H180+CF*F180*(1+($I180-1850)*slope/1000)+F180*hQc*COS(2*PI()*$I180/qbo+$L180)+F180*hQs*SIN(2*PI()*$I180/qbo+$L180)+F180*hCs*SIN(2*PI()*$I180/cw)+F180*hCc*COS(2*PI()*$I180/cw) +mix*F180*(hQc*COS(2*PI()*$I180/qbo+$L180)+hQs*SIN(2*PI()*$I180/qbo+$L180))*(hCs*SIN(2*PI()*$I180/cw)+hCc*COS(2*PI()*$I180/cw))</f>
        <v>96.172335116120621</v>
      </c>
      <c r="K180">
        <f>fQc*COS(2*PI()*$I180/qbo+$L180)+fQs*SIN(2*PI()*$I180/qbo+$L180)+fCs*SIN(2*PI()*$I180/cw)+fCc*COS(2*PI()*$I180/cw)</f>
        <v>1.5912153381438991</v>
      </c>
      <c r="L180">
        <f>+QMA*COS(2*PI()*$I180/QM+QMP)</f>
        <v>-1.3594348073051759</v>
      </c>
      <c r="P180">
        <f t="shared" si="14"/>
        <v>1</v>
      </c>
    </row>
    <row r="181" spans="1:16" x14ac:dyDescent="0.25">
      <c r="A181" s="1"/>
      <c r="B181" t="s">
        <v>194</v>
      </c>
      <c r="C181" t="s">
        <v>24</v>
      </c>
      <c r="D181" s="3">
        <v>7.125</v>
      </c>
      <c r="E181" s="5">
        <f t="shared" si="10"/>
        <v>1820</v>
      </c>
      <c r="F181">
        <v>-1.9720599999999999</v>
      </c>
      <c r="G181">
        <f t="shared" si="11"/>
        <v>2.8971200000000001</v>
      </c>
      <c r="H181">
        <f t="shared" si="12"/>
        <v>2.8971200000000001</v>
      </c>
      <c r="I181" s="5">
        <f t="shared" si="13"/>
        <v>1820</v>
      </c>
      <c r="J181">
        <f>+H181+CF*F181*(1+($I181-1850)*slope/1000)+F181*hQc*COS(2*PI()*$I181/qbo+$L181)+F181*hQs*SIN(2*PI()*$I181/qbo+$L181)+F181*hCs*SIN(2*PI()*$I181/cw)+F181*hCc*COS(2*PI()*$I181/cw) +mix*F181*(hQc*COS(2*PI()*$I181/qbo+$L181)+hQs*SIN(2*PI()*$I181/qbo+$L181))*(hCs*SIN(2*PI()*$I181/cw)+hCc*COS(2*PI()*$I181/cw))</f>
        <v>15.42458222744348</v>
      </c>
      <c r="K181">
        <f>fQc*COS(2*PI()*$I181/qbo+$L181)+fQs*SIN(2*PI()*$I181/qbo+$L181)+fCs*SIN(2*PI()*$I181/cw)+fCc*COS(2*PI()*$I181/cw)</f>
        <v>0.98541331013835887</v>
      </c>
      <c r="L181">
        <f>+QMA*COS(2*PI()*$I181/QM+QMP)</f>
        <v>-1.5546946620177386</v>
      </c>
      <c r="P181">
        <f t="shared" si="14"/>
        <v>1</v>
      </c>
    </row>
    <row r="182" spans="1:16" x14ac:dyDescent="0.25">
      <c r="A182" s="1"/>
      <c r="B182" t="s">
        <v>195</v>
      </c>
      <c r="C182" t="s">
        <v>24</v>
      </c>
      <c r="D182" s="3">
        <v>7.166666666666667</v>
      </c>
      <c r="E182" s="5">
        <f t="shared" si="10"/>
        <v>1821</v>
      </c>
      <c r="F182">
        <v>0.39283000000000001</v>
      </c>
      <c r="G182">
        <f t="shared" si="11"/>
        <v>-3.3246099999999998</v>
      </c>
      <c r="H182">
        <f t="shared" si="12"/>
        <v>-3.3246099999999998</v>
      </c>
      <c r="I182" s="5">
        <f t="shared" si="13"/>
        <v>1821</v>
      </c>
      <c r="J182">
        <f>+H182+CF*F182*(1+($I182-1850)*slope/1000)+F182*hQc*COS(2*PI()*$I182/qbo+$L182)+F182*hQs*SIN(2*PI()*$I182/qbo+$L182)+F182*hCs*SIN(2*PI()*$I182/cw)+F182*hCc*COS(2*PI()*$I182/cw) +mix*F182*(hQc*COS(2*PI()*$I182/qbo+$L182)+hQs*SIN(2*PI()*$I182/qbo+$L182))*(hCs*SIN(2*PI()*$I182/cw)+hCc*COS(2*PI()*$I182/cw))</f>
        <v>-30.481308743127098</v>
      </c>
      <c r="K182">
        <f>fQc*COS(2*PI()*$I182/qbo+$L182)+fQs*SIN(2*PI()*$I182/qbo+$L182)+fCs*SIN(2*PI()*$I182/cw)+fCc*COS(2*PI()*$I182/cw)</f>
        <v>-1.1862445690196508</v>
      </c>
      <c r="L182">
        <f>+QMA*COS(2*PI()*$I182/QM+QMP)</f>
        <v>-1.7187259742666883</v>
      </c>
      <c r="P182">
        <f t="shared" si="14"/>
        <v>1</v>
      </c>
    </row>
    <row r="183" spans="1:16" x14ac:dyDescent="0.25">
      <c r="A183" s="1"/>
      <c r="B183" t="s">
        <v>196</v>
      </c>
      <c r="C183" t="s">
        <v>24</v>
      </c>
      <c r="D183" s="3">
        <v>7.208333333333333</v>
      </c>
      <c r="E183" s="5">
        <f t="shared" si="10"/>
        <v>1822</v>
      </c>
      <c r="F183">
        <v>-0.56689000000000001</v>
      </c>
      <c r="G183">
        <f t="shared" si="11"/>
        <v>0.88999000000000006</v>
      </c>
      <c r="H183">
        <f t="shared" si="12"/>
        <v>0.88999000000000006</v>
      </c>
      <c r="I183" s="5">
        <f t="shared" si="13"/>
        <v>1822</v>
      </c>
      <c r="J183">
        <f>+H183+CF*F183*(1+($I183-1850)*slope/1000)+F183*hQc*COS(2*PI()*$I183/qbo+$L183)+F183*hQs*SIN(2*PI()*$I183/qbo+$L183)+F183*hCs*SIN(2*PI()*$I183/cw)+F183*hCc*COS(2*PI()*$I183/cw) +mix*F183*(hQc*COS(2*PI()*$I183/qbo+$L183)+hQs*SIN(2*PI()*$I183/qbo+$L183))*(hCs*SIN(2*PI()*$I183/cw)+hCc*COS(2*PI()*$I183/cw))</f>
        <v>114.19794460337404</v>
      </c>
      <c r="K183">
        <f>fQc*COS(2*PI()*$I183/qbo+$L183)+fQs*SIN(2*PI()*$I183/qbo+$L183)+fCs*SIN(2*PI()*$I183/cw)+fCc*COS(2*PI()*$I183/cw)</f>
        <v>1.8925217748413146</v>
      </c>
      <c r="L183">
        <f>+QMA*COS(2*PI()*$I183/QM+QMP)</f>
        <v>-1.8482339113591955</v>
      </c>
      <c r="P183">
        <f t="shared" si="14"/>
        <v>1</v>
      </c>
    </row>
    <row r="184" spans="1:16" x14ac:dyDescent="0.25">
      <c r="A184" s="1"/>
      <c r="B184" t="s">
        <v>197</v>
      </c>
      <c r="C184" t="s">
        <v>24</v>
      </c>
      <c r="D184" s="3">
        <v>7.25</v>
      </c>
      <c r="E184" s="5">
        <f t="shared" si="10"/>
        <v>1823</v>
      </c>
      <c r="F184">
        <v>-0.63661999999999996</v>
      </c>
      <c r="G184">
        <f t="shared" si="11"/>
        <v>0.91339999999999988</v>
      </c>
      <c r="H184">
        <f t="shared" si="12"/>
        <v>0.91339999999999988</v>
      </c>
      <c r="I184" s="5">
        <f t="shared" si="13"/>
        <v>1823</v>
      </c>
      <c r="J184">
        <f>+H184+CF*F184*(1+($I184-1850)*slope/1000)+F184*hQc*COS(2*PI()*$I184/qbo+$L184)+F184*hQs*SIN(2*PI()*$I184/qbo+$L184)+F184*hCs*SIN(2*PI()*$I184/cw)+F184*hCc*COS(2*PI()*$I184/cw) +mix*F184*(hQc*COS(2*PI()*$I184/qbo+$L184)+hQs*SIN(2*PI()*$I184/qbo+$L184))*(hCs*SIN(2*PI()*$I184/cw)+hCc*COS(2*PI()*$I184/cw))</f>
        <v>-45.719784874528784</v>
      </c>
      <c r="K184">
        <f>fQc*COS(2*PI()*$I184/qbo+$L184)+fQs*SIN(2*PI()*$I184/qbo+$L184)+fCs*SIN(2*PI()*$I184/cw)+fCc*COS(2*PI()*$I184/cw)</f>
        <v>-2.7652066908420538</v>
      </c>
      <c r="L184">
        <f>+QMA*COS(2*PI()*$I184/QM+QMP)</f>
        <v>-1.9406170981110402</v>
      </c>
      <c r="P184">
        <f t="shared" si="14"/>
        <v>1</v>
      </c>
    </row>
    <row r="185" spans="1:16" x14ac:dyDescent="0.25">
      <c r="A185" s="1"/>
      <c r="B185" t="s">
        <v>198</v>
      </c>
      <c r="C185" t="s">
        <v>24</v>
      </c>
      <c r="D185" s="3">
        <v>7.291666666666667</v>
      </c>
      <c r="E185" s="5">
        <f t="shared" si="10"/>
        <v>1824</v>
      </c>
      <c r="F185">
        <v>0.20705000000000001</v>
      </c>
      <c r="G185">
        <f t="shared" si="11"/>
        <v>-0.43204999999999988</v>
      </c>
      <c r="H185">
        <f t="shared" si="12"/>
        <v>-0.43204999999999988</v>
      </c>
      <c r="I185" s="5">
        <f t="shared" si="13"/>
        <v>1824</v>
      </c>
      <c r="J185">
        <f>+H185+CF*F185*(1+($I185-1850)*slope/1000)+F185*hQc*COS(2*PI()*$I185/qbo+$L185)+F185*hQs*SIN(2*PI()*$I185/qbo+$L185)+F185*hCs*SIN(2*PI()*$I185/cw)+F185*hCc*COS(2*PI()*$I185/cw) +mix*F185*(hQc*COS(2*PI()*$I185/qbo+$L185)+hQs*SIN(2*PI()*$I185/qbo+$L185))*(hCs*SIN(2*PI()*$I185/cw)+hCc*COS(2*PI()*$I185/cw))</f>
        <v>-8.9506114851478795</v>
      </c>
      <c r="K185">
        <f>fQc*COS(2*PI()*$I185/qbo+$L185)+fQs*SIN(2*PI()*$I185/qbo+$L185)+fCs*SIN(2*PI()*$I185/cw)+fCc*COS(2*PI()*$I185/cw)</f>
        <v>0.14995315405646958</v>
      </c>
      <c r="L185">
        <f>+QMA*COS(2*PI()*$I185/QM+QMP)</f>
        <v>-1.9940198696505322</v>
      </c>
      <c r="P185">
        <f t="shared" si="14"/>
        <v>0</v>
      </c>
    </row>
    <row r="186" spans="1:16" x14ac:dyDescent="0.25">
      <c r="A186" s="1"/>
      <c r="B186" t="s">
        <v>199</v>
      </c>
      <c r="C186" t="s">
        <v>24</v>
      </c>
      <c r="D186" s="3">
        <v>7.333333333333333</v>
      </c>
      <c r="E186" s="5">
        <f t="shared" si="10"/>
        <v>1825</v>
      </c>
      <c r="F186">
        <v>0.61867000000000005</v>
      </c>
      <c r="G186">
        <f t="shared" si="11"/>
        <v>-1.02498</v>
      </c>
      <c r="H186">
        <f t="shared" si="12"/>
        <v>-1.02498</v>
      </c>
      <c r="I186" s="5">
        <f t="shared" si="13"/>
        <v>1825</v>
      </c>
      <c r="J186">
        <f>+H186+CF*F186*(1+($I186-1850)*slope/1000)+F186*hQc*COS(2*PI()*$I186/qbo+$L186)+F186*hQs*SIN(2*PI()*$I186/qbo+$L186)+F186*hCs*SIN(2*PI()*$I186/cw)+F186*hCc*COS(2*PI()*$I186/cw) +mix*F186*(hQc*COS(2*PI()*$I186/qbo+$L186)+hQs*SIN(2*PI()*$I186/qbo+$L186))*(hCs*SIN(2*PI()*$I186/cw)+hCc*COS(2*PI()*$I186/cw))</f>
        <v>83.592337773242377</v>
      </c>
      <c r="K186">
        <f>fQc*COS(2*PI()*$I186/qbo+$L186)+fQs*SIN(2*PI()*$I186/qbo+$L186)+fCs*SIN(2*PI()*$I186/cw)+fCc*COS(2*PI()*$I186/cw)</f>
        <v>4.0045208613999099</v>
      </c>
      <c r="L186">
        <f>+QMA*COS(2*PI()*$I186/QM+QMP)</f>
        <v>-2.0073695454318581</v>
      </c>
      <c r="P186">
        <f t="shared" si="14"/>
        <v>1</v>
      </c>
    </row>
    <row r="187" spans="1:16" x14ac:dyDescent="0.25">
      <c r="A187" s="1"/>
      <c r="B187" t="s">
        <v>200</v>
      </c>
      <c r="C187" t="s">
        <v>24</v>
      </c>
      <c r="D187" s="3">
        <v>7.375</v>
      </c>
      <c r="E187" s="5">
        <f t="shared" si="10"/>
        <v>1826</v>
      </c>
      <c r="F187">
        <v>5.3099999999999996E-3</v>
      </c>
      <c r="G187">
        <f t="shared" si="11"/>
        <v>1.6189200000000001</v>
      </c>
      <c r="H187">
        <f t="shared" si="12"/>
        <v>1.6189200000000001</v>
      </c>
      <c r="I187" s="5">
        <f t="shared" si="13"/>
        <v>1826</v>
      </c>
      <c r="J187">
        <f>+H187+CF*F187*(1+($I187-1850)*slope/1000)+F187*hQc*COS(2*PI()*$I187/qbo+$L187)+F187*hQs*SIN(2*PI()*$I187/qbo+$L187)+F187*hCs*SIN(2*PI()*$I187/cw)+F187*hCc*COS(2*PI()*$I187/cw) +mix*F187*(hQc*COS(2*PI()*$I187/qbo+$L187)+hQs*SIN(2*PI()*$I187/qbo+$L187))*(hCs*SIN(2*PI()*$I187/cw)+hCc*COS(2*PI()*$I187/cw))</f>
        <v>2.6620572498788229</v>
      </c>
      <c r="K187">
        <f>fQc*COS(2*PI()*$I187/qbo+$L187)+fQs*SIN(2*PI()*$I187/qbo+$L187)+fCs*SIN(2*PI()*$I187/cw)+fCc*COS(2*PI()*$I187/cw)</f>
        <v>-3.9407233561262034</v>
      </c>
      <c r="L187">
        <f>+QMA*COS(2*PI()*$I187/QM+QMP)</f>
        <v>-1.980397975748704</v>
      </c>
      <c r="P187">
        <f t="shared" si="14"/>
        <v>0</v>
      </c>
    </row>
    <row r="188" spans="1:16" x14ac:dyDescent="0.25">
      <c r="A188" s="1"/>
      <c r="B188" t="s">
        <v>201</v>
      </c>
      <c r="C188" t="s">
        <v>24</v>
      </c>
      <c r="D188" s="3">
        <v>7.416666666666667</v>
      </c>
      <c r="E188" s="5">
        <f t="shared" si="10"/>
        <v>1827</v>
      </c>
      <c r="F188">
        <v>1.0108699999999999</v>
      </c>
      <c r="G188">
        <f t="shared" si="11"/>
        <v>-0.80272999999999994</v>
      </c>
      <c r="H188">
        <f t="shared" si="12"/>
        <v>-0.80272999999999994</v>
      </c>
      <c r="I188" s="5">
        <f t="shared" si="13"/>
        <v>1827</v>
      </c>
      <c r="J188">
        <f>+H188+CF*F188*(1+($I188-1850)*slope/1000)+F188*hQc*COS(2*PI()*$I188/qbo+$L188)+F188*hQs*SIN(2*PI()*$I188/qbo+$L188)+F188*hCs*SIN(2*PI()*$I188/cw)+F188*hCc*COS(2*PI()*$I188/cw) +mix*F188*(hQc*COS(2*PI()*$I188/qbo+$L188)+hQs*SIN(2*PI()*$I188/qbo+$L188))*(hCs*SIN(2*PI()*$I188/cw)+hCc*COS(2*PI()*$I188/cw))</f>
        <v>-83.170062768858642</v>
      </c>
      <c r="K188">
        <f>fQc*COS(2*PI()*$I188/qbo+$L188)+fQs*SIN(2*PI()*$I188/qbo+$L188)+fCs*SIN(2*PI()*$I188/cw)+fCc*COS(2*PI()*$I188/cw)</f>
        <v>0.43241151946375034</v>
      </c>
      <c r="L188">
        <f>+QMA*COS(2*PI()*$I188/QM+QMP)</f>
        <v>-1.9136469279524069</v>
      </c>
      <c r="P188">
        <f t="shared" si="14"/>
        <v>0</v>
      </c>
    </row>
    <row r="189" spans="1:16" x14ac:dyDescent="0.25">
      <c r="A189" s="1"/>
      <c r="B189" t="s">
        <v>202</v>
      </c>
      <c r="C189" t="s">
        <v>24</v>
      </c>
      <c r="D189" s="3">
        <v>7.458333333333333</v>
      </c>
      <c r="E189" s="5">
        <f t="shared" si="10"/>
        <v>1828</v>
      </c>
      <c r="F189">
        <v>1.2137</v>
      </c>
      <c r="G189">
        <f t="shared" si="11"/>
        <v>-0.55542000000000002</v>
      </c>
      <c r="H189">
        <f t="shared" si="12"/>
        <v>-0.55542000000000002</v>
      </c>
      <c r="I189" s="5">
        <f t="shared" si="13"/>
        <v>1828</v>
      </c>
      <c r="J189">
        <f>+H189+CF*F189*(1+($I189-1850)*slope/1000)+F189*hQc*COS(2*PI()*$I189/qbo+$L189)+F189*hQs*SIN(2*PI()*$I189/qbo+$L189)+F189*hCs*SIN(2*PI()*$I189/cw)+F189*hCc*COS(2*PI()*$I189/cw) +mix*F189*(hQc*COS(2*PI()*$I189/qbo+$L189)+hQs*SIN(2*PI()*$I189/qbo+$L189))*(hCs*SIN(2*PI()*$I189/cw)+hCc*COS(2*PI()*$I189/cw))</f>
        <v>18.709235907525791</v>
      </c>
      <c r="K189">
        <f>fQc*COS(2*PI()*$I189/qbo+$L189)+fQs*SIN(2*PI()*$I189/qbo+$L189)+fCs*SIN(2*PI()*$I189/cw)+fCc*COS(2*PI()*$I189/cw)</f>
        <v>0.98690945578684897</v>
      </c>
      <c r="L189">
        <f>+QMA*COS(2*PI()*$I189/QM+QMP)</f>
        <v>-1.8084572041833751</v>
      </c>
      <c r="P189">
        <f t="shared" si="14"/>
        <v>1</v>
      </c>
    </row>
    <row r="190" spans="1:16" x14ac:dyDescent="0.25">
      <c r="A190" s="1"/>
      <c r="B190" t="s">
        <v>203</v>
      </c>
      <c r="C190" t="s">
        <v>24</v>
      </c>
      <c r="D190" s="3">
        <v>7.5</v>
      </c>
      <c r="E190" s="5">
        <f t="shared" si="10"/>
        <v>1829</v>
      </c>
      <c r="F190">
        <v>0.86111000000000004</v>
      </c>
      <c r="G190">
        <f t="shared" si="11"/>
        <v>-0.45816000000000012</v>
      </c>
      <c r="H190">
        <f t="shared" si="12"/>
        <v>-0.45816000000000012</v>
      </c>
      <c r="I190" s="5">
        <f t="shared" si="13"/>
        <v>1829</v>
      </c>
      <c r="J190">
        <f>+H190+CF*F190*(1+($I190-1850)*slope/1000)+F190*hQc*COS(2*PI()*$I190/qbo+$L190)+F190*hQs*SIN(2*PI()*$I190/qbo+$L190)+F190*hCs*SIN(2*PI()*$I190/cw)+F190*hCc*COS(2*PI()*$I190/cw) +mix*F190*(hQc*COS(2*PI()*$I190/qbo+$L190)+hQs*SIN(2*PI()*$I190/qbo+$L190))*(hCs*SIN(2*PI()*$I190/cw)+hCc*COS(2*PI()*$I190/cw))</f>
        <v>-76.547565841243795</v>
      </c>
      <c r="K190">
        <f>fQc*COS(2*PI()*$I190/qbo+$L190)+fQs*SIN(2*PI()*$I190/qbo+$L190)+fCs*SIN(2*PI()*$I190/cw)+fCc*COS(2*PI()*$I190/cw)</f>
        <v>-0.4825423677205769</v>
      </c>
      <c r="L190">
        <f>+QMA*COS(2*PI()*$I190/QM+QMP)</f>
        <v>-1.6669417092040244</v>
      </c>
      <c r="P190">
        <f t="shared" si="14"/>
        <v>1</v>
      </c>
    </row>
    <row r="191" spans="1:16" x14ac:dyDescent="0.25">
      <c r="A191" s="1"/>
      <c r="B191" t="s">
        <v>204</v>
      </c>
      <c r="C191" t="s">
        <v>24</v>
      </c>
      <c r="D191" s="3">
        <v>7.541666666666667</v>
      </c>
      <c r="E191" s="5">
        <f t="shared" si="10"/>
        <v>1830</v>
      </c>
      <c r="F191">
        <v>5.0360000000000002E-2</v>
      </c>
      <c r="G191">
        <f t="shared" si="11"/>
        <v>0.28301000000000009</v>
      </c>
      <c r="H191">
        <f t="shared" si="12"/>
        <v>0.28301000000000009</v>
      </c>
      <c r="I191" s="5">
        <f t="shared" si="13"/>
        <v>1830</v>
      </c>
      <c r="J191">
        <f>+H191+CF*F191*(1+($I191-1850)*slope/1000)+F191*hQc*COS(2*PI()*$I191/qbo+$L191)+F191*hQs*SIN(2*PI()*$I191/qbo+$L191)+F191*hCs*SIN(2*PI()*$I191/cw)+F191*hCc*COS(2*PI()*$I191/cw) +mix*F191*(hQc*COS(2*PI()*$I191/qbo+$L191)+hQs*SIN(2*PI()*$I191/qbo+$L191))*(hCs*SIN(2*PI()*$I191/cw)+hCc*COS(2*PI()*$I191/cw))</f>
        <v>-7.4896991094687539</v>
      </c>
      <c r="K191">
        <f>fQc*COS(2*PI()*$I191/qbo+$L191)+fQs*SIN(2*PI()*$I191/qbo+$L191)+fCs*SIN(2*PI()*$I191/cw)+fCc*COS(2*PI()*$I191/cw)</f>
        <v>2.1669742553383982</v>
      </c>
      <c r="L191">
        <f>+QMA*COS(2*PI()*$I191/QM+QMP)</f>
        <v>-1.4919430093087531</v>
      </c>
      <c r="P191">
        <f t="shared" si="14"/>
        <v>0</v>
      </c>
    </row>
    <row r="192" spans="1:16" x14ac:dyDescent="0.25">
      <c r="A192" s="1"/>
      <c r="B192" t="s">
        <v>205</v>
      </c>
      <c r="C192" t="s">
        <v>24</v>
      </c>
      <c r="D192" s="3">
        <v>7.583333333333333</v>
      </c>
      <c r="E192" s="5">
        <f t="shared" si="10"/>
        <v>1831</v>
      </c>
      <c r="F192">
        <v>-0.47738000000000003</v>
      </c>
      <c r="G192">
        <f t="shared" si="11"/>
        <v>1.6845300000000001</v>
      </c>
      <c r="H192">
        <f t="shared" si="12"/>
        <v>1.6845300000000001</v>
      </c>
      <c r="I192" s="5">
        <f t="shared" si="13"/>
        <v>1831</v>
      </c>
      <c r="J192">
        <f>+H192+CF*F192*(1+($I192-1850)*slope/1000)+F192*hQc*COS(2*PI()*$I192/qbo+$L192)+F192*hQs*SIN(2*PI()*$I192/qbo+$L192)+F192*hCs*SIN(2*PI()*$I192/cw)+F192*hCc*COS(2*PI()*$I192/cw) +mix*F192*(hQc*COS(2*PI()*$I192/qbo+$L192)+hQs*SIN(2*PI()*$I192/qbo+$L192))*(hCs*SIN(2*PI()*$I192/cw)+hCc*COS(2*PI()*$I192/cw))</f>
        <v>-82.39202497305287</v>
      </c>
      <c r="K192">
        <f>fQc*COS(2*PI()*$I192/qbo+$L192)+fQs*SIN(2*PI()*$I192/qbo+$L192)+fCs*SIN(2*PI()*$I192/cw)+fCc*COS(2*PI()*$I192/cw)</f>
        <v>-4.4545671726229266</v>
      </c>
      <c r="L192">
        <f>+QMA*COS(2*PI()*$I192/QM+QMP)</f>
        <v>-1.2869762348084688</v>
      </c>
      <c r="P192">
        <f t="shared" si="14"/>
        <v>1</v>
      </c>
    </row>
    <row r="193" spans="1:16" x14ac:dyDescent="0.25">
      <c r="A193" s="1"/>
      <c r="B193" t="s">
        <v>206</v>
      </c>
      <c r="C193" t="s">
        <v>24</v>
      </c>
      <c r="D193" s="3">
        <v>7.625</v>
      </c>
      <c r="E193" s="5">
        <f t="shared" si="10"/>
        <v>1832</v>
      </c>
      <c r="F193">
        <v>0.67940999999999996</v>
      </c>
      <c r="G193">
        <f t="shared" si="11"/>
        <v>0.30939000000000005</v>
      </c>
      <c r="H193">
        <f t="shared" si="12"/>
        <v>0.30939000000000005</v>
      </c>
      <c r="I193" s="5">
        <f t="shared" si="13"/>
        <v>1832</v>
      </c>
      <c r="J193">
        <f>+H193+CF*F193*(1+($I193-1850)*slope/1000)+F193*hQc*COS(2*PI()*$I193/qbo+$L193)+F193*hQs*SIN(2*PI()*$I193/qbo+$L193)+F193*hCs*SIN(2*PI()*$I193/cw)+F193*hCc*COS(2*PI()*$I193/cw) +mix*F193*(hQc*COS(2*PI()*$I193/qbo+$L193)+hQs*SIN(2*PI()*$I193/qbo+$L193))*(hCs*SIN(2*PI()*$I193/cw)+hCc*COS(2*PI()*$I193/cw))</f>
        <v>89.613312510734914</v>
      </c>
      <c r="K193">
        <f>fQc*COS(2*PI()*$I193/qbo+$L193)+fQs*SIN(2*PI()*$I193/qbo+$L193)+fCs*SIN(2*PI()*$I193/cw)+fCc*COS(2*PI()*$I193/cw)</f>
        <v>2.8276685101176033</v>
      </c>
      <c r="L193">
        <f>+QMA*COS(2*PI()*$I193/QM+QMP)</f>
        <v>-1.0561584729856264</v>
      </c>
      <c r="P193">
        <f t="shared" si="14"/>
        <v>1</v>
      </c>
    </row>
    <row r="194" spans="1:16" x14ac:dyDescent="0.25">
      <c r="A194" s="1"/>
      <c r="B194" t="s">
        <v>207</v>
      </c>
      <c r="C194" t="s">
        <v>24</v>
      </c>
      <c r="D194" s="3">
        <v>7.666666666666667</v>
      </c>
      <c r="E194" s="5">
        <f t="shared" si="10"/>
        <v>1833</v>
      </c>
      <c r="F194">
        <v>2.1455899999999999</v>
      </c>
      <c r="G194">
        <f t="shared" si="11"/>
        <v>-2.7098499999999999</v>
      </c>
      <c r="H194">
        <f t="shared" si="12"/>
        <v>-2.7098499999999999</v>
      </c>
      <c r="I194" s="5">
        <f t="shared" si="13"/>
        <v>1833</v>
      </c>
      <c r="J194">
        <f>+H194+CF*F194*(1+($I194-1850)*slope/1000)+F194*hQc*COS(2*PI()*$I194/qbo+$L194)+F194*hQs*SIN(2*PI()*$I194/qbo+$L194)+F194*hCs*SIN(2*PI()*$I194/cw)+F194*hCc*COS(2*PI()*$I194/cw) +mix*F194*(hQc*COS(2*PI()*$I194/qbo+$L194)+hQs*SIN(2*PI()*$I194/qbo+$L194))*(hCs*SIN(2*PI()*$I194/cw)+hCc*COS(2*PI()*$I194/cw))</f>
        <v>-96.494610803988536</v>
      </c>
      <c r="K194">
        <f>fQc*COS(2*PI()*$I194/qbo+$L194)+fQs*SIN(2*PI()*$I194/qbo+$L194)+fCs*SIN(2*PI()*$I194/cw)+fCc*COS(2*PI()*$I194/cw)</f>
        <v>0.71293802450331978</v>
      </c>
      <c r="L194">
        <f>+QMA*COS(2*PI()*$I194/QM+QMP)</f>
        <v>-0.80412606977512791</v>
      </c>
      <c r="P194">
        <f t="shared" si="14"/>
        <v>0</v>
      </c>
    </row>
    <row r="195" spans="1:16" x14ac:dyDescent="0.25">
      <c r="A195" s="1"/>
      <c r="B195" t="s">
        <v>208</v>
      </c>
      <c r="C195" t="s">
        <v>24</v>
      </c>
      <c r="D195" s="3">
        <v>7.708333333333333</v>
      </c>
      <c r="E195" s="5">
        <f t="shared" si="10"/>
        <v>1834</v>
      </c>
      <c r="F195">
        <v>0.90192000000000005</v>
      </c>
      <c r="G195">
        <f t="shared" si="11"/>
        <v>0.3685299999999998</v>
      </c>
      <c r="H195">
        <f t="shared" si="12"/>
        <v>0.3685299999999998</v>
      </c>
      <c r="I195" s="5">
        <f t="shared" si="13"/>
        <v>1834</v>
      </c>
      <c r="J195">
        <f>+H195+CF*F195*(1+($I195-1850)*slope/1000)+F195*hQc*COS(2*PI()*$I195/qbo+$L195)+F195*hQs*SIN(2*PI()*$I195/qbo+$L195)+F195*hCs*SIN(2*PI()*$I195/cw)+F195*hCc*COS(2*PI()*$I195/cw) +mix*F195*(hQc*COS(2*PI()*$I195/qbo+$L195)+hQs*SIN(2*PI()*$I195/qbo+$L195))*(hCs*SIN(2*PI()*$I195/cw)+hCc*COS(2*PI()*$I195/cw))</f>
        <v>33.016251563505648</v>
      </c>
      <c r="K195">
        <f>fQc*COS(2*PI()*$I195/qbo+$L195)+fQs*SIN(2*PI()*$I195/qbo+$L195)+fCs*SIN(2*PI()*$I195/cw)+fCc*COS(2*PI()*$I195/cw)</f>
        <v>-1.2684724960589557</v>
      </c>
      <c r="L195">
        <f>+QMA*COS(2*PI()*$I195/QM+QMP)</f>
        <v>-0.5359415013007045</v>
      </c>
      <c r="P195">
        <f t="shared" si="14"/>
        <v>0</v>
      </c>
    </row>
    <row r="196" spans="1:16" x14ac:dyDescent="0.25">
      <c r="A196" s="1"/>
      <c r="B196" t="s">
        <v>209</v>
      </c>
      <c r="C196" t="s">
        <v>24</v>
      </c>
      <c r="D196" s="3">
        <v>7.75</v>
      </c>
      <c r="E196" s="5">
        <f t="shared" si="10"/>
        <v>1835</v>
      </c>
      <c r="F196">
        <v>2.6780000000000002E-2</v>
      </c>
      <c r="G196">
        <f t="shared" si="11"/>
        <v>0.85698000000000008</v>
      </c>
      <c r="H196">
        <f t="shared" si="12"/>
        <v>0.85698000000000008</v>
      </c>
      <c r="I196" s="5">
        <f t="shared" si="13"/>
        <v>1835</v>
      </c>
      <c r="J196">
        <f>+H196+CF*F196*(1+($I196-1850)*slope/1000)+F196*hQc*COS(2*PI()*$I196/qbo+$L196)+F196*hQs*SIN(2*PI()*$I196/qbo+$L196)+F196*hCs*SIN(2*PI()*$I196/cw)+F196*hCc*COS(2*PI()*$I196/cw) +mix*F196*(hQc*COS(2*PI()*$I196/qbo+$L196)+hQs*SIN(2*PI()*$I196/qbo+$L196))*(hCs*SIN(2*PI()*$I196/cw)+hCc*COS(2*PI()*$I196/cw))</f>
        <v>-2.3673366676434622</v>
      </c>
      <c r="K196">
        <f>fQc*COS(2*PI()*$I196/qbo+$L196)+fQs*SIN(2*PI()*$I196/qbo+$L196)+fCs*SIN(2*PI()*$I196/cw)+fCc*COS(2*PI()*$I196/cw)</f>
        <v>0.47757617458033397</v>
      </c>
      <c r="L196">
        <f>+QMA*COS(2*PI()*$I196/QM+QMP)</f>
        <v>-0.25699168590016458</v>
      </c>
      <c r="P196">
        <f t="shared" si="14"/>
        <v>0</v>
      </c>
    </row>
    <row r="197" spans="1:16" x14ac:dyDescent="0.25">
      <c r="A197" s="1"/>
      <c r="B197" t="s">
        <v>210</v>
      </c>
      <c r="C197" t="s">
        <v>24</v>
      </c>
      <c r="D197" s="3">
        <v>7.791666666666667</v>
      </c>
      <c r="E197" s="5">
        <f t="shared" si="10"/>
        <v>1836</v>
      </c>
      <c r="F197">
        <v>8.6199999999999992E-3</v>
      </c>
      <c r="G197">
        <f t="shared" si="11"/>
        <v>1.0293399999999999</v>
      </c>
      <c r="H197">
        <f t="shared" si="12"/>
        <v>1.0293399999999999</v>
      </c>
      <c r="I197" s="5">
        <f t="shared" si="13"/>
        <v>1836</v>
      </c>
      <c r="J197">
        <f>+H197+CF*F197*(1+($I197-1850)*slope/1000)+F197*hQc*COS(2*PI()*$I197/qbo+$L197)+F197*hQs*SIN(2*PI()*$I197/qbo+$L197)+F197*hCs*SIN(2*PI()*$I197/cw)+F197*hCc*COS(2*PI()*$I197/cw) +mix*F197*(hQc*COS(2*PI()*$I197/qbo+$L197)+hQs*SIN(2*PI()*$I197/qbo+$L197))*(hCs*SIN(2*PI()*$I197/cw)+hCc*COS(2*PI()*$I197/cw))</f>
        <v>7.9981708405703067E-3</v>
      </c>
      <c r="K197">
        <f>fQc*COS(2*PI()*$I197/qbo+$L197)+fQs*SIN(2*PI()*$I197/qbo+$L197)+fCs*SIN(2*PI()*$I197/cw)+fCc*COS(2*PI()*$I197/cw)</f>
        <v>-2.4306706592994884</v>
      </c>
      <c r="L197">
        <f>+QMA*COS(2*PI()*$I197/QM+QMP)</f>
        <v>2.7120220792094883E-2</v>
      </c>
      <c r="P197">
        <f t="shared" si="14"/>
        <v>0</v>
      </c>
    </row>
    <row r="198" spans="1:16" x14ac:dyDescent="0.25">
      <c r="A198" s="1"/>
      <c r="B198" t="s">
        <v>211</v>
      </c>
      <c r="C198" t="s">
        <v>24</v>
      </c>
      <c r="D198" s="3">
        <v>7.833333333333333</v>
      </c>
      <c r="E198" s="5">
        <f t="shared" si="10"/>
        <v>1837</v>
      </c>
      <c r="F198">
        <v>1.0198</v>
      </c>
      <c r="G198">
        <f t="shared" si="11"/>
        <v>-1.1686000000000001</v>
      </c>
      <c r="H198">
        <f t="shared" si="12"/>
        <v>-1.1686000000000001</v>
      </c>
      <c r="I198" s="5">
        <f t="shared" si="13"/>
        <v>1837</v>
      </c>
      <c r="J198">
        <f>+H198+CF*F198*(1+($I198-1850)*slope/1000)+F198*hQc*COS(2*PI()*$I198/qbo+$L198)+F198*hQs*SIN(2*PI()*$I198/qbo+$L198)+F198*hCs*SIN(2*PI()*$I198/cw)+F198*hCc*COS(2*PI()*$I198/cw) +mix*F198*(hQc*COS(2*PI()*$I198/qbo+$L198)+hQs*SIN(2*PI()*$I198/qbo+$L198))*(hCs*SIN(2*PI()*$I198/cw)+hCc*COS(2*PI()*$I198/cw))</f>
        <v>225.13897384793472</v>
      </c>
      <c r="K198">
        <f>fQc*COS(2*PI()*$I198/qbo+$L198)+fQs*SIN(2*PI()*$I198/qbo+$L198)+fCs*SIN(2*PI()*$I198/cw)+fCc*COS(2*PI()*$I198/cw)</f>
        <v>4.6452406304987743</v>
      </c>
      <c r="L198">
        <f>+QMA*COS(2*PI()*$I198/QM+QMP)</f>
        <v>0.31068737423645443</v>
      </c>
      <c r="P198">
        <f t="shared" si="14"/>
        <v>1</v>
      </c>
    </row>
    <row r="199" spans="1:16" x14ac:dyDescent="0.25">
      <c r="A199" s="1"/>
      <c r="B199" t="s">
        <v>212</v>
      </c>
      <c r="C199" t="s">
        <v>24</v>
      </c>
      <c r="D199" s="3">
        <v>7.875</v>
      </c>
      <c r="E199" s="5">
        <f t="shared" si="10"/>
        <v>1838</v>
      </c>
      <c r="F199">
        <v>0.86238000000000004</v>
      </c>
      <c r="G199">
        <f t="shared" si="11"/>
        <v>1.4644500000000003</v>
      </c>
      <c r="H199">
        <f t="shared" si="12"/>
        <v>1.4644500000000003</v>
      </c>
      <c r="I199" s="5">
        <f t="shared" si="13"/>
        <v>1838</v>
      </c>
      <c r="J199">
        <f>+H199+CF*F199*(1+($I199-1850)*slope/1000)+F199*hQc*COS(2*PI()*$I199/qbo+$L199)+F199*hQs*SIN(2*PI()*$I199/qbo+$L199)+F199*hCs*SIN(2*PI()*$I199/cw)+F199*hCc*COS(2*PI()*$I199/cw) +mix*F199*(hQc*COS(2*PI()*$I199/qbo+$L199)+hQs*SIN(2*PI()*$I199/qbo+$L199))*(hCs*SIN(2*PI()*$I199/cw)+hCc*COS(2*PI()*$I199/cw))</f>
        <v>90.254467457873119</v>
      </c>
      <c r="K199">
        <f>fQc*COS(2*PI()*$I199/qbo+$L199)+fQs*SIN(2*PI()*$I199/qbo+$L199)+fCs*SIN(2*PI()*$I199/cw)+fCc*COS(2*PI()*$I199/cw)</f>
        <v>-2.8546005767128428</v>
      </c>
      <c r="L199">
        <f>+QMA*COS(2*PI()*$I199/QM+QMP)</f>
        <v>0.58801387213832257</v>
      </c>
      <c r="P199">
        <f t="shared" si="14"/>
        <v>0</v>
      </c>
    </row>
    <row r="200" spans="1:16" x14ac:dyDescent="0.25">
      <c r="A200" s="1"/>
      <c r="B200" t="s">
        <v>213</v>
      </c>
      <c r="C200" t="s">
        <v>24</v>
      </c>
      <c r="D200" s="3">
        <v>7.916666666666667</v>
      </c>
      <c r="E200" s="5">
        <f t="shared" si="10"/>
        <v>1839</v>
      </c>
      <c r="F200">
        <v>2.1694100000000001</v>
      </c>
      <c r="G200">
        <f t="shared" si="11"/>
        <v>-3.0995699999999999</v>
      </c>
      <c r="H200">
        <f t="shared" si="12"/>
        <v>-3.0995699999999999</v>
      </c>
      <c r="I200" s="5">
        <f t="shared" si="13"/>
        <v>1839</v>
      </c>
      <c r="J200">
        <f>+H200+CF*F200*(1+($I200-1850)*slope/1000)+F200*hQc*COS(2*PI()*$I200/qbo+$L200)+F200*hQs*SIN(2*PI()*$I200/qbo+$L200)+F200*hCs*SIN(2*PI()*$I200/cw)+F200*hCc*COS(2*PI()*$I200/cw) +mix*F200*(hQc*COS(2*PI()*$I200/qbo+$L200)+hQs*SIN(2*PI()*$I200/qbo+$L200))*(hCs*SIN(2*PI()*$I200/cw)+hCc*COS(2*PI()*$I200/cw))</f>
        <v>-210.54189118188907</v>
      </c>
      <c r="K200">
        <f>fQc*COS(2*PI()*$I200/qbo+$L200)+fQs*SIN(2*PI()*$I200/qbo+$L200)+fCs*SIN(2*PI()*$I200/cw)+fCc*COS(2*PI()*$I200/cw)</f>
        <v>-0.25562351695961438</v>
      </c>
      <c r="L200">
        <f>+QMA*COS(2*PI()*$I200/QM+QMP)</f>
        <v>0.85352916580579541</v>
      </c>
      <c r="P200">
        <f t="shared" si="14"/>
        <v>1</v>
      </c>
    </row>
    <row r="201" spans="1:16" x14ac:dyDescent="0.25">
      <c r="A201" s="1"/>
      <c r="B201" t="s">
        <v>214</v>
      </c>
      <c r="C201" t="s">
        <v>24</v>
      </c>
      <c r="D201" s="3">
        <v>7.958333333333333</v>
      </c>
      <c r="E201" s="5">
        <f t="shared" si="10"/>
        <v>1840</v>
      </c>
      <c r="F201">
        <v>0.37686999999999998</v>
      </c>
      <c r="G201">
        <f t="shared" si="11"/>
        <v>1.48078</v>
      </c>
      <c r="H201">
        <f t="shared" si="12"/>
        <v>1.48078</v>
      </c>
      <c r="I201" s="5">
        <f t="shared" si="13"/>
        <v>1840</v>
      </c>
      <c r="J201">
        <f>+H201+CF*F201*(1+($I201-1850)*slope/1000)+F201*hQc*COS(2*PI()*$I201/qbo+$L201)+F201*hQs*SIN(2*PI()*$I201/qbo+$L201)+F201*hCs*SIN(2*PI()*$I201/cw)+F201*hCc*COS(2*PI()*$I201/cw) +mix*F201*(hQc*COS(2*PI()*$I201/qbo+$L201)+hQs*SIN(2*PI()*$I201/qbo+$L201))*(hCs*SIN(2*PI()*$I201/cw)+hCc*COS(2*PI()*$I201/cw))</f>
        <v>6.0479337158414861</v>
      </c>
      <c r="K201">
        <f>fQc*COS(2*PI()*$I201/qbo+$L201)+fQs*SIN(2*PI()*$I201/qbo+$L201)+fCs*SIN(2*PI()*$I201/cw)+fCc*COS(2*PI()*$I201/cw)</f>
        <v>0.4145980734989092</v>
      </c>
      <c r="L201">
        <f>+QMA*COS(2*PI()*$I201/QM+QMP)</f>
        <v>1.101899953578146</v>
      </c>
      <c r="P201">
        <f t="shared" si="14"/>
        <v>1</v>
      </c>
    </row>
    <row r="202" spans="1:16" x14ac:dyDescent="0.25">
      <c r="A202" s="1"/>
      <c r="B202" t="s">
        <v>215</v>
      </c>
      <c r="C202" t="s">
        <v>24</v>
      </c>
      <c r="D202" s="3">
        <v>8</v>
      </c>
      <c r="E202" s="5">
        <f t="shared" si="10"/>
        <v>1841</v>
      </c>
      <c r="F202">
        <v>6.5110000000000001E-2</v>
      </c>
      <c r="G202">
        <f t="shared" si="11"/>
        <v>-0.61817000000000011</v>
      </c>
      <c r="H202">
        <f t="shared" si="12"/>
        <v>-0.61817000000000011</v>
      </c>
      <c r="I202" s="5">
        <f t="shared" si="13"/>
        <v>1841</v>
      </c>
      <c r="J202">
        <f>+H202+CF*F202*(1+($I202-1850)*slope/1000)+F202*hQc*COS(2*PI()*$I202/qbo+$L202)+F202*hQs*SIN(2*PI()*$I202/qbo+$L202)+F202*hCs*SIN(2*PI()*$I202/cw)+F202*hCc*COS(2*PI()*$I202/cw) +mix*F202*(hQc*COS(2*PI()*$I202/qbo+$L202)+hQs*SIN(2*PI()*$I202/qbo+$L202))*(hCs*SIN(2*PI()*$I202/cw)+hCc*COS(2*PI()*$I202/cw))</f>
        <v>-8.0953934739944788</v>
      </c>
      <c r="K202">
        <f>fQc*COS(2*PI()*$I202/qbo+$L202)+fQs*SIN(2*PI()*$I202/qbo+$L202)+fCs*SIN(2*PI()*$I202/cw)+fCc*COS(2*PI()*$I202/cw)</f>
        <v>-0.11957381010749302</v>
      </c>
      <c r="L202">
        <f>+QMA*COS(2*PI()*$I202/QM+QMP)</f>
        <v>1.3281373087661352</v>
      </c>
      <c r="P202">
        <f t="shared" si="14"/>
        <v>1</v>
      </c>
    </row>
    <row r="203" spans="1:16" x14ac:dyDescent="0.25">
      <c r="A203" s="1"/>
      <c r="B203" t="s">
        <v>216</v>
      </c>
      <c r="C203" t="s">
        <v>24</v>
      </c>
      <c r="D203" s="3">
        <v>8.0416666666666661</v>
      </c>
      <c r="E203" s="5">
        <f t="shared" si="10"/>
        <v>1842</v>
      </c>
      <c r="F203">
        <v>-0.86482000000000003</v>
      </c>
      <c r="G203">
        <f t="shared" si="11"/>
        <v>1.83446</v>
      </c>
      <c r="H203">
        <f t="shared" si="12"/>
        <v>1.83446</v>
      </c>
      <c r="I203" s="5">
        <f t="shared" si="13"/>
        <v>1842</v>
      </c>
      <c r="J203">
        <f>+H203+CF*F203*(1+($I203-1850)*slope/1000)+F203*hQc*COS(2*PI()*$I203/qbo+$L203)+F203*hQs*SIN(2*PI()*$I203/qbo+$L203)+F203*hCs*SIN(2*PI()*$I203/cw)+F203*hCc*COS(2*PI()*$I203/cw) +mix*F203*(hQc*COS(2*PI()*$I203/qbo+$L203)+hQs*SIN(2*PI()*$I203/qbo+$L203))*(hCs*SIN(2*PI()*$I203/cw)+hCc*COS(2*PI()*$I203/cw))</f>
        <v>65.902580146561647</v>
      </c>
      <c r="K203">
        <f>fQc*COS(2*PI()*$I203/qbo+$L203)+fQs*SIN(2*PI()*$I203/qbo+$L203)+fCs*SIN(2*PI()*$I203/cw)+fCc*COS(2*PI()*$I203/cw)</f>
        <v>2.7282917619215081</v>
      </c>
      <c r="L203">
        <f>+QMA*COS(2*PI()*$I203/QM+QMP)</f>
        <v>1.5276968902681609</v>
      </c>
      <c r="P203">
        <f t="shared" si="14"/>
        <v>1</v>
      </c>
    </row>
    <row r="204" spans="1:16" x14ac:dyDescent="0.25">
      <c r="A204" s="1"/>
      <c r="B204" t="s">
        <v>217</v>
      </c>
      <c r="C204" t="s">
        <v>24</v>
      </c>
      <c r="D204" s="3">
        <v>8.0833333333333339</v>
      </c>
      <c r="E204" s="5">
        <f t="shared" si="10"/>
        <v>1843</v>
      </c>
      <c r="F204">
        <v>3.9710000000000002E-2</v>
      </c>
      <c r="G204">
        <f t="shared" si="11"/>
        <v>-0.38485000000000003</v>
      </c>
      <c r="H204">
        <f t="shared" si="12"/>
        <v>-0.38485000000000003</v>
      </c>
      <c r="I204" s="5">
        <f t="shared" si="13"/>
        <v>1843</v>
      </c>
      <c r="J204">
        <f>+H204+CF*F204*(1+($I204-1850)*slope/1000)+F204*hQc*COS(2*PI()*$I204/qbo+$L204)+F204*hQs*SIN(2*PI()*$I204/qbo+$L204)+F204*hCs*SIN(2*PI()*$I204/cw)+F204*hCc*COS(2*PI()*$I204/cw) +mix*F204*(hQc*COS(2*PI()*$I204/qbo+$L204)+hQs*SIN(2*PI()*$I204/qbo+$L204))*(hCs*SIN(2*PI()*$I204/cw)+hCc*COS(2*PI()*$I204/cw))</f>
        <v>8.5759610273329816</v>
      </c>
      <c r="K204">
        <f>fQc*COS(2*PI()*$I204/qbo+$L204)+fQs*SIN(2*PI()*$I204/qbo+$L204)+fCs*SIN(2*PI()*$I204/cw)+fCc*COS(2*PI()*$I204/cw)</f>
        <v>-4.6520433173115991</v>
      </c>
      <c r="L204">
        <f>+QMA*COS(2*PI()*$I204/QM+QMP)</f>
        <v>1.6965702229685364</v>
      </c>
      <c r="P204">
        <f t="shared" si="14"/>
        <v>0</v>
      </c>
    </row>
    <row r="205" spans="1:16" x14ac:dyDescent="0.25">
      <c r="A205" s="1"/>
      <c r="B205" t="s">
        <v>218</v>
      </c>
      <c r="C205" t="s">
        <v>24</v>
      </c>
      <c r="D205" s="3">
        <v>8.125</v>
      </c>
      <c r="E205" s="5">
        <f t="shared" ref="E205:E268" si="15">+E204+1</f>
        <v>1844</v>
      </c>
      <c r="F205">
        <v>0.55939000000000005</v>
      </c>
      <c r="G205">
        <f t="shared" ref="G205:G268" si="16">+(F206-F205)-(F205-F204)</f>
        <v>-0.66176000000000013</v>
      </c>
      <c r="H205">
        <f t="shared" ref="H205:H268" si="17">+G205</f>
        <v>-0.66176000000000013</v>
      </c>
      <c r="I205" s="5">
        <f t="shared" si="13"/>
        <v>1844</v>
      </c>
      <c r="J205">
        <f>+H205+CF*F205*(1+($I205-1850)*slope/1000)+F205*hQc*COS(2*PI()*$I205/qbo+$L205)+F205*hQs*SIN(2*PI()*$I205/qbo+$L205)+F205*hCs*SIN(2*PI()*$I205/cw)+F205*hCc*COS(2*PI()*$I205/cw) +mix*F205*(hQc*COS(2*PI()*$I205/qbo+$L205)+hQs*SIN(2*PI()*$I205/qbo+$L205))*(hCs*SIN(2*PI()*$I205/cw)+hCc*COS(2*PI()*$I205/cw))</f>
        <v>32.860985725789064</v>
      </c>
      <c r="K205">
        <f>fQc*COS(2*PI()*$I205/qbo+$L205)+fQs*SIN(2*PI()*$I205/qbo+$L205)+fCs*SIN(2*PI()*$I205/cw)+fCc*COS(2*PI()*$I205/cw)</f>
        <v>2.0617355371608381</v>
      </c>
      <c r="L205">
        <f>+QMA*COS(2*PI()*$I205/QM+QMP)</f>
        <v>1.8313652144069887</v>
      </c>
      <c r="P205">
        <f t="shared" si="14"/>
        <v>1</v>
      </c>
    </row>
    <row r="206" spans="1:16" x14ac:dyDescent="0.25">
      <c r="A206" s="1"/>
      <c r="B206" t="s">
        <v>219</v>
      </c>
      <c r="C206" t="s">
        <v>24</v>
      </c>
      <c r="D206" s="3">
        <v>8.1666666666666661</v>
      </c>
      <c r="E206" s="5">
        <f t="shared" si="15"/>
        <v>1845</v>
      </c>
      <c r="F206">
        <v>0.41731000000000001</v>
      </c>
      <c r="G206">
        <f t="shared" si="16"/>
        <v>0.73028999999999988</v>
      </c>
      <c r="H206">
        <f t="shared" si="17"/>
        <v>0.73028999999999988</v>
      </c>
      <c r="I206" s="5">
        <f t="shared" ref="I206:I269" si="18">+E206</f>
        <v>1845</v>
      </c>
      <c r="J206">
        <f>+H206+CF*F206*(1+($I206-1850)*slope/1000)+F206*hQc*COS(2*PI()*$I206/qbo+$L206)+F206*hQs*SIN(2*PI()*$I206/qbo+$L206)+F206*hCs*SIN(2*PI()*$I206/cw)+F206*hCc*COS(2*PI()*$I206/cw) +mix*F206*(hQc*COS(2*PI()*$I206/qbo+$L206)+hQs*SIN(2*PI()*$I206/qbo+$L206))*(hCs*SIN(2*PI()*$I206/cw)+hCc*COS(2*PI()*$I206/cw))</f>
        <v>-4.9719413170965439</v>
      </c>
      <c r="K206">
        <f>fQc*COS(2*PI()*$I206/qbo+$L206)+fQs*SIN(2*PI()*$I206/qbo+$L206)+fCs*SIN(2*PI()*$I206/cw)+fCc*COS(2*PI()*$I206/cw)</f>
        <v>1.4312482942353864</v>
      </c>
      <c r="L206">
        <f>+QMA*COS(2*PI()*$I206/QM+QMP)</f>
        <v>1.9293742904104034</v>
      </c>
      <c r="P206">
        <f t="shared" ref="P206:P269" si="19">+IF(J206*K206&gt;0,1, 0)</f>
        <v>0</v>
      </c>
    </row>
    <row r="207" spans="1:16" x14ac:dyDescent="0.25">
      <c r="A207" s="1"/>
      <c r="B207" t="s">
        <v>220</v>
      </c>
      <c r="C207" t="s">
        <v>24</v>
      </c>
      <c r="D207" s="3">
        <v>8.2083333333333339</v>
      </c>
      <c r="E207" s="5">
        <f t="shared" si="15"/>
        <v>1846</v>
      </c>
      <c r="F207">
        <v>1.00552</v>
      </c>
      <c r="G207">
        <f t="shared" si="16"/>
        <v>-2.6277099999999995</v>
      </c>
      <c r="H207">
        <f t="shared" si="17"/>
        <v>-2.6277099999999995</v>
      </c>
      <c r="I207" s="5">
        <f t="shared" si="18"/>
        <v>1846</v>
      </c>
      <c r="J207">
        <f>+H207+CF*F207*(1+($I207-1850)*slope/1000)+F207*hQc*COS(2*PI()*$I207/qbo+$L207)+F207*hQs*SIN(2*PI()*$I207/qbo+$L207)+F207*hCs*SIN(2*PI()*$I207/cw)+F207*hCc*COS(2*PI()*$I207/cw) +mix*F207*(hQc*COS(2*PI()*$I207/qbo+$L207)+hQs*SIN(2*PI()*$I207/qbo+$L207))*(hCs*SIN(2*PI()*$I207/cw)+hCc*COS(2*PI()*$I207/cw))</f>
        <v>32.416046035240377</v>
      </c>
      <c r="K207">
        <f>fQc*COS(2*PI()*$I207/qbo+$L207)+fQs*SIN(2*PI()*$I207/qbo+$L207)+fCs*SIN(2*PI()*$I207/cw)+fCc*COS(2*PI()*$I207/cw)</f>
        <v>-1.7232162498252084</v>
      </c>
      <c r="L207">
        <f>+QMA*COS(2*PI()*$I207/QM+QMP)</f>
        <v>1.9886287810742127</v>
      </c>
      <c r="P207">
        <f t="shared" si="19"/>
        <v>0</v>
      </c>
    </row>
    <row r="208" spans="1:16" x14ac:dyDescent="0.25">
      <c r="A208" s="1"/>
      <c r="B208" t="s">
        <v>221</v>
      </c>
      <c r="C208" t="s">
        <v>24</v>
      </c>
      <c r="D208" s="3">
        <v>8.25</v>
      </c>
      <c r="E208" s="5">
        <f t="shared" si="15"/>
        <v>1847</v>
      </c>
      <c r="F208">
        <v>-1.0339799999999999</v>
      </c>
      <c r="G208">
        <f t="shared" si="16"/>
        <v>3.3584299999999998</v>
      </c>
      <c r="H208">
        <f t="shared" si="17"/>
        <v>3.3584299999999998</v>
      </c>
      <c r="I208" s="5">
        <f t="shared" si="18"/>
        <v>1847</v>
      </c>
      <c r="J208">
        <f>+H208+CF*F208*(1+($I208-1850)*slope/1000)+F208*hQc*COS(2*PI()*$I208/qbo+$L208)+F208*hQs*SIN(2*PI()*$I208/qbo+$L208)+F208*hCs*SIN(2*PI()*$I208/cw)+F208*hCc*COS(2*PI()*$I208/cw) +mix*F208*(hQc*COS(2*PI()*$I208/qbo+$L208)+hQs*SIN(2*PI()*$I208/qbo+$L208))*(hCs*SIN(2*PI()*$I208/cw)+hCc*COS(2*PI()*$I208/cw))</f>
        <v>241.63853351178821</v>
      </c>
      <c r="K208">
        <f>fQc*COS(2*PI()*$I208/qbo+$L208)+fQs*SIN(2*PI()*$I208/qbo+$L208)+fCs*SIN(2*PI()*$I208/cw)+fCc*COS(2*PI()*$I208/cw)</f>
        <v>1.3997892973221957</v>
      </c>
      <c r="L208">
        <f>+QMA*COS(2*PI()*$I208/QM+QMP)</f>
        <v>2.007938464663575</v>
      </c>
      <c r="P208">
        <f t="shared" si="19"/>
        <v>1</v>
      </c>
    </row>
    <row r="209" spans="1:16" x14ac:dyDescent="0.25">
      <c r="A209" s="1"/>
      <c r="B209" t="s">
        <v>222</v>
      </c>
      <c r="C209" t="s">
        <v>24</v>
      </c>
      <c r="D209" s="3">
        <v>8.2916666666666661</v>
      </c>
      <c r="E209" s="5">
        <f t="shared" si="15"/>
        <v>1848</v>
      </c>
      <c r="F209">
        <v>0.28494999999999998</v>
      </c>
      <c r="G209">
        <f t="shared" si="16"/>
        <v>-1.40743</v>
      </c>
      <c r="H209">
        <f t="shared" si="17"/>
        <v>-1.40743</v>
      </c>
      <c r="I209" s="5">
        <f t="shared" si="18"/>
        <v>1848</v>
      </c>
      <c r="J209">
        <f>+H209+CF*F209*(1+($I209-1850)*slope/1000)+F209*hQc*COS(2*PI()*$I209/qbo+$L209)+F209*hQs*SIN(2*PI()*$I209/qbo+$L209)+F209*hCs*SIN(2*PI()*$I209/cw)+F209*hCc*COS(2*PI()*$I209/cw) +mix*F209*(hQc*COS(2*PI()*$I209/qbo+$L209)+hQs*SIN(2*PI()*$I209/qbo+$L209))*(hCs*SIN(2*PI()*$I209/cw)+hCc*COS(2*PI()*$I209/cw))</f>
        <v>-10.611855364752319</v>
      </c>
      <c r="K209">
        <f>fQc*COS(2*PI()*$I209/qbo+$L209)+fQs*SIN(2*PI()*$I209/qbo+$L209)+fCs*SIN(2*PI()*$I209/cw)+fCc*COS(2*PI()*$I209/cw)</f>
        <v>-2.757509493544172</v>
      </c>
      <c r="L209">
        <f>+QMA*COS(2*PI()*$I209/QM+QMP)</f>
        <v>1.9869154751307796</v>
      </c>
      <c r="P209">
        <f t="shared" si="19"/>
        <v>1</v>
      </c>
    </row>
    <row r="210" spans="1:16" x14ac:dyDescent="0.25">
      <c r="A210" s="1"/>
      <c r="B210" t="s">
        <v>223</v>
      </c>
      <c r="C210" t="s">
        <v>24</v>
      </c>
      <c r="D210" s="3">
        <v>8.3333333333333339</v>
      </c>
      <c r="E210" s="5">
        <f t="shared" si="15"/>
        <v>1849</v>
      </c>
      <c r="F210">
        <v>0.19645000000000001</v>
      </c>
      <c r="G210">
        <f t="shared" si="16"/>
        <v>-9.4840000000000035E-2</v>
      </c>
      <c r="H210">
        <f t="shared" si="17"/>
        <v>-9.4840000000000035E-2</v>
      </c>
      <c r="I210" s="5">
        <f t="shared" si="18"/>
        <v>1849</v>
      </c>
      <c r="J210">
        <f>+H210+CF*F210*(1+($I210-1850)*slope/1000)+F210*hQc*COS(2*PI()*$I210/qbo+$L210)+F210*hQs*SIN(2*PI()*$I210/qbo+$L210)+F210*hCs*SIN(2*PI()*$I210/cw)+F210*hCc*COS(2*PI()*$I210/cw) +mix*F210*(hQc*COS(2*PI()*$I210/qbo+$L210)+hQs*SIN(2*PI()*$I210/qbo+$L210))*(hCs*SIN(2*PI()*$I210/cw)+hCc*COS(2*PI()*$I210/cw))</f>
        <v>9.0417121221078425</v>
      </c>
      <c r="K210">
        <f>fQc*COS(2*PI()*$I210/qbo+$L210)+fQs*SIN(2*PI()*$I210/qbo+$L210)+fCs*SIN(2*PI()*$I210/cw)+fCc*COS(2*PI()*$I210/cw)</f>
        <v>2.0196782840727221</v>
      </c>
      <c r="L210">
        <f>+QMA*COS(2*PI()*$I210/QM+QMP)</f>
        <v>1.9259820930286582</v>
      </c>
      <c r="P210">
        <f t="shared" si="19"/>
        <v>1</v>
      </c>
    </row>
    <row r="211" spans="1:16" x14ac:dyDescent="0.25">
      <c r="A211" s="1"/>
      <c r="B211" t="s">
        <v>224</v>
      </c>
      <c r="C211" t="s">
        <v>24</v>
      </c>
      <c r="D211" s="3">
        <v>8.375</v>
      </c>
      <c r="E211" s="5">
        <f t="shared" si="15"/>
        <v>1850</v>
      </c>
      <c r="F211">
        <v>1.311E-2</v>
      </c>
      <c r="G211">
        <f t="shared" si="16"/>
        <v>-0.64488999999999996</v>
      </c>
      <c r="H211">
        <f t="shared" si="17"/>
        <v>-0.64488999999999996</v>
      </c>
      <c r="I211" s="5">
        <f t="shared" si="18"/>
        <v>1850</v>
      </c>
      <c r="J211">
        <f>+H211+CF*F211*(1+($I211-1850)*slope/1000)+F211*hQc*COS(2*PI()*$I211/qbo+$L211)+F211*hQs*SIN(2*PI()*$I211/qbo+$L211)+F211*hCs*SIN(2*PI()*$I211/cw)+F211*hCc*COS(2*PI()*$I211/cw) +mix*F211*(hQc*COS(2*PI()*$I211/qbo+$L211)+hQs*SIN(2*PI()*$I211/qbo+$L211))*(hCs*SIN(2*PI()*$I211/cw)+hCc*COS(2*PI()*$I211/cw))</f>
        <v>-0.77684610403445808</v>
      </c>
      <c r="K211">
        <f>fQc*COS(2*PI()*$I211/qbo+$L211)+fQs*SIN(2*PI()*$I211/qbo+$L211)+fCs*SIN(2*PI()*$I211/cw)+fCc*COS(2*PI()*$I211/cw)</f>
        <v>2.4082842764374282</v>
      </c>
      <c r="L211">
        <f>+QMA*COS(2*PI()*$I211/QM+QMP)</f>
        <v>1.8263622633264942</v>
      </c>
      <c r="P211">
        <f t="shared" si="19"/>
        <v>0</v>
      </c>
    </row>
    <row r="212" spans="1:16" x14ac:dyDescent="0.25">
      <c r="A212" s="1"/>
      <c r="B212" t="s">
        <v>225</v>
      </c>
      <c r="C212" t="s">
        <v>24</v>
      </c>
      <c r="D212" s="3">
        <v>8.4166666666666661</v>
      </c>
      <c r="E212" s="5">
        <f t="shared" si="15"/>
        <v>1851</v>
      </c>
      <c r="F212">
        <v>-0.81511999999999996</v>
      </c>
      <c r="G212">
        <f t="shared" si="16"/>
        <v>3.0331700000000001</v>
      </c>
      <c r="H212">
        <f t="shared" si="17"/>
        <v>3.0331700000000001</v>
      </c>
      <c r="I212" s="5">
        <f t="shared" si="18"/>
        <v>1851</v>
      </c>
      <c r="J212">
        <f>+H212+CF*F212*(1+($I212-1850)*slope/1000)+F212*hQc*COS(2*PI()*$I212/qbo+$L212)+F212*hQs*SIN(2*PI()*$I212/qbo+$L212)+F212*hCs*SIN(2*PI()*$I212/cw)+F212*hCc*COS(2*PI()*$I212/cw) +mix*F212*(hQc*COS(2*PI()*$I212/qbo+$L212)+hQs*SIN(2*PI()*$I212/qbo+$L212))*(hCs*SIN(2*PI()*$I212/cw)+hCc*COS(2*PI()*$I212/cw))</f>
        <v>-192.43627584161612</v>
      </c>
      <c r="K212">
        <f>fQc*COS(2*PI()*$I212/qbo+$L212)+fQs*SIN(2*PI()*$I212/qbo+$L212)+fCs*SIN(2*PI()*$I212/cw)+fCc*COS(2*PI()*$I212/cw)</f>
        <v>-4.6578026338832039</v>
      </c>
      <c r="L212">
        <f>+QMA*COS(2*PI()*$I212/QM+QMP)</f>
        <v>1.6900570105071622</v>
      </c>
      <c r="P212">
        <f t="shared" si="19"/>
        <v>1</v>
      </c>
    </row>
    <row r="213" spans="1:16" x14ac:dyDescent="0.25">
      <c r="A213" s="1"/>
      <c r="B213" t="s">
        <v>226</v>
      </c>
      <c r="C213" t="s">
        <v>24</v>
      </c>
      <c r="D213" s="3">
        <v>8.4583333333333339</v>
      </c>
      <c r="E213" s="5">
        <f t="shared" si="15"/>
        <v>1852</v>
      </c>
      <c r="F213">
        <v>1.3898200000000001</v>
      </c>
      <c r="G213">
        <f t="shared" si="16"/>
        <v>-2.8027600000000001</v>
      </c>
      <c r="H213">
        <f t="shared" si="17"/>
        <v>-2.8027600000000001</v>
      </c>
      <c r="I213" s="5">
        <f t="shared" si="18"/>
        <v>1852</v>
      </c>
      <c r="J213">
        <f>+H213+CF*F213*(1+($I213-1850)*slope/1000)+F213*hQc*COS(2*PI()*$I213/qbo+$L213)+F213*hQs*SIN(2*PI()*$I213/qbo+$L213)+F213*hCs*SIN(2*PI()*$I213/cw)+F213*hCc*COS(2*PI()*$I213/cw) +mix*F213*(hQc*COS(2*PI()*$I213/qbo+$L213)+hQs*SIN(2*PI()*$I213/qbo+$L213))*(hCs*SIN(2*PI()*$I213/cw)+hCc*COS(2*PI()*$I213/cw))</f>
        <v>9.1835757521017385</v>
      </c>
      <c r="K213">
        <f>fQc*COS(2*PI()*$I213/qbo+$L213)+fQs*SIN(2*PI()*$I213/qbo+$L213)+fCs*SIN(2*PI()*$I213/cw)+fCc*COS(2*PI()*$I213/cw)</f>
        <v>1.1902112640295415</v>
      </c>
      <c r="L213">
        <f>+QMA*COS(2*PI()*$I213/QM+QMP)</f>
        <v>1.5198042447724409</v>
      </c>
      <c r="P213">
        <f t="shared" si="19"/>
        <v>1</v>
      </c>
    </row>
    <row r="214" spans="1:16" x14ac:dyDescent="0.25">
      <c r="A214" s="1"/>
      <c r="B214" t="s">
        <v>227</v>
      </c>
      <c r="C214" t="s">
        <v>24</v>
      </c>
      <c r="D214" s="3">
        <v>8.5</v>
      </c>
      <c r="E214" s="5">
        <f t="shared" si="15"/>
        <v>1853</v>
      </c>
      <c r="F214">
        <v>0.79200000000000004</v>
      </c>
      <c r="G214">
        <f t="shared" si="16"/>
        <v>-0.41556999999999999</v>
      </c>
      <c r="H214">
        <f t="shared" si="17"/>
        <v>-0.41556999999999999</v>
      </c>
      <c r="I214" s="5">
        <f t="shared" si="18"/>
        <v>1853</v>
      </c>
      <c r="J214">
        <f>+H214+CF*F214*(1+($I214-1850)*slope/1000)+F214*hQc*COS(2*PI()*$I214/qbo+$L214)+F214*hQs*SIN(2*PI()*$I214/qbo+$L214)+F214*hCs*SIN(2*PI()*$I214/cw)+F214*hCc*COS(2*PI()*$I214/cw) +mix*F214*(hQc*COS(2*PI()*$I214/qbo+$L214)+hQs*SIN(2*PI()*$I214/qbo+$L214))*(hCs*SIN(2*PI()*$I214/cw)+hCc*COS(2*PI()*$I214/cw))</f>
        <v>77.033618931728938</v>
      </c>
      <c r="K214">
        <f>fQc*COS(2*PI()*$I214/qbo+$L214)+fQs*SIN(2*PI()*$I214/qbo+$L214)+fCs*SIN(2*PI()*$I214/cw)+fCc*COS(2*PI()*$I214/cw)</f>
        <v>2.7660745728114762</v>
      </c>
      <c r="L214">
        <f>+QMA*COS(2*PI()*$I214/QM+QMP)</f>
        <v>1.3190237667134674</v>
      </c>
      <c r="P214">
        <f t="shared" si="19"/>
        <v>1</v>
      </c>
    </row>
    <row r="215" spans="1:16" x14ac:dyDescent="0.25">
      <c r="A215" s="1"/>
      <c r="B215" t="s">
        <v>228</v>
      </c>
      <c r="C215" t="s">
        <v>24</v>
      </c>
      <c r="D215" s="3">
        <v>8.5416666666666661</v>
      </c>
      <c r="E215" s="5">
        <f t="shared" si="15"/>
        <v>1854</v>
      </c>
      <c r="F215">
        <v>-0.22139</v>
      </c>
      <c r="G215">
        <f t="shared" si="16"/>
        <v>0.86353000000000002</v>
      </c>
      <c r="H215">
        <f t="shared" si="17"/>
        <v>0.86353000000000002</v>
      </c>
      <c r="I215" s="5">
        <f t="shared" si="18"/>
        <v>1854</v>
      </c>
      <c r="J215">
        <f>+H215+CF*F215*(1+($I215-1850)*slope/1000)+F215*hQc*COS(2*PI()*$I215/qbo+$L215)+F215*hQs*SIN(2*PI()*$I215/qbo+$L215)+F215*hCs*SIN(2*PI()*$I215/cw)+F215*hCc*COS(2*PI()*$I215/cw) +mix*F215*(hQc*COS(2*PI()*$I215/qbo+$L215)+hQs*SIN(2*PI()*$I215/qbo+$L215))*(hCs*SIN(2*PI()*$I215/cw)+hCc*COS(2*PI()*$I215/cw))</f>
        <v>3.3793705497837161</v>
      </c>
      <c r="K215">
        <f>fQc*COS(2*PI()*$I215/qbo+$L215)+fQs*SIN(2*PI()*$I215/qbo+$L215)+fCs*SIN(2*PI()*$I215/cw)+fCc*COS(2*PI()*$I215/cw)</f>
        <v>-2.4676598740202396</v>
      </c>
      <c r="L215">
        <f>+QMA*COS(2*PI()*$I215/QM+QMP)</f>
        <v>1.0917485751164959</v>
      </c>
      <c r="P215">
        <f t="shared" si="19"/>
        <v>0</v>
      </c>
    </row>
    <row r="216" spans="1:16" x14ac:dyDescent="0.25">
      <c r="A216" s="1"/>
      <c r="B216" t="s">
        <v>229</v>
      </c>
      <c r="C216" t="s">
        <v>24</v>
      </c>
      <c r="D216" s="3">
        <v>8.5833333333333339</v>
      </c>
      <c r="E216" s="5">
        <f t="shared" si="15"/>
        <v>1855</v>
      </c>
      <c r="F216">
        <v>-0.37125000000000002</v>
      </c>
      <c r="G216">
        <f t="shared" si="16"/>
        <v>2.0419100000000001</v>
      </c>
      <c r="H216">
        <f t="shared" si="17"/>
        <v>2.0419100000000001</v>
      </c>
      <c r="I216" s="5">
        <f t="shared" si="18"/>
        <v>1855</v>
      </c>
      <c r="J216">
        <f>+H216+CF*F216*(1+($I216-1850)*slope/1000)+F216*hQc*COS(2*PI()*$I216/qbo+$L216)+F216*hQs*SIN(2*PI()*$I216/qbo+$L216)+F216*hCs*SIN(2*PI()*$I216/cw)+F216*hCc*COS(2*PI()*$I216/cw) +mix*F216*(hQc*COS(2*PI()*$I216/qbo+$L216)+hQs*SIN(2*PI()*$I216/qbo+$L216))*(hCs*SIN(2*PI()*$I216/cw)+hCc*COS(2*PI()*$I216/cw))</f>
        <v>63.671713720816015</v>
      </c>
      <c r="K216">
        <f>fQc*COS(2*PI()*$I216/qbo+$L216)+fQs*SIN(2*PI()*$I216/qbo+$L216)+fCs*SIN(2*PI()*$I216/cw)+fCc*COS(2*PI()*$I216/cw)</f>
        <v>0.52431744980909079</v>
      </c>
      <c r="L216">
        <f>+QMA*COS(2*PI()*$I216/QM+QMP)</f>
        <v>0.84254385769646956</v>
      </c>
      <c r="P216">
        <f t="shared" si="19"/>
        <v>1</v>
      </c>
    </row>
    <row r="217" spans="1:16" x14ac:dyDescent="0.25">
      <c r="A217" s="1"/>
      <c r="B217" t="s">
        <v>230</v>
      </c>
      <c r="C217" t="s">
        <v>24</v>
      </c>
      <c r="D217" s="3">
        <v>8.625</v>
      </c>
      <c r="E217" s="5">
        <f t="shared" si="15"/>
        <v>1856</v>
      </c>
      <c r="F217">
        <v>1.5207999999999999</v>
      </c>
      <c r="G217">
        <f t="shared" si="16"/>
        <v>-3.7130200000000002</v>
      </c>
      <c r="H217">
        <f t="shared" si="17"/>
        <v>-3.7130200000000002</v>
      </c>
      <c r="I217" s="5">
        <f t="shared" si="18"/>
        <v>1856</v>
      </c>
      <c r="J217">
        <f>+H217+CF*F217*(1+($I217-1850)*slope/1000)+F217*hQc*COS(2*PI()*$I217/qbo+$L217)+F217*hQs*SIN(2*PI()*$I217/qbo+$L217)+F217*hCs*SIN(2*PI()*$I217/cw)+F217*hCc*COS(2*PI()*$I217/cw) +mix*F217*(hQc*COS(2*PI()*$I217/qbo+$L217)+hQs*SIN(2*PI()*$I217/qbo+$L217))*(hCs*SIN(2*PI()*$I217/cw)+hCc*COS(2*PI()*$I217/cw))</f>
        <v>-12.126773596707903</v>
      </c>
      <c r="K217">
        <f>fQc*COS(2*PI()*$I217/qbo+$L217)+fQs*SIN(2*PI()*$I217/qbo+$L217)+fCs*SIN(2*PI()*$I217/cw)+fCc*COS(2*PI()*$I217/cw)</f>
        <v>0.26583392296858122</v>
      </c>
      <c r="L217">
        <f>+QMA*COS(2*PI()*$I217/QM+QMP)</f>
        <v>0.57641529196057339</v>
      </c>
      <c r="P217">
        <f t="shared" si="19"/>
        <v>0</v>
      </c>
    </row>
    <row r="218" spans="1:16" x14ac:dyDescent="0.25">
      <c r="A218" s="1"/>
      <c r="B218" t="s">
        <v>231</v>
      </c>
      <c r="C218" t="s">
        <v>24</v>
      </c>
      <c r="D218" s="3">
        <v>8.6666666666666661</v>
      </c>
      <c r="E218" s="5">
        <f t="shared" si="15"/>
        <v>1857</v>
      </c>
      <c r="F218">
        <v>-0.30016999999999999</v>
      </c>
      <c r="G218">
        <f t="shared" si="16"/>
        <v>2.5389900000000001</v>
      </c>
      <c r="H218">
        <f t="shared" si="17"/>
        <v>2.5389900000000001</v>
      </c>
      <c r="I218" s="5">
        <f t="shared" si="18"/>
        <v>1857</v>
      </c>
      <c r="J218">
        <f>+H218+CF*F218*(1+($I218-1850)*slope/1000)+F218*hQc*COS(2*PI()*$I218/qbo+$L218)+F218*hQs*SIN(2*PI()*$I218/qbo+$L218)+F218*hCs*SIN(2*PI()*$I218/cw)+F218*hCc*COS(2*PI()*$I218/cw) +mix*F218*(hQc*COS(2*PI()*$I218/qbo+$L218)+hQs*SIN(2*PI()*$I218/qbo+$L218))*(hCs*SIN(2*PI()*$I218/cw)+hCc*COS(2*PI()*$I218/cw))</f>
        <v>72.659811954646401</v>
      </c>
      <c r="K218">
        <f>fQc*COS(2*PI()*$I218/qbo+$L218)+fQs*SIN(2*PI()*$I218/qbo+$L218)+fCs*SIN(2*PI()*$I218/cw)+fCc*COS(2*PI()*$I218/cw)</f>
        <v>-1.536325282071656</v>
      </c>
      <c r="L218">
        <f>+QMA*COS(2*PI()*$I218/QM+QMP)</f>
        <v>0.29870849812547262</v>
      </c>
      <c r="P218">
        <f t="shared" si="19"/>
        <v>0</v>
      </c>
    </row>
    <row r="219" spans="1:16" x14ac:dyDescent="0.25">
      <c r="A219" s="1"/>
      <c r="B219" t="s">
        <v>232</v>
      </c>
      <c r="C219" t="s">
        <v>24</v>
      </c>
      <c r="D219" s="3">
        <v>8.7083333333333339</v>
      </c>
      <c r="E219" s="5">
        <f t="shared" si="15"/>
        <v>1858</v>
      </c>
      <c r="F219">
        <v>0.41785</v>
      </c>
      <c r="G219">
        <f t="shared" si="16"/>
        <v>-1.84158</v>
      </c>
      <c r="H219">
        <f t="shared" si="17"/>
        <v>-1.84158</v>
      </c>
      <c r="I219" s="5">
        <f t="shared" si="18"/>
        <v>1858</v>
      </c>
      <c r="J219">
        <f>+H219+CF*F219*(1+($I219-1850)*slope/1000)+F219*hQc*COS(2*PI()*$I219/qbo+$L219)+F219*hQs*SIN(2*PI()*$I219/qbo+$L219)+F219*hCs*SIN(2*PI()*$I219/cw)+F219*hCc*COS(2*PI()*$I219/cw) +mix*F219*(hQc*COS(2*PI()*$I219/qbo+$L219)+hQs*SIN(2*PI()*$I219/qbo+$L219))*(hCs*SIN(2*PI()*$I219/cw)+hCc*COS(2*PI()*$I219/cw))</f>
        <v>12.599597814376526</v>
      </c>
      <c r="K219">
        <f>fQc*COS(2*PI()*$I219/qbo+$L219)+fQs*SIN(2*PI()*$I219/qbo+$L219)+fCs*SIN(2*PI()*$I219/cw)+fCc*COS(2*PI()*$I219/cw)</f>
        <v>2.836827184853286</v>
      </c>
      <c r="L219">
        <f>+QMA*COS(2*PI()*$I219/QM+QMP)</f>
        <v>1.5001663738472349E-2</v>
      </c>
      <c r="P219">
        <f t="shared" si="19"/>
        <v>1</v>
      </c>
    </row>
    <row r="220" spans="1:16" x14ac:dyDescent="0.25">
      <c r="A220" s="1"/>
      <c r="B220" t="s">
        <v>233</v>
      </c>
      <c r="C220" t="s">
        <v>24</v>
      </c>
      <c r="D220" s="3">
        <v>8.75</v>
      </c>
      <c r="E220" s="5">
        <f t="shared" si="15"/>
        <v>1859</v>
      </c>
      <c r="F220">
        <v>-0.70570999999999995</v>
      </c>
      <c r="G220">
        <f t="shared" si="16"/>
        <v>0.71167999999999976</v>
      </c>
      <c r="H220">
        <f t="shared" si="17"/>
        <v>0.71167999999999976</v>
      </c>
      <c r="I220" s="5">
        <f t="shared" si="18"/>
        <v>1859</v>
      </c>
      <c r="J220">
        <f>+H220+CF*F220*(1+($I220-1850)*slope/1000)+F220*hQc*COS(2*PI()*$I220/qbo+$L220)+F220*hQs*SIN(2*PI()*$I220/qbo+$L220)+F220*hCs*SIN(2*PI()*$I220/cw)+F220*hCc*COS(2*PI()*$I220/cw) +mix*F220*(hQc*COS(2*PI()*$I220/qbo+$L220)+hQs*SIN(2*PI()*$I220/qbo+$L220))*(hCs*SIN(2*PI()*$I220/cw)+hCc*COS(2*PI()*$I220/cw))</f>
        <v>50.459195731971647</v>
      </c>
      <c r="K220">
        <f>fQc*COS(2*PI()*$I220/qbo+$L220)+fQs*SIN(2*PI()*$I220/qbo+$L220)+fCs*SIN(2*PI()*$I220/cw)+fCc*COS(2*PI()*$I220/cw)</f>
        <v>-0.4568357821442286</v>
      </c>
      <c r="L220">
        <f>+QMA*COS(2*PI()*$I220/QM+QMP)</f>
        <v>-0.26900650318970254</v>
      </c>
      <c r="P220">
        <f t="shared" si="19"/>
        <v>0</v>
      </c>
    </row>
    <row r="221" spans="1:16" x14ac:dyDescent="0.25">
      <c r="A221" s="1"/>
      <c r="B221" t="s">
        <v>234</v>
      </c>
      <c r="C221" t="s">
        <v>24</v>
      </c>
      <c r="D221" s="3">
        <v>8.7916666666666661</v>
      </c>
      <c r="E221" s="5">
        <f t="shared" si="15"/>
        <v>1860</v>
      </c>
      <c r="F221">
        <v>-1.1175900000000001</v>
      </c>
      <c r="G221">
        <f t="shared" si="16"/>
        <v>0.52851000000000015</v>
      </c>
      <c r="H221">
        <f t="shared" si="17"/>
        <v>0.52851000000000015</v>
      </c>
      <c r="I221" s="5">
        <f t="shared" si="18"/>
        <v>1860</v>
      </c>
      <c r="J221">
        <f>+H221+CF*F221*(1+($I221-1850)*slope/1000)+F221*hQc*COS(2*PI()*$I221/qbo+$L221)+F221*hQs*SIN(2*PI()*$I221/qbo+$L221)+F221*hCs*SIN(2*PI()*$I221/cw)+F221*hCc*COS(2*PI()*$I221/cw) +mix*F221*(hQc*COS(2*PI()*$I221/qbo+$L221)+hQs*SIN(2*PI()*$I221/qbo+$L221))*(hCs*SIN(2*PI()*$I221/cw)+hCc*COS(2*PI()*$I221/cw))</f>
        <v>-61.010759770011703</v>
      </c>
      <c r="K221">
        <f>fQc*COS(2*PI()*$I221/qbo+$L221)+fQs*SIN(2*PI()*$I221/qbo+$L221)+fCs*SIN(2*PI()*$I221/cw)+fCc*COS(2*PI()*$I221/cw)</f>
        <v>-3.8830756417514296</v>
      </c>
      <c r="L221">
        <f>+QMA*COS(2*PI()*$I221/QM+QMP)</f>
        <v>-0.5476112418993101</v>
      </c>
      <c r="P221">
        <f t="shared" si="19"/>
        <v>1</v>
      </c>
    </row>
    <row r="222" spans="1:16" x14ac:dyDescent="0.25">
      <c r="A222" s="1"/>
      <c r="B222" t="s">
        <v>235</v>
      </c>
      <c r="C222" t="s">
        <v>24</v>
      </c>
      <c r="D222" s="3">
        <v>8.8333333333333339</v>
      </c>
      <c r="E222" s="5">
        <f t="shared" si="15"/>
        <v>1861</v>
      </c>
      <c r="F222">
        <v>-1.0009600000000001</v>
      </c>
      <c r="G222">
        <f t="shared" si="16"/>
        <v>-0.15195000000000003</v>
      </c>
      <c r="H222">
        <f t="shared" si="17"/>
        <v>-0.15195000000000003</v>
      </c>
      <c r="I222" s="5">
        <f t="shared" si="18"/>
        <v>1861</v>
      </c>
      <c r="J222">
        <f>+H222+CF*F222*(1+($I222-1850)*slope/1000)+F222*hQc*COS(2*PI()*$I222/qbo+$L222)+F222*hQs*SIN(2*PI()*$I222/qbo+$L222)+F222*hCs*SIN(2*PI()*$I222/cw)+F222*hCc*COS(2*PI()*$I222/cw) +mix*F222*(hQc*COS(2*PI()*$I222/qbo+$L222)+hQs*SIN(2*PI()*$I222/qbo+$L222))*(hCs*SIN(2*PI()*$I222/cw)+hCc*COS(2*PI()*$I222/cw))</f>
        <v>-169.59262169131475</v>
      </c>
      <c r="K222">
        <f>fQc*COS(2*PI()*$I222/qbo+$L222)+fQs*SIN(2*PI()*$I222/qbo+$L222)+fCs*SIN(2*PI()*$I222/cw)+fCc*COS(2*PI()*$I222/cw)</f>
        <v>3.4358930322771313</v>
      </c>
      <c r="L222">
        <f>+QMA*COS(2*PI()*$I222/QM+QMP)</f>
        <v>-0.81521632817632905</v>
      </c>
      <c r="P222">
        <f t="shared" si="19"/>
        <v>0</v>
      </c>
    </row>
    <row r="223" spans="1:16" x14ac:dyDescent="0.25">
      <c r="A223" s="1"/>
      <c r="B223" t="s">
        <v>236</v>
      </c>
      <c r="C223" t="s">
        <v>24</v>
      </c>
      <c r="D223" s="3">
        <v>8.875</v>
      </c>
      <c r="E223" s="5">
        <f t="shared" si="15"/>
        <v>1862</v>
      </c>
      <c r="F223">
        <v>-1.0362800000000001</v>
      </c>
      <c r="G223">
        <f t="shared" si="16"/>
        <v>-0.14271999999999996</v>
      </c>
      <c r="H223">
        <f t="shared" si="17"/>
        <v>-0.14271999999999996</v>
      </c>
      <c r="I223" s="5">
        <f t="shared" si="18"/>
        <v>1862</v>
      </c>
      <c r="J223">
        <f>+H223+CF*F223*(1+($I223-1850)*slope/1000)+F223*hQc*COS(2*PI()*$I223/qbo+$L223)+F223*hQs*SIN(2*PI()*$I223/qbo+$L223)+F223*hCs*SIN(2*PI()*$I223/cw)+F223*hCc*COS(2*PI()*$I223/cw) +mix*F223*(hQc*COS(2*PI()*$I223/qbo+$L223)+hQs*SIN(2*PI()*$I223/qbo+$L223))*(hCs*SIN(2*PI()*$I223/cw)+hCc*COS(2*PI()*$I223/cw))</f>
        <v>-21.714775058323447</v>
      </c>
      <c r="K223">
        <f>fQc*COS(2*PI()*$I223/qbo+$L223)+fQs*SIN(2*PI()*$I223/qbo+$L223)+fCs*SIN(2*PI()*$I223/cw)+fCc*COS(2*PI()*$I223/cw)</f>
        <v>1.8064466971161668</v>
      </c>
      <c r="L223">
        <f>+QMA*COS(2*PI()*$I223/QM+QMP)</f>
        <v>-1.0664464835144669</v>
      </c>
      <c r="P223">
        <f t="shared" si="19"/>
        <v>0</v>
      </c>
    </row>
    <row r="224" spans="1:16" x14ac:dyDescent="0.25">
      <c r="A224" s="1"/>
      <c r="B224" t="s">
        <v>237</v>
      </c>
      <c r="C224" t="s">
        <v>24</v>
      </c>
      <c r="D224" s="3">
        <v>8.9166666666666661</v>
      </c>
      <c r="E224" s="5">
        <f t="shared" si="15"/>
        <v>1863</v>
      </c>
      <c r="F224">
        <v>-1.2143200000000001</v>
      </c>
      <c r="G224">
        <f t="shared" si="16"/>
        <v>-0.2688299999999999</v>
      </c>
      <c r="H224">
        <f t="shared" si="17"/>
        <v>-0.2688299999999999</v>
      </c>
      <c r="I224" s="5">
        <f t="shared" si="18"/>
        <v>1863</v>
      </c>
      <c r="J224">
        <f>+H224+CF*F224*(1+($I224-1850)*slope/1000)+F224*hQc*COS(2*PI()*$I224/qbo+$L224)+F224*hQs*SIN(2*PI()*$I224/qbo+$L224)+F224*hCs*SIN(2*PI()*$I224/cw)+F224*hCc*COS(2*PI()*$I224/cw) +mix*F224*(hQc*COS(2*PI()*$I224/qbo+$L224)+hQs*SIN(2*PI()*$I224/qbo+$L224))*(hCs*SIN(2*PI()*$I224/cw)+hCc*COS(2*PI()*$I224/cw))</f>
        <v>-255.16795567805951</v>
      </c>
      <c r="K224">
        <f>fQc*COS(2*PI()*$I224/qbo+$L224)+fQs*SIN(2*PI()*$I224/qbo+$L224)+fCs*SIN(2*PI()*$I224/cw)+fCc*COS(2*PI()*$I224/cw)</f>
        <v>-4.2307696402644073</v>
      </c>
      <c r="L224">
        <f>+QMA*COS(2*PI()*$I224/QM+QMP)</f>
        <v>-1.2962553462289526</v>
      </c>
      <c r="P224">
        <f t="shared" si="19"/>
        <v>1</v>
      </c>
    </row>
    <row r="225" spans="1:16" x14ac:dyDescent="0.25">
      <c r="A225" s="1"/>
      <c r="B225" t="s">
        <v>238</v>
      </c>
      <c r="C225" t="s">
        <v>24</v>
      </c>
      <c r="D225" s="3">
        <v>8.9583333333333339</v>
      </c>
      <c r="E225" s="5">
        <f t="shared" si="15"/>
        <v>1864</v>
      </c>
      <c r="F225">
        <v>-1.6611899999999999</v>
      </c>
      <c r="G225">
        <f t="shared" si="16"/>
        <v>2.6381399999999999</v>
      </c>
      <c r="H225">
        <f t="shared" si="17"/>
        <v>2.6381399999999999</v>
      </c>
      <c r="I225" s="5">
        <f t="shared" si="18"/>
        <v>1864</v>
      </c>
      <c r="J225">
        <f>+H225+CF*F225*(1+($I225-1850)*slope/1000)+F225*hQc*COS(2*PI()*$I225/qbo+$L225)+F225*hQs*SIN(2*PI()*$I225/qbo+$L225)+F225*hCs*SIN(2*PI()*$I225/cw)+F225*hCc*COS(2*PI()*$I225/cw) +mix*F225*(hQc*COS(2*PI()*$I225/qbo+$L225)+hQs*SIN(2*PI()*$I225/qbo+$L225))*(hCs*SIN(2*PI()*$I225/cw)+hCc*COS(2*PI()*$I225/cw))</f>
        <v>125.35884400825043</v>
      </c>
      <c r="K225">
        <f>fQc*COS(2*PI()*$I225/qbo+$L225)+fQs*SIN(2*PI()*$I225/qbo+$L225)+fCs*SIN(2*PI()*$I225/cw)+fCc*COS(2*PI()*$I225/cw)</f>
        <v>1.3461362212083814</v>
      </c>
      <c r="L225">
        <f>+QMA*COS(2*PI()*$I225/QM+QMP)</f>
        <v>-1.5000268357459046</v>
      </c>
      <c r="P225">
        <f t="shared" si="19"/>
        <v>1</v>
      </c>
    </row>
    <row r="226" spans="1:16" x14ac:dyDescent="0.25">
      <c r="A226" s="1"/>
      <c r="B226" t="s">
        <v>239</v>
      </c>
      <c r="C226" t="s">
        <v>24</v>
      </c>
      <c r="D226" s="3">
        <v>9</v>
      </c>
      <c r="E226" s="5">
        <f t="shared" si="15"/>
        <v>1865</v>
      </c>
      <c r="F226">
        <v>0.53008</v>
      </c>
      <c r="G226">
        <f t="shared" si="16"/>
        <v>-2.5571199999999998</v>
      </c>
      <c r="H226">
        <f t="shared" si="17"/>
        <v>-2.5571199999999998</v>
      </c>
      <c r="I226" s="5">
        <f t="shared" si="18"/>
        <v>1865</v>
      </c>
      <c r="J226">
        <f>+H226+CF*F226*(1+($I226-1850)*slope/1000)+F226*hQc*COS(2*PI()*$I226/qbo+$L226)+F226*hQs*SIN(2*PI()*$I226/qbo+$L226)+F226*hCs*SIN(2*PI()*$I226/cw)+F226*hCc*COS(2*PI()*$I226/cw) +mix*F226*(hQc*COS(2*PI()*$I226/qbo+$L226)+hQs*SIN(2*PI()*$I226/qbo+$L226))*(hCs*SIN(2*PI()*$I226/cw)+hCc*COS(2*PI()*$I226/cw))</f>
        <v>0.90546479882744624</v>
      </c>
      <c r="K226">
        <f>fQc*COS(2*PI()*$I226/qbo+$L226)+fQs*SIN(2*PI()*$I226/qbo+$L226)+fCs*SIN(2*PI()*$I226/cw)+fCc*COS(2*PI()*$I226/cw)</f>
        <v>1.3558232541647308</v>
      </c>
      <c r="L226">
        <f>+QMA*COS(2*PI()*$I226/QM+QMP)</f>
        <v>-1.673667874003788</v>
      </c>
      <c r="P226">
        <f t="shared" si="19"/>
        <v>1</v>
      </c>
    </row>
    <row r="227" spans="1:16" x14ac:dyDescent="0.25">
      <c r="A227" s="1"/>
      <c r="B227" t="s">
        <v>240</v>
      </c>
      <c r="C227" t="s">
        <v>24</v>
      </c>
      <c r="D227" s="3">
        <v>9.0416666666666661</v>
      </c>
      <c r="E227" s="5">
        <f t="shared" si="15"/>
        <v>1866</v>
      </c>
      <c r="F227">
        <v>0.16422999999999999</v>
      </c>
      <c r="G227">
        <f t="shared" si="16"/>
        <v>0.22108000000000003</v>
      </c>
      <c r="H227">
        <f t="shared" si="17"/>
        <v>0.22108000000000003</v>
      </c>
      <c r="I227" s="5">
        <f t="shared" si="18"/>
        <v>1866</v>
      </c>
      <c r="J227">
        <f>+H227+CF*F227*(1+($I227-1850)*slope/1000)+F227*hQc*COS(2*PI()*$I227/qbo+$L227)+F227*hQs*SIN(2*PI()*$I227/qbo+$L227)+F227*hCs*SIN(2*PI()*$I227/cw)+F227*hCc*COS(2*PI()*$I227/cw) +mix*F227*(hQc*COS(2*PI()*$I227/qbo+$L227)+hQs*SIN(2*PI()*$I227/qbo+$L227))*(hCs*SIN(2*PI()*$I227/cw)+hCc*COS(2*PI()*$I227/cw))</f>
        <v>-14.546406630129193</v>
      </c>
      <c r="K227">
        <f>fQc*COS(2*PI()*$I227/qbo+$L227)+fQs*SIN(2*PI()*$I227/qbo+$L227)+fCs*SIN(2*PI()*$I227/cw)+fCc*COS(2*PI()*$I227/cw)</f>
        <v>-1.3700664463710113</v>
      </c>
      <c r="L227">
        <f>+QMA*COS(2*PI()*$I227/QM+QMP)</f>
        <v>-1.8136906015090883</v>
      </c>
      <c r="P227">
        <f t="shared" si="19"/>
        <v>1</v>
      </c>
    </row>
    <row r="228" spans="1:16" x14ac:dyDescent="0.25">
      <c r="A228" s="1"/>
      <c r="B228" t="s">
        <v>241</v>
      </c>
      <c r="C228" t="s">
        <v>24</v>
      </c>
      <c r="D228" s="3">
        <v>9.0833333333333339</v>
      </c>
      <c r="E228" s="5">
        <f t="shared" si="15"/>
        <v>1867</v>
      </c>
      <c r="F228">
        <v>1.9460000000000002E-2</v>
      </c>
      <c r="G228">
        <f t="shared" si="16"/>
        <v>0.33774999999999999</v>
      </c>
      <c r="H228">
        <f t="shared" si="17"/>
        <v>0.33774999999999999</v>
      </c>
      <c r="I228" s="5">
        <f t="shared" si="18"/>
        <v>1867</v>
      </c>
      <c r="J228">
        <f>+H228+CF*F228*(1+($I228-1850)*slope/1000)+F228*hQc*COS(2*PI()*$I228/qbo+$L228)+F228*hQs*SIN(2*PI()*$I228/qbo+$L228)+F228*hCs*SIN(2*PI()*$I228/cw)+F228*hCc*COS(2*PI()*$I228/cw) +mix*F228*(hQc*COS(2*PI()*$I228/qbo+$L228)+hQs*SIN(2*PI()*$I228/qbo+$L228))*(hCs*SIN(2*PI()*$I228/cw)+hCc*COS(2*PI()*$I228/cw))</f>
        <v>-3.7767270142492348</v>
      </c>
      <c r="K228">
        <f>fQc*COS(2*PI()*$I228/qbo+$L228)+fQs*SIN(2*PI()*$I228/qbo+$L228)+fCs*SIN(2*PI()*$I228/cw)+fCc*COS(2*PI()*$I228/cw)</f>
        <v>1.8435703553973637</v>
      </c>
      <c r="L228">
        <f>+QMA*COS(2*PI()*$I228/QM+QMP)</f>
        <v>-1.9172824366026788</v>
      </c>
      <c r="P228">
        <f t="shared" si="19"/>
        <v>0</v>
      </c>
    </row>
    <row r="229" spans="1:16" x14ac:dyDescent="0.25">
      <c r="A229" s="1"/>
      <c r="B229" t="s">
        <v>242</v>
      </c>
      <c r="C229" t="s">
        <v>24</v>
      </c>
      <c r="D229" s="3">
        <v>9.125</v>
      </c>
      <c r="E229" s="5">
        <f t="shared" si="15"/>
        <v>1868</v>
      </c>
      <c r="F229">
        <v>0.21243999999999999</v>
      </c>
      <c r="G229">
        <f t="shared" si="16"/>
        <v>1.2817400000000001</v>
      </c>
      <c r="H229">
        <f t="shared" si="17"/>
        <v>1.2817400000000001</v>
      </c>
      <c r="I229" s="5">
        <f t="shared" si="18"/>
        <v>1868</v>
      </c>
      <c r="J229">
        <f>+H229+CF*F229*(1+($I229-1850)*slope/1000)+F229*hQc*COS(2*PI()*$I229/qbo+$L229)+F229*hQs*SIN(2*PI()*$I229/qbo+$L229)+F229*hCs*SIN(2*PI()*$I229/cw)+F229*hCc*COS(2*PI()*$I229/cw) +mix*F229*(hQc*COS(2*PI()*$I229/qbo+$L229)+hQs*SIN(2*PI()*$I229/qbo+$L229))*(hCs*SIN(2*PI()*$I229/cw)+hCc*COS(2*PI()*$I229/cw))</f>
        <v>12.84903014696649</v>
      </c>
      <c r="K229">
        <f>fQc*COS(2*PI()*$I229/qbo+$L229)+fQs*SIN(2*PI()*$I229/qbo+$L229)+fCs*SIN(2*PI()*$I229/cw)+fCc*COS(2*PI()*$I229/cw)</f>
        <v>-2.6485410542827199</v>
      </c>
      <c r="L229">
        <f>+QMA*COS(2*PI()*$I229/QM+QMP)</f>
        <v>-1.9823625706859125</v>
      </c>
      <c r="P229">
        <f t="shared" si="19"/>
        <v>0</v>
      </c>
    </row>
    <row r="230" spans="1:16" x14ac:dyDescent="0.25">
      <c r="A230" s="1"/>
      <c r="B230" t="s">
        <v>243</v>
      </c>
      <c r="C230" t="s">
        <v>24</v>
      </c>
      <c r="D230" s="3">
        <v>9.1666666666666661</v>
      </c>
      <c r="E230" s="5">
        <f t="shared" si="15"/>
        <v>1869</v>
      </c>
      <c r="F230">
        <v>1.68716</v>
      </c>
      <c r="G230">
        <f t="shared" si="16"/>
        <v>-3.8360799999999999</v>
      </c>
      <c r="H230">
        <f t="shared" si="17"/>
        <v>-3.8360799999999999</v>
      </c>
      <c r="I230" s="5">
        <f t="shared" si="18"/>
        <v>1869</v>
      </c>
      <c r="J230">
        <f>+H230+CF*F230*(1+($I230-1850)*slope/1000)+F230*hQc*COS(2*PI()*$I230/qbo+$L230)+F230*hQs*SIN(2*PI()*$I230/qbo+$L230)+F230*hCs*SIN(2*PI()*$I230/cw)+F230*hCc*COS(2*PI()*$I230/cw) +mix*F230*(hQc*COS(2*PI()*$I230/qbo+$L230)+hQs*SIN(2*PI()*$I230/qbo+$L230))*(hCs*SIN(2*PI()*$I230/cw)+hCc*COS(2*PI()*$I230/cw))</f>
        <v>-102.23840013323371</v>
      </c>
      <c r="K230">
        <f>fQc*COS(2*PI()*$I230/qbo+$L230)+fQs*SIN(2*PI()*$I230/qbo+$L230)+fCs*SIN(2*PI()*$I230/cw)+fCc*COS(2*PI()*$I230/cw)</f>
        <v>0.10963482894935717</v>
      </c>
      <c r="L230">
        <f>+QMA*COS(2*PI()*$I230/QM+QMP)</f>
        <v>-2.0076237646073349</v>
      </c>
      <c r="P230">
        <f t="shared" si="19"/>
        <v>0</v>
      </c>
    </row>
    <row r="231" spans="1:16" x14ac:dyDescent="0.25">
      <c r="A231" s="1"/>
      <c r="B231" t="s">
        <v>244</v>
      </c>
      <c r="C231" t="s">
        <v>24</v>
      </c>
      <c r="D231" s="3">
        <v>9.2083333333333339</v>
      </c>
      <c r="E231" s="5">
        <f t="shared" si="15"/>
        <v>1870</v>
      </c>
      <c r="F231">
        <v>-0.67420000000000002</v>
      </c>
      <c r="G231">
        <f t="shared" si="16"/>
        <v>1.8069799999999998</v>
      </c>
      <c r="H231">
        <f t="shared" si="17"/>
        <v>1.8069799999999998</v>
      </c>
      <c r="I231" s="5">
        <f t="shared" si="18"/>
        <v>1870</v>
      </c>
      <c r="J231">
        <f>+H231+CF*F231*(1+($I231-1850)*slope/1000)+F231*hQc*COS(2*PI()*$I231/qbo+$L231)+F231*hQs*SIN(2*PI()*$I231/qbo+$L231)+F231*hCs*SIN(2*PI()*$I231/cw)+F231*hCc*COS(2*PI()*$I231/cw) +mix*F231*(hQc*COS(2*PI()*$I231/qbo+$L231)+hQs*SIN(2*PI()*$I231/qbo+$L231))*(hCs*SIN(2*PI()*$I231/cw)+hCc*COS(2*PI()*$I231/cw))</f>
        <v>-79.954322944506842</v>
      </c>
      <c r="K231">
        <f>fQc*COS(2*PI()*$I231/qbo+$L231)+fQs*SIN(2*PI()*$I231/qbo+$L231)+fCs*SIN(2*PI()*$I231/cw)+fCc*COS(2*PI()*$I231/cw)</f>
        <v>3.9821894852990241</v>
      </c>
      <c r="L231">
        <f>+QMA*COS(2*PI()*$I231/QM+QMP)</f>
        <v>-1.9925586066632972</v>
      </c>
      <c r="P231">
        <f t="shared" si="19"/>
        <v>0</v>
      </c>
    </row>
    <row r="232" spans="1:16" x14ac:dyDescent="0.25">
      <c r="A232" s="1"/>
      <c r="B232" t="s">
        <v>245</v>
      </c>
      <c r="C232" t="s">
        <v>24</v>
      </c>
      <c r="D232" s="3">
        <v>9.25</v>
      </c>
      <c r="E232" s="5">
        <f t="shared" si="15"/>
        <v>1871</v>
      </c>
      <c r="F232">
        <v>-1.22858</v>
      </c>
      <c r="G232">
        <f t="shared" si="16"/>
        <v>0.84607999999999994</v>
      </c>
      <c r="H232">
        <f t="shared" si="17"/>
        <v>0.84607999999999994</v>
      </c>
      <c r="I232" s="5">
        <f t="shared" si="18"/>
        <v>1871</v>
      </c>
      <c r="J232">
        <f>+H232+CF*F232*(1+($I232-1850)*slope/1000)+F232*hQc*COS(2*PI()*$I232/qbo+$L232)+F232*hQs*SIN(2*PI()*$I232/qbo+$L232)+F232*hCs*SIN(2*PI()*$I232/cw)+F232*hCc*COS(2*PI()*$I232/cw) +mix*F232*(hQc*COS(2*PI()*$I232/qbo+$L232)+hQs*SIN(2*PI()*$I232/qbo+$L232))*(hCs*SIN(2*PI()*$I232/cw)+hCc*COS(2*PI()*$I232/cw))</f>
        <v>-225.33973167546085</v>
      </c>
      <c r="K232">
        <f>fQc*COS(2*PI()*$I232/qbo+$L232)+fQs*SIN(2*PI()*$I232/qbo+$L232)+fCs*SIN(2*PI()*$I232/cw)+fCc*COS(2*PI()*$I232/cw)</f>
        <v>-3.9720576244509482</v>
      </c>
      <c r="L232">
        <f>+QMA*COS(2*PI()*$I232/QM+QMP)</f>
        <v>-1.9374697047781178</v>
      </c>
      <c r="P232">
        <f t="shared" si="19"/>
        <v>1</v>
      </c>
    </row>
    <row r="233" spans="1:16" x14ac:dyDescent="0.25">
      <c r="A233" s="1"/>
      <c r="B233" t="s">
        <v>246</v>
      </c>
      <c r="C233" t="s">
        <v>24</v>
      </c>
      <c r="D233" s="3">
        <v>9.2916666666666661</v>
      </c>
      <c r="E233" s="5">
        <f t="shared" si="15"/>
        <v>1872</v>
      </c>
      <c r="F233">
        <v>-0.93688000000000005</v>
      </c>
      <c r="G233">
        <f t="shared" si="16"/>
        <v>-0.18365999999999993</v>
      </c>
      <c r="H233">
        <f t="shared" si="17"/>
        <v>-0.18365999999999993</v>
      </c>
      <c r="I233" s="5">
        <f t="shared" si="18"/>
        <v>1872</v>
      </c>
      <c r="J233">
        <f>+H233+CF*F233*(1+($I233-1850)*slope/1000)+F233*hQc*COS(2*PI()*$I233/qbo+$L233)+F233*hQs*SIN(2*PI()*$I233/qbo+$L233)+F233*hCs*SIN(2*PI()*$I233/cw)+F233*hCc*COS(2*PI()*$I233/cw) +mix*F233*(hQc*COS(2*PI()*$I233/qbo+$L233)+hQs*SIN(2*PI()*$I233/qbo+$L233))*(hCs*SIN(2*PI()*$I233/cw)+hCc*COS(2*PI()*$I233/cw))</f>
        <v>96.737971338316157</v>
      </c>
      <c r="K233">
        <f>fQc*COS(2*PI()*$I233/qbo+$L233)+fQs*SIN(2*PI()*$I233/qbo+$L233)+fCs*SIN(2*PI()*$I233/cw)+fCc*COS(2*PI()*$I233/cw)</f>
        <v>0.6028890680837824</v>
      </c>
      <c r="L233">
        <f>+QMA*COS(2*PI()*$I233/QM+QMP)</f>
        <v>-1.8434636081371918</v>
      </c>
      <c r="P233">
        <f t="shared" si="19"/>
        <v>1</v>
      </c>
    </row>
    <row r="234" spans="1:16" x14ac:dyDescent="0.25">
      <c r="A234" s="1"/>
      <c r="B234" t="s">
        <v>247</v>
      </c>
      <c r="C234" t="s">
        <v>24</v>
      </c>
      <c r="D234" s="3">
        <v>9.3333333333333339</v>
      </c>
      <c r="E234" s="5">
        <f t="shared" si="15"/>
        <v>1873</v>
      </c>
      <c r="F234">
        <v>-0.82884000000000002</v>
      </c>
      <c r="G234">
        <f t="shared" si="16"/>
        <v>0.55813000000000001</v>
      </c>
      <c r="H234">
        <f t="shared" si="17"/>
        <v>0.55813000000000001</v>
      </c>
      <c r="I234" s="5">
        <f t="shared" si="18"/>
        <v>1873</v>
      </c>
      <c r="J234">
        <f>+H234+CF*F234*(1+($I234-1850)*slope/1000)+F234*hQc*COS(2*PI()*$I234/qbo+$L234)+F234*hQs*SIN(2*PI()*$I234/qbo+$L234)+F234*hCs*SIN(2*PI()*$I234/cw)+F234*hCc*COS(2*PI()*$I234/cw) +mix*F234*(hQc*COS(2*PI()*$I234/qbo+$L234)+hQs*SIN(2*PI()*$I234/qbo+$L234))*(hCs*SIN(2*PI()*$I234/cw)+hCc*COS(2*PI()*$I234/cw))</f>
        <v>14.139232642411525</v>
      </c>
      <c r="K234">
        <f>fQc*COS(2*PI()*$I234/qbo+$L234)+fQs*SIN(2*PI()*$I234/qbo+$L234)+fCs*SIN(2*PI()*$I234/cw)+fCc*COS(2*PI()*$I234/cw)</f>
        <v>0.69654367946465578</v>
      </c>
      <c r="L234">
        <f>+QMA*COS(2*PI()*$I234/QM+QMP)</f>
        <v>-1.7124285803670753</v>
      </c>
      <c r="P234">
        <f t="shared" si="19"/>
        <v>1</v>
      </c>
    </row>
    <row r="235" spans="1:16" x14ac:dyDescent="0.25">
      <c r="A235" s="1"/>
      <c r="B235" t="s">
        <v>248</v>
      </c>
      <c r="C235" t="s">
        <v>24</v>
      </c>
      <c r="D235" s="3">
        <v>9.375</v>
      </c>
      <c r="E235" s="5">
        <f t="shared" si="15"/>
        <v>1874</v>
      </c>
      <c r="F235">
        <v>-0.16267000000000001</v>
      </c>
      <c r="G235">
        <f t="shared" si="16"/>
        <v>-0.27478000000000002</v>
      </c>
      <c r="H235">
        <f t="shared" si="17"/>
        <v>-0.27478000000000002</v>
      </c>
      <c r="I235" s="5">
        <f t="shared" si="18"/>
        <v>1874</v>
      </c>
      <c r="J235">
        <f>+H235+CF*F235*(1+($I235-1850)*slope/1000)+F235*hQc*COS(2*PI()*$I235/qbo+$L235)+F235*hQs*SIN(2*PI()*$I235/qbo+$L235)+F235*hCs*SIN(2*PI()*$I235/cw)+F235*hCc*COS(2*PI()*$I235/cw) +mix*F235*(hQc*COS(2*PI()*$I235/qbo+$L235)+hQs*SIN(2*PI()*$I235/qbo+$L235))*(hCs*SIN(2*PI()*$I235/cw)+hCc*COS(2*PI()*$I235/cw))</f>
        <v>13.65202034500617</v>
      </c>
      <c r="K235">
        <f>fQc*COS(2*PI()*$I235/qbo+$L235)+fQs*SIN(2*PI()*$I235/qbo+$L235)+fCs*SIN(2*PI()*$I235/cw)+fCc*COS(2*PI()*$I235/cw)</f>
        <v>-0.18320995323720091</v>
      </c>
      <c r="L235">
        <f>+QMA*COS(2*PI()*$I235/QM+QMP)</f>
        <v>-1.5469966707241676</v>
      </c>
      <c r="P235">
        <f t="shared" si="19"/>
        <v>0</v>
      </c>
    </row>
    <row r="236" spans="1:16" x14ac:dyDescent="0.25">
      <c r="A236" s="1"/>
      <c r="B236" t="s">
        <v>249</v>
      </c>
      <c r="C236" t="s">
        <v>24</v>
      </c>
      <c r="D236" s="3">
        <v>9.4166666666666661</v>
      </c>
      <c r="E236" s="5">
        <f t="shared" si="15"/>
        <v>1875</v>
      </c>
      <c r="F236">
        <v>0.22872000000000001</v>
      </c>
      <c r="G236">
        <f t="shared" si="16"/>
        <v>-1.0702400000000001</v>
      </c>
      <c r="H236">
        <f t="shared" si="17"/>
        <v>-1.0702400000000001</v>
      </c>
      <c r="I236" s="5">
        <f t="shared" si="18"/>
        <v>1875</v>
      </c>
      <c r="J236">
        <f>+H236+CF*F236*(1+($I236-1850)*slope/1000)+F236*hQc*COS(2*PI()*$I236/qbo+$L236)+F236*hQs*SIN(2*PI()*$I236/qbo+$L236)+F236*hCs*SIN(2*PI()*$I236/cw)+F236*hCc*COS(2*PI()*$I236/cw) +mix*F236*(hQc*COS(2*PI()*$I236/qbo+$L236)+hQs*SIN(2*PI()*$I236/qbo+$L236))*(hCs*SIN(2*PI()*$I236/cw)+hCc*COS(2*PI()*$I236/cw))</f>
        <v>-37.502180023985453</v>
      </c>
      <c r="K236">
        <f>fQc*COS(2*PI()*$I236/qbo+$L236)+fQs*SIN(2*PI()*$I236/qbo+$L236)+fCs*SIN(2*PI()*$I236/cw)+fCc*COS(2*PI()*$I236/cw)</f>
        <v>2.0036895476485626</v>
      </c>
      <c r="L236">
        <f>+QMA*COS(2*PI()*$I236/QM+QMP)</f>
        <v>-1.3504908451522764</v>
      </c>
      <c r="P236">
        <f t="shared" si="19"/>
        <v>0</v>
      </c>
    </row>
    <row r="237" spans="1:16" x14ac:dyDescent="0.25">
      <c r="A237" s="1"/>
      <c r="B237" t="s">
        <v>250</v>
      </c>
      <c r="C237" t="s">
        <v>24</v>
      </c>
      <c r="D237" s="3">
        <v>9.4583333333333339</v>
      </c>
      <c r="E237" s="5">
        <f t="shared" si="15"/>
        <v>1876</v>
      </c>
      <c r="F237">
        <v>-0.45012999999999997</v>
      </c>
      <c r="G237">
        <f t="shared" si="16"/>
        <v>2.2897299999999996</v>
      </c>
      <c r="H237">
        <f t="shared" si="17"/>
        <v>2.2897299999999996</v>
      </c>
      <c r="I237" s="5">
        <f t="shared" si="18"/>
        <v>1876</v>
      </c>
      <c r="J237">
        <f>+H237+CF*F237*(1+($I237-1850)*slope/1000)+F237*hQc*COS(2*PI()*$I237/qbo+$L237)+F237*hQs*SIN(2*PI()*$I237/qbo+$L237)+F237*hCs*SIN(2*PI()*$I237/cw)+F237*hCc*COS(2*PI()*$I237/cw) +mix*F237*(hQc*COS(2*PI()*$I237/qbo+$L237)+hQs*SIN(2*PI()*$I237/qbo+$L237))*(hCs*SIN(2*PI()*$I237/cw)+hCc*COS(2*PI()*$I237/cw))</f>
        <v>-72.280075887416501</v>
      </c>
      <c r="K237">
        <f>fQc*COS(2*PI()*$I237/qbo+$L237)+fQs*SIN(2*PI()*$I237/qbo+$L237)+fCs*SIN(2*PI()*$I237/cw)+fCc*COS(2*PI()*$I237/cw)</f>
        <v>-4.5374042386677225</v>
      </c>
      <c r="L237">
        <f>+QMA*COS(2*PI()*$I237/QM+QMP)</f>
        <v>-1.1268582391683415</v>
      </c>
      <c r="P237">
        <f t="shared" si="19"/>
        <v>1</v>
      </c>
    </row>
    <row r="238" spans="1:16" x14ac:dyDescent="0.25">
      <c r="A238" s="1"/>
      <c r="B238" t="s">
        <v>251</v>
      </c>
      <c r="C238" t="s">
        <v>24</v>
      </c>
      <c r="D238" s="3">
        <v>9.5</v>
      </c>
      <c r="E238" s="5">
        <f t="shared" si="15"/>
        <v>1877</v>
      </c>
      <c r="F238">
        <v>1.1607499999999999</v>
      </c>
      <c r="G238">
        <f t="shared" si="16"/>
        <v>-1.5945399999999998</v>
      </c>
      <c r="H238">
        <f t="shared" si="17"/>
        <v>-1.5945399999999998</v>
      </c>
      <c r="I238" s="5">
        <f t="shared" si="18"/>
        <v>1877</v>
      </c>
      <c r="J238">
        <f>+H238+CF*F238*(1+($I238-1850)*slope/1000)+F238*hQc*COS(2*PI()*$I238/qbo+$L238)+F238*hQs*SIN(2*PI()*$I238/qbo+$L238)+F238*hCs*SIN(2*PI()*$I238/cw)+F238*hCc*COS(2*PI()*$I238/cw) +mix*F238*(hQc*COS(2*PI()*$I238/qbo+$L238)+hQs*SIN(2*PI()*$I238/qbo+$L238))*(hCs*SIN(2*PI()*$I238/cw)+hCc*COS(2*PI()*$I238/cw))</f>
        <v>155.80962574890074</v>
      </c>
      <c r="K238">
        <f>fQc*COS(2*PI()*$I238/qbo+$L238)+fQs*SIN(2*PI()*$I238/qbo+$L238)+fCs*SIN(2*PI()*$I238/cw)+fCc*COS(2*PI()*$I238/cw)</f>
        <v>3.1769782579040973</v>
      </c>
      <c r="L238">
        <f>+QMA*COS(2*PI()*$I238/QM+QMP)</f>
        <v>-0.88059087329748786</v>
      </c>
      <c r="P238">
        <f t="shared" si="19"/>
        <v>1</v>
      </c>
    </row>
    <row r="239" spans="1:16" x14ac:dyDescent="0.25">
      <c r="A239" s="1"/>
      <c r="B239" t="s">
        <v>252</v>
      </c>
      <c r="C239" t="s">
        <v>24</v>
      </c>
      <c r="D239" s="3">
        <v>9.5416666666666661</v>
      </c>
      <c r="E239" s="5">
        <f t="shared" si="15"/>
        <v>1878</v>
      </c>
      <c r="F239">
        <v>1.17709</v>
      </c>
      <c r="G239">
        <f t="shared" si="16"/>
        <v>-2.12297</v>
      </c>
      <c r="H239">
        <f t="shared" si="17"/>
        <v>-2.12297</v>
      </c>
      <c r="I239" s="5">
        <f t="shared" si="18"/>
        <v>1878</v>
      </c>
      <c r="J239">
        <f>+H239+CF*F239*(1+($I239-1850)*slope/1000)+F239*hQc*COS(2*PI()*$I239/qbo+$L239)+F239*hQs*SIN(2*PI()*$I239/qbo+$L239)+F239*hCs*SIN(2*PI()*$I239/cw)+F239*hCc*COS(2*PI()*$I239/cw) +mix*F239*(hQc*COS(2*PI()*$I239/qbo+$L239)+hQs*SIN(2*PI()*$I239/qbo+$L239))*(hCs*SIN(2*PI()*$I239/cw)+hCc*COS(2*PI()*$I239/cw))</f>
        <v>-109.24774781009252</v>
      </c>
      <c r="K239">
        <f>fQc*COS(2*PI()*$I239/qbo+$L239)+fQs*SIN(2*PI()*$I239/qbo+$L239)+fCs*SIN(2*PI()*$I239/cw)+fCc*COS(2*PI()*$I239/cw)</f>
        <v>0.17491404158151647</v>
      </c>
      <c r="L239">
        <f>+QMA*COS(2*PI()*$I239/QM+QMP)</f>
        <v>-0.61663542361714496</v>
      </c>
      <c r="P239">
        <f t="shared" si="19"/>
        <v>0</v>
      </c>
    </row>
    <row r="240" spans="1:16" x14ac:dyDescent="0.25">
      <c r="A240" s="1"/>
      <c r="B240" t="s">
        <v>253</v>
      </c>
      <c r="C240" t="s">
        <v>24</v>
      </c>
      <c r="D240" s="3">
        <v>9.5833333333333339</v>
      </c>
      <c r="E240" s="5">
        <f t="shared" si="15"/>
        <v>1879</v>
      </c>
      <c r="F240">
        <v>-0.92954000000000003</v>
      </c>
      <c r="G240">
        <f t="shared" si="16"/>
        <v>1.21221</v>
      </c>
      <c r="H240">
        <f t="shared" si="17"/>
        <v>1.21221</v>
      </c>
      <c r="I240" s="5">
        <f t="shared" si="18"/>
        <v>1879</v>
      </c>
      <c r="J240">
        <f>+H240+CF*F240*(1+($I240-1850)*slope/1000)+F240*hQc*COS(2*PI()*$I240/qbo+$L240)+F240*hQs*SIN(2*PI()*$I240/qbo+$L240)+F240*hCs*SIN(2*PI()*$I240/cw)+F240*hCc*COS(2*PI()*$I240/cw) +mix*F240*(hQc*COS(2*PI()*$I240/qbo+$L240)+hQs*SIN(2*PI()*$I240/qbo+$L240))*(hCs*SIN(2*PI()*$I240/cw)+hCc*COS(2*PI()*$I240/cw))</f>
        <v>6.9072045245110258</v>
      </c>
      <c r="K240">
        <f>fQc*COS(2*PI()*$I240/qbo+$L240)+fQs*SIN(2*PI()*$I240/qbo+$L240)+fCs*SIN(2*PI()*$I240/cw)+fCc*COS(2*PI()*$I240/cw)</f>
        <v>-0.67821891715186378</v>
      </c>
      <c r="L240">
        <f>+QMA*COS(2*PI()*$I240/QM+QMP)</f>
        <v>-0.34029385981340721</v>
      </c>
      <c r="P240">
        <f t="shared" si="19"/>
        <v>0</v>
      </c>
    </row>
    <row r="241" spans="1:16" x14ac:dyDescent="0.25">
      <c r="A241" s="1"/>
      <c r="B241" t="s">
        <v>254</v>
      </c>
      <c r="C241" t="s">
        <v>24</v>
      </c>
      <c r="D241" s="3">
        <v>9.625</v>
      </c>
      <c r="E241" s="5">
        <f t="shared" si="15"/>
        <v>1880</v>
      </c>
      <c r="F241">
        <v>-1.82396</v>
      </c>
      <c r="G241">
        <f t="shared" si="16"/>
        <v>3.1040900000000002</v>
      </c>
      <c r="H241">
        <f t="shared" si="17"/>
        <v>3.1040900000000002</v>
      </c>
      <c r="I241" s="5">
        <f t="shared" si="18"/>
        <v>1880</v>
      </c>
      <c r="J241">
        <f>+H241+CF*F241*(1+($I241-1850)*slope/1000)+F241*hQc*COS(2*PI()*$I241/qbo+$L241)+F241*hQs*SIN(2*PI()*$I241/qbo+$L241)+F241*hCs*SIN(2*PI()*$I241/cw)+F241*hCc*COS(2*PI()*$I241/cw) +mix*F241*(hQc*COS(2*PI()*$I241/qbo+$L241)+hQs*SIN(2*PI()*$I241/qbo+$L241))*(hCs*SIN(2*PI()*$I241/cw)+hCc*COS(2*PI()*$I241/cw))</f>
        <v>189.79436201871005</v>
      </c>
      <c r="K241">
        <f>fQc*COS(2*PI()*$I241/qbo+$L241)+fQs*SIN(2*PI()*$I241/qbo+$L241)+fCs*SIN(2*PI()*$I241/cw)+fCc*COS(2*PI()*$I241/cw)</f>
        <v>-1.7864688688108421E-2</v>
      </c>
      <c r="L241">
        <f>+QMA*COS(2*PI()*$I241/QM+QMP)</f>
        <v>-5.7116946592796453E-2</v>
      </c>
      <c r="P241">
        <f t="shared" si="19"/>
        <v>0</v>
      </c>
    </row>
    <row r="242" spans="1:16" x14ac:dyDescent="0.25">
      <c r="A242" s="1"/>
      <c r="B242" t="s">
        <v>255</v>
      </c>
      <c r="C242" t="s">
        <v>24</v>
      </c>
      <c r="D242" s="3">
        <v>9.6666666666666661</v>
      </c>
      <c r="E242" s="5">
        <f t="shared" si="15"/>
        <v>1881</v>
      </c>
      <c r="F242">
        <v>0.38571</v>
      </c>
      <c r="G242">
        <f t="shared" si="16"/>
        <v>-2.3247300000000002</v>
      </c>
      <c r="H242">
        <f t="shared" si="17"/>
        <v>-2.3247300000000002</v>
      </c>
      <c r="I242" s="5">
        <f t="shared" si="18"/>
        <v>1881</v>
      </c>
      <c r="J242">
        <f>+H242+CF*F242*(1+($I242-1850)*slope/1000)+F242*hQc*COS(2*PI()*$I242/qbo+$L242)+F242*hQs*SIN(2*PI()*$I242/qbo+$L242)+F242*hCs*SIN(2*PI()*$I242/cw)+F242*hCc*COS(2*PI()*$I242/cw) +mix*F242*(hQc*COS(2*PI()*$I242/qbo+$L242)+hQs*SIN(2*PI()*$I242/qbo+$L242))*(hCs*SIN(2*PI()*$I242/cw)+hCc*COS(2*PI()*$I242/cw))</f>
        <v>-48.604048804043146</v>
      </c>
      <c r="K242">
        <f>fQc*COS(2*PI()*$I242/qbo+$L242)+fQs*SIN(2*PI()*$I242/qbo+$L242)+fCs*SIN(2*PI()*$I242/cw)+fCc*COS(2*PI()*$I242/cw)</f>
        <v>-2.1544189290859936</v>
      </c>
      <c r="L242">
        <f>+QMA*COS(2*PI()*$I242/QM+QMP)</f>
        <v>0.22720725235244044</v>
      </c>
      <c r="P242">
        <f t="shared" si="19"/>
        <v>1</v>
      </c>
    </row>
    <row r="243" spans="1:16" x14ac:dyDescent="0.25">
      <c r="A243" s="1"/>
      <c r="B243" t="s">
        <v>256</v>
      </c>
      <c r="C243" t="s">
        <v>24</v>
      </c>
      <c r="D243" s="3">
        <v>9.7083333333333339</v>
      </c>
      <c r="E243" s="5">
        <f t="shared" si="15"/>
        <v>1882</v>
      </c>
      <c r="F243">
        <v>0.27065</v>
      </c>
      <c r="G243">
        <f t="shared" si="16"/>
        <v>-0.93714000000000008</v>
      </c>
      <c r="H243">
        <f t="shared" si="17"/>
        <v>-0.93714000000000008</v>
      </c>
      <c r="I243" s="5">
        <f t="shared" si="18"/>
        <v>1882</v>
      </c>
      <c r="J243">
        <f>+H243+CF*F243*(1+($I243-1850)*slope/1000)+F243*hQc*COS(2*PI()*$I243/qbo+$L243)+F243*hQs*SIN(2*PI()*$I243/qbo+$L243)+F243*hCs*SIN(2*PI()*$I243/cw)+F243*hCc*COS(2*PI()*$I243/cw) +mix*F243*(hQc*COS(2*PI()*$I243/qbo+$L243)+hQs*SIN(2*PI()*$I243/qbo+$L243))*(hCs*SIN(2*PI()*$I243/cw)+hCc*COS(2*PI()*$I243/cw))</f>
        <v>55.181912088478796</v>
      </c>
      <c r="K243">
        <f>fQc*COS(2*PI()*$I243/qbo+$L243)+fQs*SIN(2*PI()*$I243/qbo+$L243)+fCs*SIN(2*PI()*$I243/cw)+fCc*COS(2*PI()*$I243/cw)</f>
        <v>4.6583784372255401</v>
      </c>
      <c r="L243">
        <f>+QMA*COS(2*PI()*$I243/QM+QMP)</f>
        <v>0.5069676282516129</v>
      </c>
      <c r="P243">
        <f t="shared" si="19"/>
        <v>1</v>
      </c>
    </row>
    <row r="244" spans="1:16" x14ac:dyDescent="0.25">
      <c r="A244" s="1"/>
      <c r="B244" t="s">
        <v>257</v>
      </c>
      <c r="C244" t="s">
        <v>24</v>
      </c>
      <c r="D244" s="3">
        <v>9.75</v>
      </c>
      <c r="E244" s="5">
        <f t="shared" si="15"/>
        <v>1883</v>
      </c>
      <c r="F244">
        <v>-0.78154999999999997</v>
      </c>
      <c r="G244">
        <f t="shared" si="16"/>
        <v>2.1461699999999997</v>
      </c>
      <c r="H244">
        <f t="shared" si="17"/>
        <v>2.1461699999999997</v>
      </c>
      <c r="I244" s="5">
        <f t="shared" si="18"/>
        <v>1883</v>
      </c>
      <c r="J244">
        <f>+H244+CF*F244*(1+($I244-1850)*slope/1000)+F244*hQc*COS(2*PI()*$I244/qbo+$L244)+F244*hQs*SIN(2*PI()*$I244/qbo+$L244)+F244*hCs*SIN(2*PI()*$I244/cw)+F244*hCc*COS(2*PI()*$I244/cw) +mix*F244*(hQc*COS(2*PI()*$I244/qbo+$L244)+hQs*SIN(2*PI()*$I244/qbo+$L244))*(hCs*SIN(2*PI()*$I244/cw)+hCc*COS(2*PI()*$I244/cw))</f>
        <v>-75.56872217206238</v>
      </c>
      <c r="K244">
        <f>fQc*COS(2*PI()*$I244/qbo+$L244)+fQs*SIN(2*PI()*$I244/qbo+$L244)+fCs*SIN(2*PI()*$I244/cw)+fCc*COS(2*PI()*$I244/cw)</f>
        <v>-3.1426598922313183</v>
      </c>
      <c r="L244">
        <f>+QMA*COS(2*PI()*$I244/QM+QMP)</f>
        <v>0.77654474405919993</v>
      </c>
      <c r="P244">
        <f t="shared" si="19"/>
        <v>1</v>
      </c>
    </row>
    <row r="245" spans="1:16" x14ac:dyDescent="0.25">
      <c r="A245" s="1"/>
      <c r="B245" t="s">
        <v>258</v>
      </c>
      <c r="C245" t="s">
        <v>24</v>
      </c>
      <c r="D245" s="3">
        <v>9.7916666666666661</v>
      </c>
      <c r="E245" s="5">
        <f t="shared" si="15"/>
        <v>1884</v>
      </c>
      <c r="F245">
        <v>0.31241999999999998</v>
      </c>
      <c r="G245">
        <f t="shared" si="16"/>
        <v>0.26290000000000013</v>
      </c>
      <c r="H245">
        <f t="shared" si="17"/>
        <v>0.26290000000000013</v>
      </c>
      <c r="I245" s="5">
        <f t="shared" si="18"/>
        <v>1884</v>
      </c>
      <c r="J245">
        <f>+H245+CF*F245*(1+($I245-1850)*slope/1000)+F245*hQc*COS(2*PI()*$I245/qbo+$L245)+F245*hQs*SIN(2*PI()*$I245/qbo+$L245)+F245*hCs*SIN(2*PI()*$I245/cw)+F245*hCc*COS(2*PI()*$I245/cw) +mix*F245*(hQc*COS(2*PI()*$I245/qbo+$L245)+hQs*SIN(2*PI()*$I245/qbo+$L245))*(hCs*SIN(2*PI()*$I245/cw)+hCc*COS(2*PI()*$I245/cw))</f>
        <v>-43.872853654855625</v>
      </c>
      <c r="K245">
        <f>fQc*COS(2*PI()*$I245/qbo+$L245)+fQs*SIN(2*PI()*$I245/qbo+$L245)+fCs*SIN(2*PI()*$I245/cw)+fCc*COS(2*PI()*$I245/cw)</f>
        <v>0.20775483943260076</v>
      </c>
      <c r="L245">
        <f>+QMA*COS(2*PI()*$I245/QM+QMP)</f>
        <v>1.0305237098845714</v>
      </c>
      <c r="P245">
        <f t="shared" si="19"/>
        <v>0</v>
      </c>
    </row>
    <row r="246" spans="1:16" x14ac:dyDescent="0.25">
      <c r="A246" s="1"/>
      <c r="B246" t="s">
        <v>259</v>
      </c>
      <c r="C246" t="s">
        <v>24</v>
      </c>
      <c r="D246" s="3">
        <v>9.8333333333333339</v>
      </c>
      <c r="E246" s="5">
        <f t="shared" si="15"/>
        <v>1885</v>
      </c>
      <c r="F246">
        <v>1.6692899999999999</v>
      </c>
      <c r="G246">
        <f t="shared" si="16"/>
        <v>-3.0097399999999999</v>
      </c>
      <c r="H246">
        <f t="shared" si="17"/>
        <v>-3.0097399999999999</v>
      </c>
      <c r="I246" s="5">
        <f t="shared" si="18"/>
        <v>1885</v>
      </c>
      <c r="J246">
        <f>+H246+CF*F246*(1+($I246-1850)*slope/1000)+F246*hQc*COS(2*PI()*$I246/qbo+$L246)+F246*hQs*SIN(2*PI()*$I246/qbo+$L246)+F246*hCs*SIN(2*PI()*$I246/cw)+F246*hCc*COS(2*PI()*$I246/cw) +mix*F246*(hQc*COS(2*PI()*$I246/qbo+$L246)+hQs*SIN(2*PI()*$I246/qbo+$L246))*(hCs*SIN(2*PI()*$I246/cw)+hCc*COS(2*PI()*$I246/cw))</f>
        <v>-35.830394505824472</v>
      </c>
      <c r="K246">
        <f>fQc*COS(2*PI()*$I246/qbo+$L246)+fQs*SIN(2*PI()*$I246/qbo+$L246)+fCs*SIN(2*PI()*$I246/cw)+fCc*COS(2*PI()*$I246/cw)</f>
        <v>-7.7596753264410234E-2</v>
      </c>
      <c r="L246">
        <f>+QMA*COS(2*PI()*$I246/QM+QMP)</f>
        <v>1.2638029497635386</v>
      </c>
      <c r="P246">
        <f t="shared" si="19"/>
        <v>1</v>
      </c>
    </row>
    <row r="247" spans="1:16" x14ac:dyDescent="0.25">
      <c r="A247" s="1"/>
      <c r="B247" t="s">
        <v>260</v>
      </c>
      <c r="C247" t="s">
        <v>24</v>
      </c>
      <c r="D247" s="3">
        <v>9.875</v>
      </c>
      <c r="E247" s="5">
        <f t="shared" si="15"/>
        <v>1886</v>
      </c>
      <c r="F247">
        <v>1.6420000000000001E-2</v>
      </c>
      <c r="G247">
        <f t="shared" si="16"/>
        <v>-0.11202000000000023</v>
      </c>
      <c r="H247">
        <f t="shared" si="17"/>
        <v>-0.11202000000000023</v>
      </c>
      <c r="I247" s="5">
        <f t="shared" si="18"/>
        <v>1886</v>
      </c>
      <c r="J247">
        <f>+H247+CF*F247*(1+($I247-1850)*slope/1000)+F247*hQc*COS(2*PI()*$I247/qbo+$L247)+F247*hQs*SIN(2*PI()*$I247/qbo+$L247)+F247*hCs*SIN(2*PI()*$I247/cw)+F247*hCc*COS(2*PI()*$I247/cw) +mix*F247*(hQc*COS(2*PI()*$I247/qbo+$L247)+hQs*SIN(2*PI()*$I247/qbo+$L247))*(hCs*SIN(2*PI()*$I247/cw)+hCc*COS(2*PI()*$I247/cw))</f>
        <v>-1.7631098740748357</v>
      </c>
      <c r="K247">
        <f>fQc*COS(2*PI()*$I247/qbo+$L247)+fQs*SIN(2*PI()*$I247/qbo+$L247)+fCs*SIN(2*PI()*$I247/cw)+fCc*COS(2*PI()*$I247/cw)</f>
        <v>0.25805592226251273</v>
      </c>
      <c r="L247">
        <f>+QMA*COS(2*PI()*$I247/QM+QMP)</f>
        <v>1.4716966750162901</v>
      </c>
      <c r="P247">
        <f t="shared" si="19"/>
        <v>0</v>
      </c>
    </row>
    <row r="248" spans="1:16" x14ac:dyDescent="0.25">
      <c r="A248" s="1"/>
      <c r="B248" t="s">
        <v>261</v>
      </c>
      <c r="C248" t="s">
        <v>24</v>
      </c>
      <c r="D248" s="3">
        <v>9.9166666666666661</v>
      </c>
      <c r="E248" s="5">
        <f t="shared" si="15"/>
        <v>1887</v>
      </c>
      <c r="F248">
        <v>-1.74847</v>
      </c>
      <c r="G248">
        <f t="shared" si="16"/>
        <v>4.7467000000000006</v>
      </c>
      <c r="H248">
        <f t="shared" si="17"/>
        <v>4.7467000000000006</v>
      </c>
      <c r="I248" s="5">
        <f t="shared" si="18"/>
        <v>1887</v>
      </c>
      <c r="J248">
        <f>+H248+CF*F248*(1+($I248-1850)*slope/1000)+F248*hQc*COS(2*PI()*$I248/qbo+$L248)+F248*hQs*SIN(2*PI()*$I248/qbo+$L248)+F248*hCs*SIN(2*PI()*$I248/cw)+F248*hCc*COS(2*PI()*$I248/cw) +mix*F248*(hQc*COS(2*PI()*$I248/qbo+$L248)+hQs*SIN(2*PI()*$I248/qbo+$L248))*(hCs*SIN(2*PI()*$I248/cw)+hCc*COS(2*PI()*$I248/cw))</f>
        <v>151.15694583042389</v>
      </c>
      <c r="K248">
        <f>fQc*COS(2*PI()*$I248/qbo+$L248)+fQs*SIN(2*PI()*$I248/qbo+$L248)+fCs*SIN(2*PI()*$I248/cw)+fCc*COS(2*PI()*$I248/cw)</f>
        <v>2.5600282954796061</v>
      </c>
      <c r="L248">
        <f>+QMA*COS(2*PI()*$I248/QM+QMP)</f>
        <v>1.6500290058472773</v>
      </c>
      <c r="P248">
        <f t="shared" si="19"/>
        <v>1</v>
      </c>
    </row>
    <row r="249" spans="1:16" x14ac:dyDescent="0.25">
      <c r="A249" s="1"/>
      <c r="B249" t="s">
        <v>262</v>
      </c>
      <c r="C249" t="s">
        <v>24</v>
      </c>
      <c r="D249" s="3">
        <v>9.9583333333333339</v>
      </c>
      <c r="E249" s="5">
        <f t="shared" si="15"/>
        <v>1888</v>
      </c>
      <c r="F249">
        <v>1.2333400000000001</v>
      </c>
      <c r="G249">
        <f t="shared" si="16"/>
        <v>-2.8604800000000004</v>
      </c>
      <c r="H249">
        <f t="shared" si="17"/>
        <v>-2.8604800000000004</v>
      </c>
      <c r="I249" s="5">
        <f t="shared" si="18"/>
        <v>1888</v>
      </c>
      <c r="J249">
        <f>+H249+CF*F249*(1+($I249-1850)*slope/1000)+F249*hQc*COS(2*PI()*$I249/qbo+$L249)+F249*hQs*SIN(2*PI()*$I249/qbo+$L249)+F249*hCs*SIN(2*PI()*$I249/cw)+F249*hCc*COS(2*PI()*$I249/cw) +mix*F249*(hQc*COS(2*PI()*$I249/qbo+$L249)+hQs*SIN(2*PI()*$I249/qbo+$L249))*(hCs*SIN(2*PI()*$I249/cw)+hCc*COS(2*PI()*$I249/cw))</f>
        <v>261.1971970293572</v>
      </c>
      <c r="K249">
        <f>fQc*COS(2*PI()*$I249/qbo+$L249)+fQs*SIN(2*PI()*$I249/qbo+$L249)+fCs*SIN(2*PI()*$I249/cw)+fCc*COS(2*PI()*$I249/cw)</f>
        <v>-4.6975385718036158</v>
      </c>
      <c r="L249">
        <f>+QMA*COS(2*PI()*$I249/QM+QMP)</f>
        <v>1.7952178506073715</v>
      </c>
      <c r="P249">
        <f t="shared" si="19"/>
        <v>0</v>
      </c>
    </row>
    <row r="250" spans="1:16" x14ac:dyDescent="0.25">
      <c r="A250" s="1"/>
      <c r="B250" t="s">
        <v>263</v>
      </c>
      <c r="C250" t="s">
        <v>24</v>
      </c>
      <c r="D250" s="3">
        <v>10</v>
      </c>
      <c r="E250" s="5">
        <f t="shared" si="15"/>
        <v>1889</v>
      </c>
      <c r="F250">
        <v>1.35467</v>
      </c>
      <c r="G250">
        <f t="shared" si="16"/>
        <v>-2.9236499999999999</v>
      </c>
      <c r="H250">
        <f t="shared" si="17"/>
        <v>-2.9236499999999999</v>
      </c>
      <c r="I250" s="5">
        <f t="shared" si="18"/>
        <v>1889</v>
      </c>
      <c r="J250">
        <f>+H250+CF*F250*(1+($I250-1850)*slope/1000)+F250*hQc*COS(2*PI()*$I250/qbo+$L250)+F250*hQs*SIN(2*PI()*$I250/qbo+$L250)+F250*hCs*SIN(2*PI()*$I250/cw)+F250*hCc*COS(2*PI()*$I250/cw) +mix*F250*(hQc*COS(2*PI()*$I250/qbo+$L250)+hQs*SIN(2*PI()*$I250/qbo+$L250))*(hCs*SIN(2*PI()*$I250/cw)+hCc*COS(2*PI()*$I250/cw))</f>
        <v>64.706001185037891</v>
      </c>
      <c r="K250">
        <f>fQc*COS(2*PI()*$I250/qbo+$L250)+fQs*SIN(2*PI()*$I250/qbo+$L250)+fCs*SIN(2*PI()*$I250/cw)+fCc*COS(2*PI()*$I250/cw)</f>
        <v>2.2234434416622513</v>
      </c>
      <c r="L250">
        <f>+QMA*COS(2*PI()*$I250/QM+QMP)</f>
        <v>1.9043468578645062</v>
      </c>
      <c r="P250">
        <f t="shared" si="19"/>
        <v>1</v>
      </c>
    </row>
    <row r="251" spans="1:16" x14ac:dyDescent="0.25">
      <c r="A251" s="1"/>
      <c r="B251" t="s">
        <v>264</v>
      </c>
      <c r="C251" t="s">
        <v>24</v>
      </c>
      <c r="D251" s="3">
        <v>10.041666666666666</v>
      </c>
      <c r="E251" s="5">
        <f t="shared" si="15"/>
        <v>1890</v>
      </c>
      <c r="F251">
        <v>-1.4476500000000001</v>
      </c>
      <c r="G251">
        <f t="shared" si="16"/>
        <v>4.2313499999999999</v>
      </c>
      <c r="H251">
        <f t="shared" si="17"/>
        <v>4.2313499999999999</v>
      </c>
      <c r="I251" s="5">
        <f t="shared" si="18"/>
        <v>1890</v>
      </c>
      <c r="J251">
        <f>+H251+CF*F251*(1+($I251-1850)*slope/1000)+F251*hQc*COS(2*PI()*$I251/qbo+$L251)+F251*hQs*SIN(2*PI()*$I251/qbo+$L251)+F251*hCs*SIN(2*PI()*$I251/cw)+F251*hCc*COS(2*PI()*$I251/cw) +mix*F251*(hQc*COS(2*PI()*$I251/qbo+$L251)+hQs*SIN(2*PI()*$I251/qbo+$L251))*(hCs*SIN(2*PI()*$I251/cw)+hCc*COS(2*PI()*$I251/cw))</f>
        <v>60.032400020175004</v>
      </c>
      <c r="K251">
        <f>fQc*COS(2*PI()*$I251/qbo+$L251)+fQs*SIN(2*PI()*$I251/qbo+$L251)+fCs*SIN(2*PI()*$I251/cw)+fCc*COS(2*PI()*$I251/cw)</f>
        <v>1.2934613266587873</v>
      </c>
      <c r="L251">
        <f>+QMA*COS(2*PI()*$I251/QM+QMP)</f>
        <v>1.9752239960125468</v>
      </c>
      <c r="P251">
        <f t="shared" si="19"/>
        <v>1</v>
      </c>
    </row>
    <row r="252" spans="1:16" x14ac:dyDescent="0.25">
      <c r="A252" s="1"/>
      <c r="B252" t="s">
        <v>265</v>
      </c>
      <c r="C252" t="s">
        <v>24</v>
      </c>
      <c r="D252" s="3">
        <v>10.083333333333334</v>
      </c>
      <c r="E252" s="5">
        <f t="shared" si="15"/>
        <v>1891</v>
      </c>
      <c r="F252">
        <v>-1.8620000000000001E-2</v>
      </c>
      <c r="G252">
        <f t="shared" si="16"/>
        <v>-1.7558</v>
      </c>
      <c r="H252">
        <f t="shared" si="17"/>
        <v>-1.7558</v>
      </c>
      <c r="I252" s="5">
        <f t="shared" si="18"/>
        <v>1891</v>
      </c>
      <c r="J252">
        <f>+H252+CF*F252*(1+($I252-1850)*slope/1000)+F252*hQc*COS(2*PI()*$I252/qbo+$L252)+F252*hQs*SIN(2*PI()*$I252/qbo+$L252)+F252*hCs*SIN(2*PI()*$I252/cw)+F252*hCc*COS(2*PI()*$I252/cw) +mix*F252*(hQc*COS(2*PI()*$I252/qbo+$L252)+hQs*SIN(2*PI()*$I252/qbo+$L252))*(hCs*SIN(2*PI()*$I252/cw)+hCc*COS(2*PI()*$I252/cw))</f>
        <v>-2.1305737634827757</v>
      </c>
      <c r="K252">
        <f>fQc*COS(2*PI()*$I252/qbo+$L252)+fQs*SIN(2*PI()*$I252/qbo+$L252)+fCs*SIN(2*PI()*$I252/cw)+fCc*COS(2*PI()*$I252/cw)</f>
        <v>-1.6840175262264336</v>
      </c>
      <c r="L252">
        <f>+QMA*COS(2*PI()*$I252/QM+QMP)</f>
        <v>2.0064255837509677</v>
      </c>
      <c r="P252">
        <f t="shared" si="19"/>
        <v>1</v>
      </c>
    </row>
    <row r="253" spans="1:16" x14ac:dyDescent="0.25">
      <c r="A253" s="1"/>
      <c r="B253" t="s">
        <v>266</v>
      </c>
      <c r="C253" t="s">
        <v>24</v>
      </c>
      <c r="D253" s="3">
        <v>10.125</v>
      </c>
      <c r="E253" s="5">
        <f t="shared" si="15"/>
        <v>1892</v>
      </c>
      <c r="F253">
        <v>-0.34538999999999997</v>
      </c>
      <c r="G253">
        <f t="shared" si="16"/>
        <v>-1.5630200000000001</v>
      </c>
      <c r="H253">
        <f t="shared" si="17"/>
        <v>-1.5630200000000001</v>
      </c>
      <c r="I253" s="5">
        <f t="shared" si="18"/>
        <v>1892</v>
      </c>
      <c r="J253">
        <f>+H253+CF*F253*(1+($I253-1850)*slope/1000)+F253*hQc*COS(2*PI()*$I253/qbo+$L253)+F253*hQs*SIN(2*PI()*$I253/qbo+$L253)+F253*hCs*SIN(2*PI()*$I253/cw)+F253*hCc*COS(2*PI()*$I253/cw) +mix*F253*(hQc*COS(2*PI()*$I253/qbo+$L253)+hQs*SIN(2*PI()*$I253/qbo+$L253))*(hCs*SIN(2*PI()*$I253/cw)+hCc*COS(2*PI()*$I253/cw))</f>
        <v>83.093916641359996</v>
      </c>
      <c r="K253">
        <f>fQc*COS(2*PI()*$I253/qbo+$L253)+fQs*SIN(2*PI()*$I253/qbo+$L253)+fCs*SIN(2*PI()*$I253/cw)+fCc*COS(2*PI()*$I253/cw)</f>
        <v>1.4056127681768542</v>
      </c>
      <c r="L253">
        <f>+QMA*COS(2*PI()*$I253/QM+QMP)</f>
        <v>1.9973248870132794</v>
      </c>
      <c r="P253">
        <f t="shared" si="19"/>
        <v>1</v>
      </c>
    </row>
    <row r="254" spans="1:16" x14ac:dyDescent="0.25">
      <c r="A254" s="1"/>
      <c r="B254" t="s">
        <v>267</v>
      </c>
      <c r="C254" t="s">
        <v>24</v>
      </c>
      <c r="D254" s="3">
        <v>10.166666666666666</v>
      </c>
      <c r="E254" s="5">
        <f t="shared" si="15"/>
        <v>1893</v>
      </c>
      <c r="F254">
        <v>-2.2351800000000002</v>
      </c>
      <c r="G254">
        <f t="shared" si="16"/>
        <v>2.3824900000000002</v>
      </c>
      <c r="H254">
        <f t="shared" si="17"/>
        <v>2.3824900000000002</v>
      </c>
      <c r="I254" s="5">
        <f t="shared" si="18"/>
        <v>1893</v>
      </c>
      <c r="J254">
        <f>+H254+CF*F254*(1+($I254-1850)*slope/1000)+F254*hQc*COS(2*PI()*$I254/qbo+$L254)+F254*hQs*SIN(2*PI()*$I254/qbo+$L254)+F254*hCs*SIN(2*PI()*$I254/cw)+F254*hCc*COS(2*PI()*$I254/cw) +mix*F254*(hQc*COS(2*PI()*$I254/qbo+$L254)+hQs*SIN(2*PI()*$I254/qbo+$L254))*(hCs*SIN(2*PI()*$I254/cw)+hCc*COS(2*PI()*$I254/cw))</f>
        <v>104.83843512732923</v>
      </c>
      <c r="K254">
        <f>fQc*COS(2*PI()*$I254/qbo+$L254)+fQs*SIN(2*PI()*$I254/qbo+$L254)+fCs*SIN(2*PI()*$I254/cw)+fCc*COS(2*PI()*$I254/cw)</f>
        <v>-2.6829284814610292</v>
      </c>
      <c r="L254">
        <f>+QMA*COS(2*PI()*$I254/QM+QMP)</f>
        <v>1.9481047079287399</v>
      </c>
      <c r="P254">
        <f t="shared" si="19"/>
        <v>0</v>
      </c>
    </row>
    <row r="255" spans="1:16" x14ac:dyDescent="0.25">
      <c r="A255" s="1"/>
      <c r="B255" t="s">
        <v>268</v>
      </c>
      <c r="C255" t="s">
        <v>24</v>
      </c>
      <c r="D255" s="3">
        <v>10.208333333333334</v>
      </c>
      <c r="E255" s="5">
        <f t="shared" si="15"/>
        <v>1894</v>
      </c>
      <c r="F255">
        <v>-1.74248</v>
      </c>
      <c r="G255">
        <f t="shared" si="16"/>
        <v>0.96674999999999978</v>
      </c>
      <c r="H255">
        <f t="shared" si="17"/>
        <v>0.96674999999999978</v>
      </c>
      <c r="I255" s="5">
        <f t="shared" si="18"/>
        <v>1894</v>
      </c>
      <c r="J255">
        <f>+H255+CF*F255*(1+($I255-1850)*slope/1000)+F255*hQc*COS(2*PI()*$I255/qbo+$L255)+F255*hQs*SIN(2*PI()*$I255/qbo+$L255)+F255*hCs*SIN(2*PI()*$I255/cw)+F255*hCc*COS(2*PI()*$I255/cw) +mix*F255*(hQc*COS(2*PI()*$I255/qbo+$L255)+hQs*SIN(2*PI()*$I255/qbo+$L255))*(hCs*SIN(2*PI()*$I255/cw)+hCc*COS(2*PI()*$I255/cw))</f>
        <v>-26.773740359452862</v>
      </c>
      <c r="K255">
        <f>fQc*COS(2*PI()*$I255/qbo+$L255)+fQs*SIN(2*PI()*$I255/qbo+$L255)+fCs*SIN(2*PI()*$I255/cw)+fCc*COS(2*PI()*$I255/cw)</f>
        <v>1.8147750198588581</v>
      </c>
      <c r="L255">
        <f>+QMA*COS(2*PI()*$I255/QM+QMP)</f>
        <v>1.8597537129475297</v>
      </c>
      <c r="P255">
        <f t="shared" si="19"/>
        <v>0</v>
      </c>
    </row>
    <row r="256" spans="1:16" x14ac:dyDescent="0.25">
      <c r="A256" s="1"/>
      <c r="B256" t="s">
        <v>269</v>
      </c>
      <c r="C256" t="s">
        <v>24</v>
      </c>
      <c r="D256" s="3">
        <v>10.25</v>
      </c>
      <c r="E256" s="5">
        <f t="shared" si="15"/>
        <v>1895</v>
      </c>
      <c r="F256">
        <v>-0.28303</v>
      </c>
      <c r="G256">
        <f t="shared" si="16"/>
        <v>-1.5630499999999998</v>
      </c>
      <c r="H256">
        <f t="shared" si="17"/>
        <v>-1.5630499999999998</v>
      </c>
      <c r="I256" s="5">
        <f t="shared" si="18"/>
        <v>1895</v>
      </c>
      <c r="J256">
        <f>+H256+CF*F256*(1+($I256-1850)*slope/1000)+F256*hQc*COS(2*PI()*$I256/qbo+$L256)+F256*hQs*SIN(2*PI()*$I256/qbo+$L256)+F256*hCs*SIN(2*PI()*$I256/cw)+F256*hCc*COS(2*PI()*$I256/cw) +mix*F256*(hQc*COS(2*PI()*$I256/qbo+$L256)+hQs*SIN(2*PI()*$I256/qbo+$L256))*(hCs*SIN(2*PI()*$I256/cw)+hCc*COS(2*PI()*$I256/cw))</f>
        <v>5.77867623287709</v>
      </c>
      <c r="K256">
        <f>fQc*COS(2*PI()*$I256/qbo+$L256)+fQs*SIN(2*PI()*$I256/qbo+$L256)+fCs*SIN(2*PI()*$I256/cw)+fCc*COS(2*PI()*$I256/cw)</f>
        <v>2.609067937735873</v>
      </c>
      <c r="L256">
        <f>+QMA*COS(2*PI()*$I256/QM+QMP)</f>
        <v>1.7340465738851387</v>
      </c>
      <c r="P256">
        <f t="shared" si="19"/>
        <v>1</v>
      </c>
    </row>
    <row r="257" spans="1:16" x14ac:dyDescent="0.25">
      <c r="A257" s="1"/>
      <c r="B257" t="s">
        <v>270</v>
      </c>
      <c r="C257" t="s">
        <v>24</v>
      </c>
      <c r="D257" s="3">
        <v>10.291666666666666</v>
      </c>
      <c r="E257" s="5">
        <f t="shared" si="15"/>
        <v>1896</v>
      </c>
      <c r="F257">
        <v>-0.38662999999999997</v>
      </c>
      <c r="G257">
        <f t="shared" si="16"/>
        <v>1.8875199999999999</v>
      </c>
      <c r="H257">
        <f t="shared" si="17"/>
        <v>1.8875199999999999</v>
      </c>
      <c r="I257" s="5">
        <f t="shared" si="18"/>
        <v>1896</v>
      </c>
      <c r="J257">
        <f>+H257+CF*F257*(1+($I257-1850)*slope/1000)+F257*hQc*COS(2*PI()*$I257/qbo+$L257)+F257*hQs*SIN(2*PI()*$I257/qbo+$L257)+F257*hCs*SIN(2*PI()*$I257/cw)+F257*hCc*COS(2*PI()*$I257/cw) +mix*F257*(hQc*COS(2*PI()*$I257/qbo+$L257)+hQs*SIN(2*PI()*$I257/qbo+$L257))*(hCs*SIN(2*PI()*$I257/cw)+hCc*COS(2*PI()*$I257/cw))</f>
        <v>-84.234437066404041</v>
      </c>
      <c r="K257">
        <f>fQc*COS(2*PI()*$I257/qbo+$L257)+fQs*SIN(2*PI()*$I257/qbo+$L257)+fCs*SIN(2*PI()*$I257/cw)+fCc*COS(2*PI()*$I257/cw)</f>
        <v>-4.6128362603915001</v>
      </c>
      <c r="L257">
        <f>+QMA*COS(2*PI()*$I257/QM+QMP)</f>
        <v>1.5735083207852421</v>
      </c>
      <c r="P257">
        <f t="shared" si="19"/>
        <v>1</v>
      </c>
    </row>
    <row r="258" spans="1:16" x14ac:dyDescent="0.25">
      <c r="A258" s="1"/>
      <c r="B258" t="s">
        <v>271</v>
      </c>
      <c r="C258" t="s">
        <v>24</v>
      </c>
      <c r="D258" s="3">
        <v>10.333333333333334</v>
      </c>
      <c r="E258" s="5">
        <f t="shared" si="15"/>
        <v>1897</v>
      </c>
      <c r="F258">
        <v>1.3972899999999999</v>
      </c>
      <c r="G258">
        <f t="shared" si="16"/>
        <v>-3.03003</v>
      </c>
      <c r="H258">
        <f t="shared" si="17"/>
        <v>-3.03003</v>
      </c>
      <c r="I258" s="5">
        <f t="shared" si="18"/>
        <v>1897</v>
      </c>
      <c r="J258">
        <f>+H258+CF*F258*(1+($I258-1850)*slope/1000)+F258*hQc*COS(2*PI()*$I258/qbo+$L258)+F258*hQs*SIN(2*PI()*$I258/qbo+$L258)+F258*hCs*SIN(2*PI()*$I258/cw)+F258*hCc*COS(2*PI()*$I258/cw) +mix*F258*(hQc*COS(2*PI()*$I258/qbo+$L258)+hQs*SIN(2*PI()*$I258/qbo+$L258))*(hCs*SIN(2*PI()*$I258/cw)+hCc*COS(2*PI()*$I258/cw))</f>
        <v>-12.294804560922238</v>
      </c>
      <c r="K258">
        <f>fQc*COS(2*PI()*$I258/qbo+$L258)+fQs*SIN(2*PI()*$I258/qbo+$L258)+fCs*SIN(2*PI()*$I258/cw)+fCc*COS(2*PI()*$I258/cw)</f>
        <v>0.8159641922486075</v>
      </c>
      <c r="L258">
        <f>+QMA*COS(2*PI()*$I258/QM+QMP)</f>
        <v>1.3813636226302672</v>
      </c>
      <c r="P258">
        <f t="shared" si="19"/>
        <v>0</v>
      </c>
    </row>
    <row r="259" spans="1:16" x14ac:dyDescent="0.25">
      <c r="A259" s="1"/>
      <c r="B259" t="s">
        <v>272</v>
      </c>
      <c r="C259" t="s">
        <v>24</v>
      </c>
      <c r="D259" s="3">
        <v>10.375</v>
      </c>
      <c r="E259" s="5">
        <f t="shared" si="15"/>
        <v>1898</v>
      </c>
      <c r="F259">
        <v>0.15118000000000001</v>
      </c>
      <c r="G259">
        <f t="shared" si="16"/>
        <v>-0.33862000000000037</v>
      </c>
      <c r="H259">
        <f t="shared" si="17"/>
        <v>-0.33862000000000037</v>
      </c>
      <c r="I259" s="5">
        <f t="shared" si="18"/>
        <v>1898</v>
      </c>
      <c r="J259">
        <f>+H259+CF*F259*(1+($I259-1850)*slope/1000)+F259*hQc*COS(2*PI()*$I259/qbo+$L259)+F259*hQs*SIN(2*PI()*$I259/qbo+$L259)+F259*hCs*SIN(2*PI()*$I259/cw)+F259*hCc*COS(2*PI()*$I259/cw) +mix*F259*(hQc*COS(2*PI()*$I259/qbo+$L259)+hQs*SIN(2*PI()*$I259/qbo+$L259))*(hCs*SIN(2*PI()*$I259/cw)+hCc*COS(2*PI()*$I259/cw))</f>
        <v>17.629498457232874</v>
      </c>
      <c r="K259">
        <f>fQc*COS(2*PI()*$I259/qbo+$L259)+fQs*SIN(2*PI()*$I259/qbo+$L259)+fCs*SIN(2*PI()*$I259/cw)+fCc*COS(2*PI()*$I259/cw)</f>
        <v>3.198131450651998</v>
      </c>
      <c r="L259">
        <f>+QMA*COS(2*PI()*$I259/QM+QMP)</f>
        <v>1.1614720146796502</v>
      </c>
      <c r="P259">
        <f t="shared" si="19"/>
        <v>1</v>
      </c>
    </row>
    <row r="260" spans="1:16" x14ac:dyDescent="0.25">
      <c r="A260" s="1"/>
      <c r="B260" t="s">
        <v>273</v>
      </c>
      <c r="C260" t="s">
        <v>24</v>
      </c>
      <c r="D260" s="3">
        <v>10.416666666666666</v>
      </c>
      <c r="E260" s="5">
        <f t="shared" si="15"/>
        <v>1899</v>
      </c>
      <c r="F260">
        <v>-1.4335500000000001</v>
      </c>
      <c r="G260">
        <f t="shared" si="16"/>
        <v>3.4573100000000005</v>
      </c>
      <c r="H260">
        <f t="shared" si="17"/>
        <v>3.4573100000000005</v>
      </c>
      <c r="I260" s="5">
        <f t="shared" si="18"/>
        <v>1899</v>
      </c>
      <c r="J260">
        <f>+H260+CF*F260*(1+($I260-1850)*slope/1000)+F260*hQc*COS(2*PI()*$I260/qbo+$L260)+F260*hQs*SIN(2*PI()*$I260/qbo+$L260)+F260*hCs*SIN(2*PI()*$I260/cw)+F260*hCc*COS(2*PI()*$I260/cw) +mix*F260*(hQc*COS(2*PI()*$I260/qbo+$L260)+hQs*SIN(2*PI()*$I260/qbo+$L260))*(hCs*SIN(2*PI()*$I260/cw)+hCc*COS(2*PI()*$I260/cw))</f>
        <v>39.895047540316149</v>
      </c>
      <c r="K260">
        <f>fQc*COS(2*PI()*$I260/qbo+$L260)+fQs*SIN(2*PI()*$I260/qbo+$L260)+fCs*SIN(2*PI()*$I260/cw)+fCc*COS(2*PI()*$I260/cw)</f>
        <v>-2.5153454651086369</v>
      </c>
      <c r="L260">
        <f>+QMA*COS(2*PI()*$I260/QM+QMP)</f>
        <v>0.91825037349694516</v>
      </c>
      <c r="P260">
        <f t="shared" si="19"/>
        <v>0</v>
      </c>
    </row>
    <row r="261" spans="1:16" x14ac:dyDescent="0.25">
      <c r="A261" s="1"/>
      <c r="B261" s="4">
        <v>1</v>
      </c>
      <c r="C261" t="s">
        <v>24</v>
      </c>
      <c r="D261" s="3">
        <v>10.458333333333334</v>
      </c>
      <c r="E261" s="5">
        <f t="shared" si="15"/>
        <v>1900</v>
      </c>
      <c r="F261">
        <v>0.43902999999999998</v>
      </c>
      <c r="G261">
        <f t="shared" si="16"/>
        <v>-1.2742800000000001</v>
      </c>
      <c r="H261">
        <f t="shared" si="17"/>
        <v>-1.2742800000000001</v>
      </c>
      <c r="I261" s="5">
        <f t="shared" si="18"/>
        <v>1900</v>
      </c>
      <c r="J261">
        <f>+H261+CF*F261*(1+($I261-1850)*slope/1000)+F261*hQc*COS(2*PI()*$I261/qbo+$L261)+F261*hQs*SIN(2*PI()*$I261/qbo+$L261)+F261*hCs*SIN(2*PI()*$I261/cw)+F261*hCc*COS(2*PI()*$I261/cw) +mix*F261*(hQc*COS(2*PI()*$I261/qbo+$L261)+hQs*SIN(2*PI()*$I261/qbo+$L261))*(hCs*SIN(2*PI()*$I261/cw)+hCc*COS(2*PI()*$I261/cw))</f>
        <v>-64.819726709595173</v>
      </c>
      <c r="K261">
        <f>fQc*COS(2*PI()*$I261/qbo+$L261)+fQs*SIN(2*PI()*$I261/qbo+$L261)+fCs*SIN(2*PI()*$I261/cw)+fCc*COS(2*PI()*$I261/cw)</f>
        <v>5.9905615523323519E-2</v>
      </c>
      <c r="L261">
        <f>+QMA*COS(2*PI()*$I261/QM+QMP)</f>
        <v>0.65658419688124892</v>
      </c>
      <c r="P261">
        <f t="shared" si="19"/>
        <v>0</v>
      </c>
    </row>
    <row r="262" spans="1:16" x14ac:dyDescent="0.25">
      <c r="A262" s="1"/>
      <c r="B262" s="4">
        <v>367</v>
      </c>
      <c r="C262" t="s">
        <v>24</v>
      </c>
      <c r="D262" s="3">
        <v>10.5</v>
      </c>
      <c r="E262" s="5">
        <f t="shared" si="15"/>
        <v>1901</v>
      </c>
      <c r="F262">
        <v>1.0373300000000001</v>
      </c>
      <c r="G262">
        <f t="shared" si="16"/>
        <v>-2.6122100000000001</v>
      </c>
      <c r="H262">
        <f t="shared" si="17"/>
        <v>-2.6122100000000001</v>
      </c>
      <c r="I262" s="5">
        <f t="shared" si="18"/>
        <v>1901</v>
      </c>
      <c r="J262">
        <f>+H262+CF*F262*(1+($I262-1850)*slope/1000)+F262*hQc*COS(2*PI()*$I262/qbo+$L262)+F262*hQs*SIN(2*PI()*$I262/qbo+$L262)+F262*hCs*SIN(2*PI()*$I262/cw)+F262*hCc*COS(2*PI()*$I262/cw) +mix*F262*(hQc*COS(2*PI()*$I262/qbo+$L262)+hQs*SIN(2*PI()*$I262/qbo+$L262))*(hCs*SIN(2*PI()*$I262/cw)+hCc*COS(2*PI()*$I262/cw))</f>
        <v>-27.342729722883249</v>
      </c>
      <c r="K262">
        <f>fQc*COS(2*PI()*$I262/qbo+$L262)+fQs*SIN(2*PI()*$I262/qbo+$L262)+fCs*SIN(2*PI()*$I262/cw)+fCc*COS(2*PI()*$I262/cw)</f>
        <v>0.82016163709217205</v>
      </c>
      <c r="L262">
        <f>+QMA*COS(2*PI()*$I262/QM+QMP)</f>
        <v>0.38172947078766412</v>
      </c>
      <c r="P262">
        <f t="shared" si="19"/>
        <v>0</v>
      </c>
    </row>
    <row r="263" spans="1:16" x14ac:dyDescent="0.25">
      <c r="A263" s="1"/>
      <c r="B263" s="4">
        <v>732</v>
      </c>
      <c r="C263" t="s">
        <v>24</v>
      </c>
      <c r="D263" s="3">
        <v>10.541666666666666</v>
      </c>
      <c r="E263" s="5">
        <f t="shared" si="15"/>
        <v>1902</v>
      </c>
      <c r="F263">
        <v>-0.97658</v>
      </c>
      <c r="G263">
        <f t="shared" si="16"/>
        <v>4.6636100000000003</v>
      </c>
      <c r="H263">
        <f t="shared" si="17"/>
        <v>4.6636100000000003</v>
      </c>
      <c r="I263" s="5">
        <f t="shared" si="18"/>
        <v>1902</v>
      </c>
      <c r="J263">
        <f>+H263+CF*F263*(1+($I263-1850)*slope/1000)+F263*hQc*COS(2*PI()*$I263/qbo+$L263)+F263*hQs*SIN(2*PI()*$I263/qbo+$L263)+F263*hCs*SIN(2*PI()*$I263/cw)+F263*hCc*COS(2*PI()*$I263/cw) +mix*F263*(hQc*COS(2*PI()*$I263/qbo+$L263)+hQs*SIN(2*PI()*$I263/qbo+$L263))*(hCs*SIN(2*PI()*$I263/cw)+hCc*COS(2*PI()*$I263/cw))</f>
        <v>253.5260276846152</v>
      </c>
      <c r="K263">
        <f>fQc*COS(2*PI()*$I263/qbo+$L263)+fQs*SIN(2*PI()*$I263/qbo+$L263)+fCs*SIN(2*PI()*$I263/cw)+fCc*COS(2*PI()*$I263/cw)</f>
        <v>-1.6062156170340196</v>
      </c>
      <c r="L263">
        <f>+QMA*COS(2*PI()*$I263/QM+QMP)</f>
        <v>9.9207094396252429E-2</v>
      </c>
      <c r="P263">
        <f t="shared" si="19"/>
        <v>0</v>
      </c>
    </row>
    <row r="264" spans="1:16" x14ac:dyDescent="0.25">
      <c r="A264" s="1"/>
      <c r="B264" s="4">
        <v>1097</v>
      </c>
      <c r="C264" t="s">
        <v>24</v>
      </c>
      <c r="D264" s="3">
        <v>10.583333333333334</v>
      </c>
      <c r="E264" s="5">
        <f t="shared" si="15"/>
        <v>1903</v>
      </c>
      <c r="F264">
        <v>1.6731199999999999</v>
      </c>
      <c r="G264">
        <f t="shared" si="16"/>
        <v>-6.1806000000000001</v>
      </c>
      <c r="H264">
        <f t="shared" si="17"/>
        <v>-6.1806000000000001</v>
      </c>
      <c r="I264" s="5">
        <f t="shared" si="18"/>
        <v>1903</v>
      </c>
      <c r="J264">
        <f>+H264+CF*F264*(1+($I264-1850)*slope/1000)+F264*hQc*COS(2*PI()*$I264/qbo+$L264)+F264*hQs*SIN(2*PI()*$I264/qbo+$L264)+F264*hCs*SIN(2*PI()*$I264/cw)+F264*hCc*COS(2*PI()*$I264/cw) +mix*F264*(hQc*COS(2*PI()*$I264/qbo+$L264)+hQs*SIN(2*PI()*$I264/qbo+$L264))*(hCs*SIN(2*PI()*$I264/cw)+hCc*COS(2*PI()*$I264/cw))</f>
        <v>14.820495948521778</v>
      </c>
      <c r="K264">
        <f>fQc*COS(2*PI()*$I264/qbo+$L264)+fQs*SIN(2*PI()*$I264/qbo+$L264)+fCs*SIN(2*PI()*$I264/cw)+fCc*COS(2*PI()*$I264/cw)</f>
        <v>2.3366083704074292</v>
      </c>
      <c r="L264">
        <f>+QMA*COS(2*PI()*$I264/QM+QMP)</f>
        <v>-0.18530801602554545</v>
      </c>
      <c r="P264">
        <f t="shared" si="19"/>
        <v>1</v>
      </c>
    </row>
    <row r="265" spans="1:16" x14ac:dyDescent="0.25">
      <c r="A265" s="1"/>
      <c r="B265" s="4">
        <v>1462</v>
      </c>
      <c r="C265" t="s">
        <v>24</v>
      </c>
      <c r="D265" s="3">
        <v>10.625</v>
      </c>
      <c r="E265" s="5">
        <f t="shared" si="15"/>
        <v>1904</v>
      </c>
      <c r="F265">
        <v>-1.85778</v>
      </c>
      <c r="G265">
        <f t="shared" si="16"/>
        <v>7.8058199999999998</v>
      </c>
      <c r="H265">
        <f t="shared" si="17"/>
        <v>7.8058199999999998</v>
      </c>
      <c r="I265" s="5">
        <f t="shared" si="18"/>
        <v>1904</v>
      </c>
      <c r="J265">
        <f>+H265+CF*F265*(1+($I265-1850)*slope/1000)+F265*hQc*COS(2*PI()*$I265/qbo+$L265)+F265*hQs*SIN(2*PI()*$I265/qbo+$L265)+F265*hCs*SIN(2*PI()*$I265/cw)+F265*hCc*COS(2*PI()*$I265/cw) +mix*F265*(hQc*COS(2*PI()*$I265/qbo+$L265)+hQs*SIN(2*PI()*$I265/qbo+$L265))*(hCs*SIN(2*PI()*$I265/cw)+hCc*COS(2*PI()*$I265/cw))</f>
        <v>245.18785520068565</v>
      </c>
      <c r="K265">
        <f>fQc*COS(2*PI()*$I265/qbo+$L265)+fQs*SIN(2*PI()*$I265/qbo+$L265)+fCs*SIN(2*PI()*$I265/cw)+fCc*COS(2*PI()*$I265/cw)</f>
        <v>9.8114463237449767E-2</v>
      </c>
      <c r="L265">
        <f>+QMA*COS(2*PI()*$I265/QM+QMP)</f>
        <v>-0.46610091694301814</v>
      </c>
      <c r="P265">
        <f t="shared" si="19"/>
        <v>1</v>
      </c>
    </row>
    <row r="266" spans="1:16" x14ac:dyDescent="0.25">
      <c r="A266" s="1"/>
      <c r="B266" s="4">
        <v>1828</v>
      </c>
      <c r="C266" t="s">
        <v>24</v>
      </c>
      <c r="D266" s="3">
        <v>10.666666666666666</v>
      </c>
      <c r="E266" s="5">
        <f t="shared" si="15"/>
        <v>1905</v>
      </c>
      <c r="F266">
        <v>2.4171399999999998</v>
      </c>
      <c r="G266">
        <f t="shared" si="16"/>
        <v>-4.6000300000000003</v>
      </c>
      <c r="H266">
        <f t="shared" si="17"/>
        <v>-4.6000300000000003</v>
      </c>
      <c r="I266" s="5">
        <f t="shared" si="18"/>
        <v>1905</v>
      </c>
      <c r="J266">
        <f>+H266+CF*F266*(1+($I266-1850)*slope/1000)+F266*hQc*COS(2*PI()*$I266/qbo+$L266)+F266*hQs*SIN(2*PI()*$I266/qbo+$L266)+F266*hCs*SIN(2*PI()*$I266/cw)+F266*hCc*COS(2*PI()*$I266/cw) +mix*F266*(hQc*COS(2*PI()*$I266/qbo+$L266)+hQs*SIN(2*PI()*$I266/qbo+$L266))*(hCs*SIN(2*PI()*$I266/cw)+hCc*COS(2*PI()*$I266/cw))</f>
        <v>96.846125048390775</v>
      </c>
      <c r="K266">
        <f>fQc*COS(2*PI()*$I266/qbo+$L266)+fQs*SIN(2*PI()*$I266/qbo+$L266)+fCs*SIN(2*PI()*$I266/cw)+fCc*COS(2*PI()*$I266/cw)</f>
        <v>-3.9462004969996145</v>
      </c>
      <c r="L266">
        <f>+QMA*COS(2*PI()*$I266/QM+QMP)</f>
        <v>-0.73753143138520139</v>
      </c>
      <c r="P266">
        <f t="shared" si="19"/>
        <v>0</v>
      </c>
    </row>
    <row r="267" spans="1:16" x14ac:dyDescent="0.25">
      <c r="A267" s="1"/>
      <c r="B267" s="4">
        <v>2193</v>
      </c>
      <c r="C267" t="s">
        <v>24</v>
      </c>
      <c r="D267" s="3">
        <v>10.708333333333334</v>
      </c>
      <c r="E267" s="5">
        <f t="shared" si="15"/>
        <v>1906</v>
      </c>
      <c r="F267">
        <v>2.0920299999999998</v>
      </c>
      <c r="G267">
        <f t="shared" si="16"/>
        <v>-1.3063799999999999</v>
      </c>
      <c r="H267">
        <f t="shared" si="17"/>
        <v>-1.3063799999999999</v>
      </c>
      <c r="I267" s="5">
        <f t="shared" si="18"/>
        <v>1906</v>
      </c>
      <c r="J267">
        <f>+H267+CF*F267*(1+($I267-1850)*slope/1000)+F267*hQc*COS(2*PI()*$I267/qbo+$L267)+F267*hQs*SIN(2*PI()*$I267/qbo+$L267)+F267*hCs*SIN(2*PI()*$I267/cw)+F267*hCc*COS(2*PI()*$I267/cw) +mix*F267*(hQc*COS(2*PI()*$I267/qbo+$L267)+hQs*SIN(2*PI()*$I267/qbo+$L267))*(hCs*SIN(2*PI()*$I267/cw)+hCc*COS(2*PI()*$I267/cw))</f>
        <v>253.59920410521127</v>
      </c>
      <c r="K267">
        <f>fQc*COS(2*PI()*$I267/qbo+$L267)+fQs*SIN(2*PI()*$I267/qbo+$L267)+fCs*SIN(2*PI()*$I267/cw)+fCc*COS(2*PI()*$I267/cw)</f>
        <v>2.9985045828469827</v>
      </c>
      <c r="L267">
        <f>+QMA*COS(2*PI()*$I267/QM+QMP)</f>
        <v>-0.99414744096935237</v>
      </c>
      <c r="P267">
        <f t="shared" si="19"/>
        <v>1</v>
      </c>
    </row>
    <row r="268" spans="1:16" x14ac:dyDescent="0.25">
      <c r="A268" s="1"/>
      <c r="B268" s="4">
        <v>2558</v>
      </c>
      <c r="C268" t="s">
        <v>24</v>
      </c>
      <c r="D268" s="3">
        <v>10.75</v>
      </c>
      <c r="E268" s="5">
        <f t="shared" si="15"/>
        <v>1907</v>
      </c>
      <c r="F268">
        <v>0.46054</v>
      </c>
      <c r="G268">
        <f t="shared" si="16"/>
        <v>1.47526</v>
      </c>
      <c r="H268">
        <f t="shared" si="17"/>
        <v>1.47526</v>
      </c>
      <c r="I268" s="5">
        <f t="shared" si="18"/>
        <v>1907</v>
      </c>
      <c r="J268">
        <f>+H268+CF*F268*(1+($I268-1850)*slope/1000)+F268*hQc*COS(2*PI()*$I268/qbo+$L268)+F268*hQs*SIN(2*PI()*$I268/qbo+$L268)+F268*hCs*SIN(2*PI()*$I268/cw)+F268*hCc*COS(2*PI()*$I268/cw) +mix*F268*(hQc*COS(2*PI()*$I268/qbo+$L268)+hQs*SIN(2*PI()*$I268/qbo+$L268))*(hCs*SIN(2*PI()*$I268/cw)+hCc*COS(2*PI()*$I268/cw))</f>
        <v>10.253692605131258</v>
      </c>
      <c r="K268">
        <f>fQc*COS(2*PI()*$I268/qbo+$L268)+fQs*SIN(2*PI()*$I268/qbo+$L268)+fCs*SIN(2*PI()*$I268/cw)+fCc*COS(2*PI()*$I268/cw)</f>
        <v>2.2795961181715674</v>
      </c>
      <c r="L268">
        <f>+QMA*COS(2*PI()*$I268/QM+QMP)</f>
        <v>-1.2307944004667213</v>
      </c>
      <c r="P268">
        <f t="shared" si="19"/>
        <v>1</v>
      </c>
    </row>
    <row r="269" spans="1:16" x14ac:dyDescent="0.25">
      <c r="A269" s="1"/>
      <c r="B269" s="4">
        <v>2923</v>
      </c>
      <c r="C269" t="s">
        <v>24</v>
      </c>
      <c r="D269" s="3">
        <v>10.791666666666666</v>
      </c>
      <c r="E269" s="5">
        <f t="shared" ref="E269:E332" si="20">+E268+1</f>
        <v>1908</v>
      </c>
      <c r="F269">
        <v>0.30431000000000002</v>
      </c>
      <c r="G269">
        <f t="shared" ref="G269:G332" si="21">+(F270-F269)-(F269-F268)</f>
        <v>-1.2863600000000002</v>
      </c>
      <c r="H269">
        <f t="shared" ref="H269:H332" si="22">+G269</f>
        <v>-1.2863600000000002</v>
      </c>
      <c r="I269" s="5">
        <f t="shared" si="18"/>
        <v>1908</v>
      </c>
      <c r="J269">
        <f>+H269+CF*F269*(1+($I269-1850)*slope/1000)+F269*hQc*COS(2*PI()*$I269/qbo+$L269)+F269*hQs*SIN(2*PI()*$I269/qbo+$L269)+F269*hCs*SIN(2*PI()*$I269/cw)+F269*hCc*COS(2*PI()*$I269/cw) +mix*F269*(hQc*COS(2*PI()*$I269/qbo+$L269)+hQs*SIN(2*PI()*$I269/qbo+$L269))*(hCs*SIN(2*PI()*$I269/cw)+hCc*COS(2*PI()*$I269/cw))</f>
        <v>60.807740717486269</v>
      </c>
      <c r="K269">
        <f>fQc*COS(2*PI()*$I269/qbo+$L269)+fQs*SIN(2*PI()*$I269/qbo+$L269)+fCs*SIN(2*PI()*$I269/cw)+fCc*COS(2*PI()*$I269/cw)</f>
        <v>-4.3325795667148146</v>
      </c>
      <c r="L269">
        <f>+QMA*COS(2*PI()*$I269/QM+QMP)</f>
        <v>-1.4427188751329114</v>
      </c>
      <c r="P269">
        <f t="shared" si="19"/>
        <v>0</v>
      </c>
    </row>
    <row r="270" spans="1:16" x14ac:dyDescent="0.25">
      <c r="A270" s="1"/>
      <c r="B270" s="4">
        <v>3289</v>
      </c>
      <c r="C270" t="s">
        <v>24</v>
      </c>
      <c r="D270" s="3">
        <v>10.833333333333334</v>
      </c>
      <c r="E270" s="5">
        <f t="shared" si="20"/>
        <v>1909</v>
      </c>
      <c r="F270">
        <v>-1.13828</v>
      </c>
      <c r="G270">
        <f t="shared" si="21"/>
        <v>0.48252000000000006</v>
      </c>
      <c r="H270">
        <f t="shared" si="22"/>
        <v>0.48252000000000006</v>
      </c>
      <c r="I270" s="5">
        <f t="shared" ref="I270:I333" si="23">+E270</f>
        <v>1909</v>
      </c>
      <c r="J270">
        <f>+H270+CF*F270*(1+($I270-1850)*slope/1000)+F270*hQc*COS(2*PI()*$I270/qbo+$L270)+F270*hQs*SIN(2*PI()*$I270/qbo+$L270)+F270*hCs*SIN(2*PI()*$I270/cw)+F270*hCc*COS(2*PI()*$I270/cw) +mix*F270*(hQc*COS(2*PI()*$I270/qbo+$L270)+hQs*SIN(2*PI()*$I270/qbo+$L270))*(hCs*SIN(2*PI()*$I270/cw)+hCc*COS(2*PI()*$I270/cw))</f>
        <v>91.983067471643977</v>
      </c>
      <c r="K270">
        <f>fQc*COS(2*PI()*$I270/qbo+$L270)+fQs*SIN(2*PI()*$I270/qbo+$L270)+fCs*SIN(2*PI()*$I270/cw)+fCc*COS(2*PI()*$I270/cw)</f>
        <v>1.08639063621579</v>
      </c>
      <c r="L270">
        <f>+QMA*COS(2*PI()*$I270/QM+QMP)</f>
        <v>-1.6256640210886331</v>
      </c>
      <c r="P270">
        <f t="shared" ref="P270:P333" si="24">+IF(J270*K270&gt;0,1, 0)</f>
        <v>1</v>
      </c>
    </row>
    <row r="271" spans="1:16" x14ac:dyDescent="0.25">
      <c r="A271" s="1"/>
      <c r="B271" s="4">
        <v>3654</v>
      </c>
      <c r="C271" t="s">
        <v>24</v>
      </c>
      <c r="D271" s="3">
        <v>10.875</v>
      </c>
      <c r="E271" s="5">
        <f t="shared" si="20"/>
        <v>1910</v>
      </c>
      <c r="F271">
        <v>-2.0983499999999999</v>
      </c>
      <c r="G271">
        <f t="shared" si="21"/>
        <v>2.6539299999999999</v>
      </c>
      <c r="H271">
        <f t="shared" si="22"/>
        <v>2.6539299999999999</v>
      </c>
      <c r="I271" s="5">
        <f t="shared" si="23"/>
        <v>1910</v>
      </c>
      <c r="J271">
        <f>+H271+CF*F271*(1+($I271-1850)*slope/1000)+F271*hQc*COS(2*PI()*$I271/qbo+$L271)+F271*hQs*SIN(2*PI()*$I271/qbo+$L271)+F271*hCs*SIN(2*PI()*$I271/cw)+F271*hCc*COS(2*PI()*$I271/cw) +mix*F271*(hQc*COS(2*PI()*$I271/qbo+$L271)+hQs*SIN(2*PI()*$I271/qbo+$L271))*(hCs*SIN(2*PI()*$I271/cw)+hCc*COS(2*PI()*$I271/cw))</f>
        <v>-30.175489586335335</v>
      </c>
      <c r="K271">
        <f>fQc*COS(2*PI()*$I271/qbo+$L271)+fQs*SIN(2*PI()*$I271/qbo+$L271)+fCs*SIN(2*PI()*$I271/cw)+fCc*COS(2*PI()*$I271/cw)</f>
        <v>1.6734821256974921</v>
      </c>
      <c r="L271">
        <f>+QMA*COS(2*PI()*$I271/QM+QMP)</f>
        <v>-1.7759550908748083</v>
      </c>
      <c r="P271">
        <f t="shared" si="24"/>
        <v>0</v>
      </c>
    </row>
    <row r="272" spans="1:16" x14ac:dyDescent="0.25">
      <c r="A272" s="1"/>
      <c r="B272" s="4">
        <v>4019</v>
      </c>
      <c r="C272" t="s">
        <v>24</v>
      </c>
      <c r="D272" s="3">
        <v>10.916666666666666</v>
      </c>
      <c r="E272" s="5">
        <f t="shared" si="20"/>
        <v>1911</v>
      </c>
      <c r="F272">
        <v>-0.40449000000000002</v>
      </c>
      <c r="G272">
        <f t="shared" si="21"/>
        <v>0.65920000000000023</v>
      </c>
      <c r="H272">
        <f t="shared" si="22"/>
        <v>0.65920000000000023</v>
      </c>
      <c r="I272" s="5">
        <f t="shared" si="23"/>
        <v>1911</v>
      </c>
      <c r="J272">
        <f>+H272+CF*F272*(1+($I272-1850)*slope/1000)+F272*hQc*COS(2*PI()*$I272/qbo+$L272)+F272*hQs*SIN(2*PI()*$I272/qbo+$L272)+F272*hCs*SIN(2*PI()*$I272/cw)+F272*hCc*COS(2*PI()*$I272/cw) +mix*F272*(hQc*COS(2*PI()*$I272/qbo+$L272)+hQs*SIN(2*PI()*$I272/qbo+$L272))*(hCs*SIN(2*PI()*$I272/cw)+hCc*COS(2*PI()*$I272/cw))</f>
        <v>44.655531447794999</v>
      </c>
      <c r="K272">
        <f>fQc*COS(2*PI()*$I272/qbo+$L272)+fQs*SIN(2*PI()*$I272/qbo+$L272)+fCs*SIN(2*PI()*$I272/cw)+fCc*COS(2*PI()*$I272/cw)</f>
        <v>-1.5027307566742971</v>
      </c>
      <c r="L272">
        <f>+QMA*COS(2*PI()*$I272/QM+QMP)</f>
        <v>-1.8905732466646299</v>
      </c>
      <c r="P272">
        <f t="shared" si="24"/>
        <v>0</v>
      </c>
    </row>
    <row r="273" spans="1:16" x14ac:dyDescent="0.25">
      <c r="A273" s="1"/>
      <c r="B273" s="4">
        <v>4384</v>
      </c>
      <c r="C273" t="s">
        <v>24</v>
      </c>
      <c r="D273" s="3">
        <v>10.958333333333334</v>
      </c>
      <c r="E273" s="5">
        <f t="shared" si="20"/>
        <v>1912</v>
      </c>
      <c r="F273">
        <v>1.9485699999999999</v>
      </c>
      <c r="G273">
        <f t="shared" si="21"/>
        <v>-3.4008099999999999</v>
      </c>
      <c r="H273">
        <f t="shared" si="22"/>
        <v>-3.4008099999999999</v>
      </c>
      <c r="I273" s="5">
        <f t="shared" si="23"/>
        <v>1912</v>
      </c>
      <c r="J273">
        <f>+H273+CF*F273*(1+($I273-1850)*slope/1000)+F273*hQc*COS(2*PI()*$I273/qbo+$L273)+F273*hQs*SIN(2*PI()*$I273/qbo+$L273)+F273*hCs*SIN(2*PI()*$I273/cw)+F273*hCc*COS(2*PI()*$I273/cw) +mix*F273*(hQc*COS(2*PI()*$I273/qbo+$L273)+hQs*SIN(2*PI()*$I273/qbo+$L273))*(hCs*SIN(2*PI()*$I273/cw)+hCc*COS(2*PI()*$I273/cw))</f>
        <v>-438.18094411752156</v>
      </c>
      <c r="K273">
        <f>fQc*COS(2*PI()*$I273/qbo+$L273)+fQs*SIN(2*PI()*$I273/qbo+$L273)+fCs*SIN(2*PI()*$I273/cw)+fCc*COS(2*PI()*$I273/cw)</f>
        <v>1.7983105696838391</v>
      </c>
      <c r="L273">
        <f>+QMA*COS(2*PI()*$I273/QM+QMP)</f>
        <v>-1.9672161984762402</v>
      </c>
      <c r="P273">
        <f t="shared" si="24"/>
        <v>0</v>
      </c>
    </row>
    <row r="274" spans="1:16" x14ac:dyDescent="0.25">
      <c r="A274" s="1"/>
      <c r="B274" s="4">
        <v>4750</v>
      </c>
      <c r="C274" t="s">
        <v>24</v>
      </c>
      <c r="D274" s="3">
        <v>11</v>
      </c>
      <c r="E274" s="5">
        <f t="shared" si="20"/>
        <v>1913</v>
      </c>
      <c r="F274">
        <v>0.90081999999999995</v>
      </c>
      <c r="G274">
        <f t="shared" si="21"/>
        <v>1.9676</v>
      </c>
      <c r="H274">
        <f t="shared" si="22"/>
        <v>1.9676</v>
      </c>
      <c r="I274" s="5">
        <f t="shared" si="23"/>
        <v>1913</v>
      </c>
      <c r="J274">
        <f>+H274+CF*F274*(1+($I274-1850)*slope/1000)+F274*hQc*COS(2*PI()*$I274/qbo+$L274)+F274*hQs*SIN(2*PI()*$I274/qbo+$L274)+F274*hCs*SIN(2*PI()*$I274/cw)+F274*hCc*COS(2*PI()*$I274/cw) +mix*F274*(hQc*COS(2*PI()*$I274/qbo+$L274)+hQs*SIN(2*PI()*$I274/qbo+$L274))*(hCs*SIN(2*PI()*$I274/cw)+hCc*COS(2*PI()*$I274/cw))</f>
        <v>35.904392463302436</v>
      </c>
      <c r="K274">
        <f>fQc*COS(2*PI()*$I274/qbo+$L274)+fQs*SIN(2*PI()*$I274/qbo+$L274)+fCs*SIN(2*PI()*$I274/cw)+fCc*COS(2*PI()*$I274/cw)</f>
        <v>-2.5840389678709048</v>
      </c>
      <c r="L274">
        <f>+QMA*COS(2*PI()*$I274/QM+QMP)</f>
        <v>-2.0043444493694547</v>
      </c>
      <c r="P274">
        <f t="shared" si="24"/>
        <v>0</v>
      </c>
    </row>
    <row r="275" spans="1:16" x14ac:dyDescent="0.25">
      <c r="A275" s="1"/>
      <c r="B275" s="4">
        <v>5115</v>
      </c>
      <c r="C275" t="s">
        <v>24</v>
      </c>
      <c r="D275" s="3">
        <v>11.041666666666666</v>
      </c>
      <c r="E275" s="5">
        <f t="shared" si="20"/>
        <v>1914</v>
      </c>
      <c r="F275">
        <v>1.82067</v>
      </c>
      <c r="G275">
        <f t="shared" si="21"/>
        <v>-0.67032000000000025</v>
      </c>
      <c r="H275">
        <f t="shared" si="22"/>
        <v>-0.67032000000000025</v>
      </c>
      <c r="I275" s="5">
        <f t="shared" si="23"/>
        <v>1914</v>
      </c>
      <c r="J275">
        <f>+H275+CF*F275*(1+($I275-1850)*slope/1000)+F275*hQc*COS(2*PI()*$I275/qbo+$L275)+F275*hQs*SIN(2*PI()*$I275/qbo+$L275)+F275*hCs*SIN(2*PI()*$I275/cw)+F275*hCc*COS(2*PI()*$I275/cw) +mix*F275*(hQc*COS(2*PI()*$I275/qbo+$L275)+hQs*SIN(2*PI()*$I275/qbo+$L275))*(hCs*SIN(2*PI()*$I275/cw)+hCc*COS(2*PI()*$I275/cw))</f>
        <v>-130.77736720748203</v>
      </c>
      <c r="K275">
        <f>fQc*COS(2*PI()*$I275/qbo+$L275)+fQs*SIN(2*PI()*$I275/qbo+$L275)+fCs*SIN(2*PI()*$I275/cw)+fCc*COS(2*PI()*$I275/cw)</f>
        <v>0.12807811892054266</v>
      </c>
      <c r="L275">
        <f>+QMA*COS(2*PI()*$I275/QM+QMP)</f>
        <v>-2.0012122187174044</v>
      </c>
      <c r="P275">
        <f t="shared" si="24"/>
        <v>0</v>
      </c>
    </row>
    <row r="276" spans="1:16" x14ac:dyDescent="0.25">
      <c r="A276" s="1"/>
      <c r="B276" s="4">
        <v>5480</v>
      </c>
      <c r="C276" t="s">
        <v>24</v>
      </c>
      <c r="D276" s="3">
        <v>11.083333333333334</v>
      </c>
      <c r="E276" s="5">
        <f t="shared" si="20"/>
        <v>1915</v>
      </c>
      <c r="F276">
        <v>2.0701999999999998</v>
      </c>
      <c r="G276">
        <f t="shared" si="21"/>
        <v>-2.86402</v>
      </c>
      <c r="H276">
        <f t="shared" si="22"/>
        <v>-2.86402</v>
      </c>
      <c r="I276" s="5">
        <f t="shared" si="23"/>
        <v>1915</v>
      </c>
      <c r="J276">
        <f>+H276+CF*F276*(1+($I276-1850)*slope/1000)+F276*hQc*COS(2*PI()*$I276/qbo+$L276)+F276*hQs*SIN(2*PI()*$I276/qbo+$L276)+F276*hCs*SIN(2*PI()*$I276/cw)+F276*hCc*COS(2*PI()*$I276/cw) +mix*F276*(hQc*COS(2*PI()*$I276/qbo+$L276)+hQs*SIN(2*PI()*$I276/qbo+$L276))*(hCs*SIN(2*PI()*$I276/cw)+hCc*COS(2*PI()*$I276/cw))</f>
        <v>212.98204566770966</v>
      </c>
      <c r="K276">
        <f>fQc*COS(2*PI()*$I276/qbo+$L276)+fQs*SIN(2*PI()*$I276/qbo+$L276)+fCs*SIN(2*PI()*$I276/cw)+fCc*COS(2*PI()*$I276/cw)</f>
        <v>3.9283499469220491</v>
      </c>
      <c r="L276">
        <f>+QMA*COS(2*PI()*$I276/QM+QMP)</f>
        <v>-1.9578824224098244</v>
      </c>
      <c r="P276">
        <f t="shared" si="24"/>
        <v>1</v>
      </c>
    </row>
    <row r="277" spans="1:16" x14ac:dyDescent="0.25">
      <c r="A277" s="1"/>
      <c r="B277" s="4">
        <v>5845</v>
      </c>
      <c r="C277" t="s">
        <v>24</v>
      </c>
      <c r="D277" s="3">
        <v>11.125</v>
      </c>
      <c r="E277" s="5">
        <f t="shared" si="20"/>
        <v>1916</v>
      </c>
      <c r="F277">
        <v>-0.54429000000000005</v>
      </c>
      <c r="G277">
        <f t="shared" si="21"/>
        <v>1.9921000000000002</v>
      </c>
      <c r="H277">
        <f t="shared" si="22"/>
        <v>1.9921000000000002</v>
      </c>
      <c r="I277" s="5">
        <f t="shared" si="23"/>
        <v>1916</v>
      </c>
      <c r="J277">
        <f>+H277+CF*F277*(1+($I277-1850)*slope/1000)+F277*hQc*COS(2*PI()*$I277/qbo+$L277)+F277*hQs*SIN(2*PI()*$I277/qbo+$L277)+F277*hCs*SIN(2*PI()*$I277/cw)+F277*hCc*COS(2*PI()*$I277/cw) +mix*F277*(hQc*COS(2*PI()*$I277/qbo+$L277)+hQs*SIN(2*PI()*$I277/qbo+$L277))*(hCs*SIN(2*PI()*$I277/cw)+hCc*COS(2*PI()*$I277/cw))</f>
        <v>-91.571320055405636</v>
      </c>
      <c r="K277">
        <f>fQc*COS(2*PI()*$I277/qbo+$L277)+fQs*SIN(2*PI()*$I277/qbo+$L277)+fCs*SIN(2*PI()*$I277/cw)+fCc*COS(2*PI()*$I277/cw)</f>
        <v>-4.0071515270073501</v>
      </c>
      <c r="L277">
        <f>+QMA*COS(2*PI()*$I277/QM+QMP)</f>
        <v>-1.875225409086182</v>
      </c>
      <c r="P277">
        <f t="shared" si="24"/>
        <v>1</v>
      </c>
    </row>
    <row r="278" spans="1:16" x14ac:dyDescent="0.25">
      <c r="A278" s="1"/>
      <c r="B278" s="4">
        <v>6211</v>
      </c>
      <c r="C278" t="s">
        <v>24</v>
      </c>
      <c r="D278" s="3">
        <v>11.166666666666666</v>
      </c>
      <c r="E278" s="5">
        <f t="shared" si="20"/>
        <v>1917</v>
      </c>
      <c r="F278">
        <v>-1.1666799999999999</v>
      </c>
      <c r="G278">
        <f t="shared" si="21"/>
        <v>9.9349999999999716E-2</v>
      </c>
      <c r="H278">
        <f t="shared" si="22"/>
        <v>9.9349999999999716E-2</v>
      </c>
      <c r="I278" s="5">
        <f t="shared" si="23"/>
        <v>1917</v>
      </c>
      <c r="J278">
        <f>+H278+CF*F278*(1+($I278-1850)*slope/1000)+F278*hQc*COS(2*PI()*$I278/qbo+$L278)+F278*hQs*SIN(2*PI()*$I278/qbo+$L278)+F278*hCs*SIN(2*PI()*$I278/cw)+F278*hCc*COS(2*PI()*$I278/cw) +mix*F278*(hQc*COS(2*PI()*$I278/qbo+$L278)+hQs*SIN(2*PI()*$I278/qbo+$L278))*(hCs*SIN(2*PI()*$I278/cw)+hCc*COS(2*PI()*$I278/cw))</f>
        <v>148.05778442178234</v>
      </c>
      <c r="K278">
        <f>fQc*COS(2*PI()*$I278/qbo+$L278)+fQs*SIN(2*PI()*$I278/qbo+$L278)+fCs*SIN(2*PI()*$I278/cw)+fCc*COS(2*PI()*$I278/cw)</f>
        <v>0.80454535315219999</v>
      </c>
      <c r="L278">
        <f>+QMA*COS(2*PI()*$I278/QM+QMP)</f>
        <v>-1.7549014777837422</v>
      </c>
      <c r="P278">
        <f t="shared" si="24"/>
        <v>1</v>
      </c>
    </row>
    <row r="279" spans="1:16" x14ac:dyDescent="0.25">
      <c r="A279" s="1"/>
      <c r="B279" s="4">
        <v>6576</v>
      </c>
      <c r="C279" t="s">
        <v>24</v>
      </c>
      <c r="D279" s="3">
        <v>11.208333333333334</v>
      </c>
      <c r="E279" s="5">
        <f t="shared" si="20"/>
        <v>1918</v>
      </c>
      <c r="F279">
        <v>-1.6897200000000001</v>
      </c>
      <c r="G279">
        <f t="shared" si="21"/>
        <v>4.5624900000000004</v>
      </c>
      <c r="H279">
        <f t="shared" si="22"/>
        <v>4.5624900000000004</v>
      </c>
      <c r="I279" s="5">
        <f t="shared" si="23"/>
        <v>1918</v>
      </c>
      <c r="J279">
        <f>+H279+CF*F279*(1+($I279-1850)*slope/1000)+F279*hQc*COS(2*PI()*$I279/qbo+$L279)+F279*hQs*SIN(2*PI()*$I279/qbo+$L279)+F279*hCs*SIN(2*PI()*$I279/cw)+F279*hCc*COS(2*PI()*$I279/cw) +mix*F279*(hQc*COS(2*PI()*$I279/qbo+$L279)+hQs*SIN(2*PI()*$I279/qbo+$L279))*(hCs*SIN(2*PI()*$I279/cw)+hCc*COS(2*PI()*$I279/cw))</f>
        <v>92.005036903533608</v>
      </c>
      <c r="K279">
        <f>fQc*COS(2*PI()*$I279/qbo+$L279)+fQs*SIN(2*PI()*$I279/qbo+$L279)+fCs*SIN(2*PI()*$I279/cw)+fCc*COS(2*PI()*$I279/cw)</f>
        <v>0.35581380827228049</v>
      </c>
      <c r="L279">
        <f>+QMA*COS(2*PI()*$I279/QM+QMP)</f>
        <v>-1.5993275281612074</v>
      </c>
      <c r="P279">
        <f t="shared" si="24"/>
        <v>1</v>
      </c>
    </row>
    <row r="280" spans="1:16" x14ac:dyDescent="0.25">
      <c r="A280" s="1"/>
      <c r="B280" s="4">
        <v>6941</v>
      </c>
      <c r="C280" t="s">
        <v>24</v>
      </c>
      <c r="D280" s="3">
        <v>11.25</v>
      </c>
      <c r="E280" s="5">
        <f t="shared" si="20"/>
        <v>1919</v>
      </c>
      <c r="F280">
        <v>2.3497300000000001</v>
      </c>
      <c r="G280">
        <f t="shared" si="21"/>
        <v>-4.90611</v>
      </c>
      <c r="H280">
        <f t="shared" si="22"/>
        <v>-4.90611</v>
      </c>
      <c r="I280" s="5">
        <f t="shared" si="23"/>
        <v>1919</v>
      </c>
      <c r="J280">
        <f>+H280+CF*F280*(1+($I280-1850)*slope/1000)+F280*hQc*COS(2*PI()*$I280/qbo+$L280)+F280*hQs*SIN(2*PI()*$I280/qbo+$L280)+F280*hCs*SIN(2*PI()*$I280/cw)+F280*hCc*COS(2*PI()*$I280/cw) +mix*F280*(hQc*COS(2*PI()*$I280/qbo+$L280)+hQs*SIN(2*PI()*$I280/qbo+$L280))*(hCs*SIN(2*PI()*$I280/cw)+hCc*COS(2*PI()*$I280/cw))</f>
        <v>-191.34533949230979</v>
      </c>
      <c r="K280">
        <f>fQc*COS(2*PI()*$I280/qbo+$L280)+fQs*SIN(2*PI()*$I280/qbo+$L280)+fCs*SIN(2*PI()*$I280/cw)+fCc*COS(2*PI()*$I280/cw)</f>
        <v>0.18214142976834102</v>
      </c>
      <c r="L280">
        <f>+QMA*COS(2*PI()*$I280/QM+QMP)</f>
        <v>-1.41162851318238</v>
      </c>
      <c r="P280">
        <f t="shared" si="24"/>
        <v>0</v>
      </c>
    </row>
    <row r="281" spans="1:16" x14ac:dyDescent="0.25">
      <c r="A281" s="1"/>
      <c r="B281" s="4">
        <v>7306</v>
      </c>
      <c r="C281" t="s">
        <v>24</v>
      </c>
      <c r="D281" s="3">
        <v>11.291666666666666</v>
      </c>
      <c r="E281" s="5">
        <f t="shared" si="20"/>
        <v>1920</v>
      </c>
      <c r="F281">
        <v>1.4830700000000001</v>
      </c>
      <c r="G281">
        <f t="shared" si="21"/>
        <v>-1.3225099999999999</v>
      </c>
      <c r="H281">
        <f t="shared" si="22"/>
        <v>-1.3225099999999999</v>
      </c>
      <c r="I281" s="5">
        <f t="shared" si="23"/>
        <v>1920</v>
      </c>
      <c r="J281">
        <f>+H281+CF*F281*(1+($I281-1850)*slope/1000)+F281*hQc*COS(2*PI()*$I281/qbo+$L281)+F281*hQs*SIN(2*PI()*$I281/qbo+$L281)+F281*hCs*SIN(2*PI()*$I281/cw)+F281*hCc*COS(2*PI()*$I281/cw) +mix*F281*(hQc*COS(2*PI()*$I281/qbo+$L281)+hQs*SIN(2*PI()*$I281/qbo+$L281))*(hCs*SIN(2*PI()*$I281/cw)+hCc*COS(2*PI()*$I281/cw))</f>
        <v>-238.37152837033739</v>
      </c>
      <c r="K281">
        <f>fQc*COS(2*PI()*$I281/qbo+$L281)+fQs*SIN(2*PI()*$I281/qbo+$L281)+fCs*SIN(2*PI()*$I281/cw)+fCc*COS(2*PI()*$I281/cw)</f>
        <v>1.762409038756682</v>
      </c>
      <c r="L281">
        <f>+QMA*COS(2*PI()*$I281/QM+QMP)</f>
        <v>-1.1955746694107887</v>
      </c>
      <c r="P281">
        <f t="shared" si="24"/>
        <v>0</v>
      </c>
    </row>
    <row r="282" spans="1:16" x14ac:dyDescent="0.25">
      <c r="A282" s="1"/>
      <c r="B282" s="4">
        <v>7672</v>
      </c>
      <c r="C282" t="s">
        <v>24</v>
      </c>
      <c r="D282" s="3">
        <v>11.333333333333334</v>
      </c>
      <c r="E282" s="5">
        <f t="shared" si="20"/>
        <v>1921</v>
      </c>
      <c r="F282">
        <v>-0.70609999999999995</v>
      </c>
      <c r="G282">
        <f t="shared" si="21"/>
        <v>1.6403299999999998</v>
      </c>
      <c r="H282">
        <f t="shared" si="22"/>
        <v>1.6403299999999998</v>
      </c>
      <c r="I282" s="5">
        <f t="shared" si="23"/>
        <v>1921</v>
      </c>
      <c r="J282">
        <f>+H282+CF*F282*(1+($I282-1850)*slope/1000)+F282*hQc*COS(2*PI()*$I282/qbo+$L282)+F282*hQs*SIN(2*PI()*$I282/qbo+$L282)+F282*hCs*SIN(2*PI()*$I282/cw)+F282*hCc*COS(2*PI()*$I282/cw) +mix*F282*(hQc*COS(2*PI()*$I282/qbo+$L282)+hQs*SIN(2*PI()*$I282/qbo+$L282))*(hCs*SIN(2*PI()*$I282/cw)+hCc*COS(2*PI()*$I282/cw))</f>
        <v>-104.71545222328616</v>
      </c>
      <c r="K282">
        <f>fQc*COS(2*PI()*$I282/qbo+$L282)+fQs*SIN(2*PI()*$I282/qbo+$L282)+fCs*SIN(2*PI()*$I282/cw)+fCc*COS(2*PI()*$I282/cw)</f>
        <v>-4.5401991830731996</v>
      </c>
      <c r="L282">
        <f>+QMA*COS(2*PI()*$I282/QM+QMP)</f>
        <v>-0.95550578574466694</v>
      </c>
      <c r="P282">
        <f t="shared" si="24"/>
        <v>1</v>
      </c>
    </row>
    <row r="283" spans="1:16" x14ac:dyDescent="0.25">
      <c r="A283" s="1"/>
      <c r="B283" s="4">
        <v>8037</v>
      </c>
      <c r="C283" t="s">
        <v>24</v>
      </c>
      <c r="D283" s="3">
        <v>11.375</v>
      </c>
      <c r="E283" s="5">
        <f t="shared" si="20"/>
        <v>1922</v>
      </c>
      <c r="F283">
        <v>-1.2549399999999999</v>
      </c>
      <c r="G283">
        <f t="shared" si="21"/>
        <v>1.2729200000000001</v>
      </c>
      <c r="H283">
        <f t="shared" si="22"/>
        <v>1.2729200000000001</v>
      </c>
      <c r="I283" s="5">
        <f t="shared" si="23"/>
        <v>1922</v>
      </c>
      <c r="J283">
        <f>+H283+CF*F283*(1+($I283-1850)*slope/1000)+F283*hQc*COS(2*PI()*$I283/qbo+$L283)+F283*hQs*SIN(2*PI()*$I283/qbo+$L283)+F283*hCs*SIN(2*PI()*$I283/cw)+F283*hCc*COS(2*PI()*$I283/cw) +mix*F283*(hQc*COS(2*PI()*$I283/qbo+$L283)+hQs*SIN(2*PI()*$I283/qbo+$L283))*(hCs*SIN(2*PI()*$I283/cw)+hCc*COS(2*PI()*$I283/cw))</f>
        <v>-169.65080943750388</v>
      </c>
      <c r="K283">
        <f>fQc*COS(2*PI()*$I283/qbo+$L283)+fQs*SIN(2*PI()*$I283/qbo+$L283)+fCs*SIN(2*PI()*$I283/cw)+fCc*COS(2*PI()*$I283/cw)</f>
        <v>3.4611380079394882</v>
      </c>
      <c r="L283">
        <f>+QMA*COS(2*PI()*$I283/QM+QMP)</f>
        <v>-0.69624403177859417</v>
      </c>
      <c r="P283">
        <f t="shared" si="24"/>
        <v>0</v>
      </c>
    </row>
    <row r="284" spans="1:16" x14ac:dyDescent="0.25">
      <c r="A284" s="1"/>
      <c r="B284" s="4">
        <v>8402</v>
      </c>
      <c r="C284" t="s">
        <v>24</v>
      </c>
      <c r="D284" s="3">
        <v>11.416666666666666</v>
      </c>
      <c r="E284" s="5">
        <f t="shared" si="20"/>
        <v>1923</v>
      </c>
      <c r="F284">
        <v>-0.53086</v>
      </c>
      <c r="G284">
        <f t="shared" si="21"/>
        <v>0.36950000000000005</v>
      </c>
      <c r="H284">
        <f t="shared" si="22"/>
        <v>0.36950000000000005</v>
      </c>
      <c r="I284" s="5">
        <f t="shared" si="23"/>
        <v>1923</v>
      </c>
      <c r="J284">
        <f>+H284+CF*F284*(1+($I284-1850)*slope/1000)+F284*hQc*COS(2*PI()*$I284/qbo+$L284)+F284*hQs*SIN(2*PI()*$I284/qbo+$L284)+F284*hCs*SIN(2*PI()*$I284/cw)+F284*hCc*COS(2*PI()*$I284/cw) +mix*F284*(hQc*COS(2*PI()*$I284/qbo+$L284)+hQs*SIN(2*PI()*$I284/qbo+$L284))*(hCs*SIN(2*PI()*$I284/cw)+hCc*COS(2*PI()*$I284/cw))</f>
        <v>72.603921380010419</v>
      </c>
      <c r="K284">
        <f>fQc*COS(2*PI()*$I284/qbo+$L284)+fQs*SIN(2*PI()*$I284/qbo+$L284)+fCs*SIN(2*PI()*$I284/cw)+fCc*COS(2*PI()*$I284/cw)</f>
        <v>-0.33157120070321966</v>
      </c>
      <c r="L284">
        <f>+QMA*COS(2*PI()*$I284/QM+QMP)</f>
        <v>-0.42299709677179037</v>
      </c>
      <c r="P284">
        <f t="shared" si="24"/>
        <v>0</v>
      </c>
    </row>
    <row r="285" spans="1:16" x14ac:dyDescent="0.25">
      <c r="A285" s="1"/>
      <c r="B285" s="4">
        <v>8767</v>
      </c>
      <c r="C285" t="s">
        <v>24</v>
      </c>
      <c r="D285" s="3">
        <v>11.458333333333334</v>
      </c>
      <c r="E285" s="5">
        <f t="shared" si="20"/>
        <v>1924</v>
      </c>
      <c r="F285">
        <v>0.56272</v>
      </c>
      <c r="G285">
        <f t="shared" si="21"/>
        <v>-3.4095500000000003</v>
      </c>
      <c r="H285">
        <f t="shared" si="22"/>
        <v>-3.4095500000000003</v>
      </c>
      <c r="I285" s="5">
        <f t="shared" si="23"/>
        <v>1924</v>
      </c>
      <c r="J285">
        <f>+H285+CF*F285*(1+($I285-1850)*slope/1000)+F285*hQc*COS(2*PI()*$I285/qbo+$L285)+F285*hQs*SIN(2*PI()*$I285/qbo+$L285)+F285*hCs*SIN(2*PI()*$I285/cw)+F285*hCc*COS(2*PI()*$I285/cw) +mix*F285*(hQc*COS(2*PI()*$I285/qbo+$L285)+hQs*SIN(2*PI()*$I285/qbo+$L285))*(hCs*SIN(2*PI()*$I285/cw)+hCc*COS(2*PI()*$I285/cw))</f>
        <v>-31.061461047596428</v>
      </c>
      <c r="K285">
        <f>fQc*COS(2*PI()*$I285/qbo+$L285)+fQs*SIN(2*PI()*$I285/qbo+$L285)+fCs*SIN(2*PI()*$I285/cw)+fCc*COS(2*PI()*$I285/cw)</f>
        <v>-7.3059905576508322E-2</v>
      </c>
      <c r="L285">
        <f>+QMA*COS(2*PI()*$I285/QM+QMP)</f>
        <v>-0.14125358483487707</v>
      </c>
      <c r="P285">
        <f t="shared" si="24"/>
        <v>1</v>
      </c>
    </row>
    <row r="286" spans="1:16" x14ac:dyDescent="0.25">
      <c r="A286" s="1"/>
      <c r="B286" s="4">
        <v>9133</v>
      </c>
      <c r="C286" t="s">
        <v>24</v>
      </c>
      <c r="D286" s="3">
        <v>11.5</v>
      </c>
      <c r="E286" s="5">
        <f t="shared" si="20"/>
        <v>1925</v>
      </c>
      <c r="F286">
        <v>-1.75325</v>
      </c>
      <c r="G286">
        <f t="shared" si="21"/>
        <v>5.95662</v>
      </c>
      <c r="H286">
        <f t="shared" si="22"/>
        <v>5.95662</v>
      </c>
      <c r="I286" s="5">
        <f t="shared" si="23"/>
        <v>1925</v>
      </c>
      <c r="J286">
        <f>+H286+CF*F286*(1+($I286-1850)*slope/1000)+F286*hQc*COS(2*PI()*$I286/qbo+$L286)+F286*hQs*SIN(2*PI()*$I286/qbo+$L286)+F286*hCs*SIN(2*PI()*$I286/cw)+F286*hCc*COS(2*PI()*$I286/cw) +mix*F286*(hQc*COS(2*PI()*$I286/qbo+$L286)+hQs*SIN(2*PI()*$I286/qbo+$L286))*(hCs*SIN(2*PI()*$I286/cw)+hCc*COS(2*PI()*$I286/cw))</f>
        <v>147.27870541673596</v>
      </c>
      <c r="K286">
        <f>fQc*COS(2*PI()*$I286/qbo+$L286)+fQs*SIN(2*PI()*$I286/qbo+$L286)+fCs*SIN(2*PI()*$I286/cw)+fCc*COS(2*PI()*$I286/cw)</f>
        <v>-0.57577260320643742</v>
      </c>
      <c r="L286">
        <f>+QMA*COS(2*PI()*$I286/QM+QMP)</f>
        <v>0.14332723250991625</v>
      </c>
      <c r="P286">
        <f t="shared" si="24"/>
        <v>0</v>
      </c>
    </row>
    <row r="287" spans="1:16" x14ac:dyDescent="0.25">
      <c r="A287" s="1"/>
      <c r="B287" s="4">
        <v>9498</v>
      </c>
      <c r="C287" t="s">
        <v>24</v>
      </c>
      <c r="D287" s="3">
        <v>11.541666666666666</v>
      </c>
      <c r="E287" s="5">
        <f t="shared" si="20"/>
        <v>1926</v>
      </c>
      <c r="F287">
        <v>1.8874</v>
      </c>
      <c r="G287">
        <f t="shared" si="21"/>
        <v>-5.6693199999999999</v>
      </c>
      <c r="H287">
        <f t="shared" si="22"/>
        <v>-5.6693199999999999</v>
      </c>
      <c r="I287" s="5">
        <f t="shared" si="23"/>
        <v>1926</v>
      </c>
      <c r="J287">
        <f>+H287+CF*F287*(1+($I287-1850)*slope/1000)+F287*hQc*COS(2*PI()*$I287/qbo+$L287)+F287*hQs*SIN(2*PI()*$I287/qbo+$L287)+F287*hCs*SIN(2*PI()*$I287/cw)+F287*hCc*COS(2*PI()*$I287/cw) +mix*F287*(hQc*COS(2*PI()*$I287/qbo+$L287)+hQs*SIN(2*PI()*$I287/qbo+$L287))*(hCs*SIN(2*PI()*$I287/cw)+hCc*COS(2*PI()*$I287/cw))</f>
        <v>-226.59818774291571</v>
      </c>
      <c r="K287">
        <f>fQc*COS(2*PI()*$I287/qbo+$L287)+fQs*SIN(2*PI()*$I287/qbo+$L287)+fCs*SIN(2*PI()*$I287/cw)+fCc*COS(2*PI()*$I287/cw)</f>
        <v>-1.7800163064371535</v>
      </c>
      <c r="L287">
        <f>+QMA*COS(2*PI()*$I287/QM+QMP)</f>
        <v>0.42502909189843535</v>
      </c>
      <c r="P287">
        <f t="shared" si="24"/>
        <v>1</v>
      </c>
    </row>
    <row r="288" spans="1:16" x14ac:dyDescent="0.25">
      <c r="A288" s="1"/>
      <c r="B288" s="4">
        <v>9863</v>
      </c>
      <c r="C288" t="s">
        <v>24</v>
      </c>
      <c r="D288" s="3">
        <v>11.583333333333334</v>
      </c>
      <c r="E288" s="5">
        <f t="shared" si="20"/>
        <v>1927</v>
      </c>
      <c r="F288">
        <v>-0.14127000000000001</v>
      </c>
      <c r="G288">
        <f t="shared" si="21"/>
        <v>2.4368499999999997</v>
      </c>
      <c r="H288">
        <f t="shared" si="22"/>
        <v>2.4368499999999997</v>
      </c>
      <c r="I288" s="5">
        <f t="shared" si="23"/>
        <v>1927</v>
      </c>
      <c r="J288">
        <f>+H288+CF*F288*(1+($I288-1850)*slope/1000)+F288*hQc*COS(2*PI()*$I288/qbo+$L288)+F288*hQs*SIN(2*PI()*$I288/qbo+$L288)+F288*hCs*SIN(2*PI()*$I288/cw)+F288*hCc*COS(2*PI()*$I288/cw) +mix*F288*(hQc*COS(2*PI()*$I288/qbo+$L288)+hQs*SIN(2*PI()*$I288/qbo+$L288))*(hCs*SIN(2*PI()*$I288/cw)+hCc*COS(2*PI()*$I288/cw))</f>
        <v>-23.708813469812618</v>
      </c>
      <c r="K288">
        <f>fQc*COS(2*PI()*$I288/qbo+$L288)+fQs*SIN(2*PI()*$I288/qbo+$L288)+fCs*SIN(2*PI()*$I288/cw)+fCc*COS(2*PI()*$I288/cw)</f>
        <v>4.5588003412437645</v>
      </c>
      <c r="L288">
        <f>+QMA*COS(2*PI()*$I288/QM+QMP)</f>
        <v>0.69819355846709419</v>
      </c>
      <c r="P288">
        <f t="shared" si="24"/>
        <v>0</v>
      </c>
    </row>
    <row r="289" spans="1:16" x14ac:dyDescent="0.25">
      <c r="A289" s="1"/>
      <c r="B289" s="4">
        <v>10228</v>
      </c>
      <c r="C289" t="s">
        <v>24</v>
      </c>
      <c r="D289" s="3">
        <v>11.625</v>
      </c>
      <c r="E289" s="5">
        <f t="shared" si="20"/>
        <v>1928</v>
      </c>
      <c r="F289">
        <v>0.26690999999999998</v>
      </c>
      <c r="G289">
        <f t="shared" si="21"/>
        <v>-1.9864899999999999</v>
      </c>
      <c r="H289">
        <f t="shared" si="22"/>
        <v>-1.9864899999999999</v>
      </c>
      <c r="I289" s="5">
        <f t="shared" si="23"/>
        <v>1928</v>
      </c>
      <c r="J289">
        <f>+H289+CF*F289*(1+($I289-1850)*slope/1000)+F289*hQc*COS(2*PI()*$I289/qbo+$L289)+F289*hQs*SIN(2*PI()*$I289/qbo+$L289)+F289*hCs*SIN(2*PI()*$I289/cw)+F289*hCc*COS(2*PI()*$I289/cw) +mix*F289*(hQc*COS(2*PI()*$I289/qbo+$L289)+hQs*SIN(2*PI()*$I289/qbo+$L289))*(hCs*SIN(2*PI()*$I289/cw)+hCc*COS(2*PI()*$I289/cw))</f>
        <v>22.561447959388889</v>
      </c>
      <c r="K289">
        <f>fQc*COS(2*PI()*$I289/qbo+$L289)+fQs*SIN(2*PI()*$I289/qbo+$L289)+fCs*SIN(2*PI()*$I289/cw)+fCc*COS(2*PI()*$I289/cw)</f>
        <v>-3.3265425120239023</v>
      </c>
      <c r="L289">
        <f>+QMA*COS(2*PI()*$I289/QM+QMP)</f>
        <v>0.95733368461645918</v>
      </c>
      <c r="P289">
        <f t="shared" si="24"/>
        <v>0</v>
      </c>
    </row>
    <row r="290" spans="1:16" x14ac:dyDescent="0.25">
      <c r="A290" s="1"/>
      <c r="B290" s="4">
        <v>10594</v>
      </c>
      <c r="C290" t="s">
        <v>24</v>
      </c>
      <c r="D290" s="3">
        <v>11.666666666666666</v>
      </c>
      <c r="E290" s="5">
        <f t="shared" si="20"/>
        <v>1929</v>
      </c>
      <c r="F290">
        <v>-1.3113999999999999</v>
      </c>
      <c r="G290">
        <f t="shared" si="21"/>
        <v>3.6171199999999999</v>
      </c>
      <c r="H290">
        <f t="shared" si="22"/>
        <v>3.6171199999999999</v>
      </c>
      <c r="I290" s="5">
        <f t="shared" si="23"/>
        <v>1929</v>
      </c>
      <c r="J290">
        <f>+H290+CF*F290*(1+($I290-1850)*slope/1000)+F290*hQc*COS(2*PI()*$I290/qbo+$L290)+F290*hQs*SIN(2*PI()*$I290/qbo+$L290)+F290*hCs*SIN(2*PI()*$I290/cw)+F290*hCc*COS(2*PI()*$I290/cw) +mix*F290*(hQc*COS(2*PI()*$I290/qbo+$L290)+hQs*SIN(2*PI()*$I290/qbo+$L290))*(hCs*SIN(2*PI()*$I290/cw)+hCc*COS(2*PI()*$I290/cw))</f>
        <v>241.43535471031527</v>
      </c>
      <c r="K290">
        <f>fQc*COS(2*PI()*$I290/qbo+$L290)+fQs*SIN(2*PI()*$I290/qbo+$L290)+fCs*SIN(2*PI()*$I290/cw)+fCc*COS(2*PI()*$I290/cw)</f>
        <v>0.59286133058121138</v>
      </c>
      <c r="L290">
        <f>+QMA*COS(2*PI()*$I290/QM+QMP)</f>
        <v>1.1972442241773054</v>
      </c>
      <c r="P290">
        <f t="shared" si="24"/>
        <v>1</v>
      </c>
    </row>
    <row r="291" spans="1:16" x14ac:dyDescent="0.25">
      <c r="A291" s="1"/>
      <c r="B291" s="4">
        <v>10959</v>
      </c>
      <c r="C291" t="s">
        <v>24</v>
      </c>
      <c r="D291" s="3">
        <v>11.708333333333334</v>
      </c>
      <c r="E291" s="5">
        <f t="shared" si="20"/>
        <v>1930</v>
      </c>
      <c r="F291">
        <v>0.72741</v>
      </c>
      <c r="G291">
        <f t="shared" si="21"/>
        <v>-0.54781999999999975</v>
      </c>
      <c r="H291">
        <f t="shared" si="22"/>
        <v>-0.54781999999999975</v>
      </c>
      <c r="I291" s="5">
        <f t="shared" si="23"/>
        <v>1930</v>
      </c>
      <c r="J291">
        <f>+H291+CF*F291*(1+($I291-1850)*slope/1000)+F291*hQc*COS(2*PI()*$I291/qbo+$L291)+F291*hQs*SIN(2*PI()*$I291/qbo+$L291)+F291*hCs*SIN(2*PI()*$I291/cw)+F291*hCc*COS(2*PI()*$I291/cw) +mix*F291*(hQc*COS(2*PI()*$I291/qbo+$L291)+hQs*SIN(2*PI()*$I291/qbo+$L291))*(hCs*SIN(2*PI()*$I291/cw)+hCc*COS(2*PI()*$I291/cw))</f>
        <v>-36.829844635992245</v>
      </c>
      <c r="K291">
        <f>fQc*COS(2*PI()*$I291/qbo+$L291)+fQs*SIN(2*PI()*$I291/qbo+$L291)+fCs*SIN(2*PI()*$I291/cw)+fCc*COS(2*PI()*$I291/cw)</f>
        <v>-0.52442633047139853</v>
      </c>
      <c r="L291">
        <f>+QMA*COS(2*PI()*$I291/QM+QMP)</f>
        <v>1.4131061881514275</v>
      </c>
      <c r="P291">
        <f t="shared" si="24"/>
        <v>1</v>
      </c>
    </row>
    <row r="292" spans="1:16" x14ac:dyDescent="0.25">
      <c r="A292" s="1"/>
      <c r="B292" s="4">
        <v>11324</v>
      </c>
      <c r="C292" t="s">
        <v>24</v>
      </c>
      <c r="D292" s="3">
        <v>11.75</v>
      </c>
      <c r="E292" s="5">
        <f t="shared" si="20"/>
        <v>1931</v>
      </c>
      <c r="F292">
        <v>2.2183999999999999</v>
      </c>
      <c r="G292">
        <f t="shared" si="21"/>
        <v>-3.2621199999999999</v>
      </c>
      <c r="H292">
        <f t="shared" si="22"/>
        <v>-3.2621199999999999</v>
      </c>
      <c r="I292" s="5">
        <f t="shared" si="23"/>
        <v>1931</v>
      </c>
      <c r="J292">
        <f>+H292+CF*F292*(1+($I292-1850)*slope/1000)+F292*hQc*COS(2*PI()*$I292/qbo+$L292)+F292*hQs*SIN(2*PI()*$I292/qbo+$L292)+F292*hCs*SIN(2*PI()*$I292/cw)+F292*hCc*COS(2*PI()*$I292/cw) +mix*F292*(hQc*COS(2*PI()*$I292/qbo+$L292)+hQs*SIN(2*PI()*$I292/qbo+$L292))*(hCs*SIN(2*PI()*$I292/cw)+hCc*COS(2*PI()*$I292/cw))</f>
        <v>-197.48069433722773</v>
      </c>
      <c r="K292">
        <f>fQc*COS(2*PI()*$I292/qbo+$L292)+fQs*SIN(2*PI()*$I292/qbo+$L292)+fCs*SIN(2*PI()*$I292/cw)+fCc*COS(2*PI()*$I292/cw)</f>
        <v>0.62077444263495307</v>
      </c>
      <c r="L292">
        <f>+QMA*COS(2*PI()*$I292/QM+QMP)</f>
        <v>1.6005836418545545</v>
      </c>
      <c r="P292">
        <f t="shared" si="24"/>
        <v>0</v>
      </c>
    </row>
    <row r="293" spans="1:16" x14ac:dyDescent="0.25">
      <c r="A293" s="1"/>
      <c r="B293" s="4">
        <v>11689</v>
      </c>
      <c r="C293" t="s">
        <v>24</v>
      </c>
      <c r="D293" s="3">
        <v>11.791666666666666</v>
      </c>
      <c r="E293" s="5">
        <f t="shared" si="20"/>
        <v>1932</v>
      </c>
      <c r="F293">
        <v>0.44727</v>
      </c>
      <c r="G293">
        <f t="shared" si="21"/>
        <v>1.1273599999999999</v>
      </c>
      <c r="H293">
        <f t="shared" si="22"/>
        <v>1.1273599999999999</v>
      </c>
      <c r="I293" s="5">
        <f t="shared" si="23"/>
        <v>1932</v>
      </c>
      <c r="J293">
        <f>+H293+CF*F293*(1+($I293-1850)*slope/1000)+F293*hQc*COS(2*PI()*$I293/qbo+$L293)+F293*hQs*SIN(2*PI()*$I293/qbo+$L293)+F293*hCs*SIN(2*PI()*$I293/cw)+F293*hCc*COS(2*PI()*$I293/cw) +mix*F293*(hQc*COS(2*PI()*$I293/qbo+$L293)+hQs*SIN(2*PI()*$I293/qbo+$L293))*(hCs*SIN(2*PI()*$I293/cw)+hCc*COS(2*PI()*$I293/cw))</f>
        <v>-40.525069853950754</v>
      </c>
      <c r="K293">
        <f>fQc*COS(2*PI()*$I293/qbo+$L293)+fQs*SIN(2*PI()*$I293/qbo+$L293)+fCs*SIN(2*PI()*$I293/cw)+fCc*COS(2*PI()*$I293/cw)</f>
        <v>2.3823350885629613</v>
      </c>
      <c r="L293">
        <f>+QMA*COS(2*PI()*$I293/QM+QMP)</f>
        <v>1.7559107991379241</v>
      </c>
      <c r="P293">
        <f t="shared" si="24"/>
        <v>0</v>
      </c>
    </row>
    <row r="294" spans="1:16" x14ac:dyDescent="0.25">
      <c r="A294" s="1"/>
      <c r="B294" s="4">
        <v>12055</v>
      </c>
      <c r="C294" t="s">
        <v>24</v>
      </c>
      <c r="D294" s="3">
        <v>11.833333333333334</v>
      </c>
      <c r="E294" s="5">
        <f t="shared" si="20"/>
        <v>1933</v>
      </c>
      <c r="F294">
        <v>-0.19650000000000001</v>
      </c>
      <c r="G294">
        <f t="shared" si="21"/>
        <v>-0.84888999999999992</v>
      </c>
      <c r="H294">
        <f t="shared" si="22"/>
        <v>-0.84888999999999992</v>
      </c>
      <c r="I294" s="5">
        <f t="shared" si="23"/>
        <v>1933</v>
      </c>
      <c r="J294">
        <f>+H294+CF*F294*(1+($I294-1850)*slope/1000)+F294*hQc*COS(2*PI()*$I294/qbo+$L294)+F294*hQs*SIN(2*PI()*$I294/qbo+$L294)+F294*hCs*SIN(2*PI()*$I294/cw)+F294*hCc*COS(2*PI()*$I294/cw) +mix*F294*(hQc*COS(2*PI()*$I294/qbo+$L294)+hQs*SIN(2*PI()*$I294/qbo+$L294))*(hCs*SIN(2*PI()*$I294/cw)+hCc*COS(2*PI()*$I294/cw))</f>
        <v>-40.232944848475995</v>
      </c>
      <c r="K294">
        <f>fQc*COS(2*PI()*$I294/qbo+$L294)+fQs*SIN(2*PI()*$I294/qbo+$L294)+fCs*SIN(2*PI()*$I294/cw)+fCc*COS(2*PI()*$I294/cw)</f>
        <v>-4.7129882881966889</v>
      </c>
      <c r="L294">
        <f>+QMA*COS(2*PI()*$I294/QM+QMP)</f>
        <v>1.875967664258704</v>
      </c>
      <c r="P294">
        <f t="shared" si="24"/>
        <v>1</v>
      </c>
    </row>
    <row r="295" spans="1:16" x14ac:dyDescent="0.25">
      <c r="A295" s="1"/>
      <c r="B295" s="4">
        <v>12420</v>
      </c>
      <c r="C295" t="s">
        <v>24</v>
      </c>
      <c r="D295" s="3">
        <v>11.875</v>
      </c>
      <c r="E295" s="5">
        <f t="shared" si="20"/>
        <v>1934</v>
      </c>
      <c r="F295">
        <v>-1.68916</v>
      </c>
      <c r="G295">
        <f t="shared" si="21"/>
        <v>2.8805499999999999</v>
      </c>
      <c r="H295">
        <f t="shared" si="22"/>
        <v>2.8805499999999999</v>
      </c>
      <c r="I295" s="5">
        <f t="shared" si="23"/>
        <v>1934</v>
      </c>
      <c r="J295">
        <f>+H295+CF*F295*(1+($I295-1850)*slope/1000)+F295*hQc*COS(2*PI()*$I295/qbo+$L295)+F295*hQs*SIN(2*PI()*$I295/qbo+$L295)+F295*hCs*SIN(2*PI()*$I295/cw)+F295*hCc*COS(2*PI()*$I295/cw) +mix*F295*(hQc*COS(2*PI()*$I295/qbo+$L295)+hQs*SIN(2*PI()*$I295/qbo+$L295))*(hCs*SIN(2*PI()*$I295/cw)+hCc*COS(2*PI()*$I295/cw))</f>
        <v>-62.544661983169874</v>
      </c>
      <c r="K295">
        <f>fQc*COS(2*PI()*$I295/qbo+$L295)+fQs*SIN(2*PI()*$I295/qbo+$L295)+fCs*SIN(2*PI()*$I295/cw)+fCc*COS(2*PI()*$I295/cw)</f>
        <v>2.3359621511381539</v>
      </c>
      <c r="L295">
        <f>+QMA*COS(2*PI()*$I295/QM+QMP)</f>
        <v>1.9583427020118107</v>
      </c>
      <c r="P295">
        <f t="shared" si="24"/>
        <v>0</v>
      </c>
    </row>
    <row r="296" spans="1:16" x14ac:dyDescent="0.25">
      <c r="A296" s="1"/>
      <c r="B296" s="4">
        <v>12785</v>
      </c>
      <c r="C296" t="s">
        <v>24</v>
      </c>
      <c r="D296" s="3">
        <v>11.916666666666666</v>
      </c>
      <c r="E296" s="5">
        <f t="shared" si="20"/>
        <v>1935</v>
      </c>
      <c r="F296">
        <v>-0.30126999999999998</v>
      </c>
      <c r="G296">
        <f t="shared" si="21"/>
        <v>-1.0414099999999999</v>
      </c>
      <c r="H296">
        <f t="shared" si="22"/>
        <v>-1.0414099999999999</v>
      </c>
      <c r="I296" s="5">
        <f t="shared" si="23"/>
        <v>1935</v>
      </c>
      <c r="J296">
        <f>+H296+CF*F296*(1+($I296-1850)*slope/1000)+F296*hQc*COS(2*PI()*$I296/qbo+$L296)+F296*hQs*SIN(2*PI()*$I296/qbo+$L296)+F296*hCs*SIN(2*PI()*$I296/cw)+F296*hCc*COS(2*PI()*$I296/cw) +mix*F296*(hQc*COS(2*PI()*$I296/qbo+$L296)+hQs*SIN(2*PI()*$I296/qbo+$L296))*(hCs*SIN(2*PI()*$I296/cw)+hCc*COS(2*PI()*$I296/cw))</f>
        <v>16.646893059640188</v>
      </c>
      <c r="K296">
        <f>fQc*COS(2*PI()*$I296/qbo+$L296)+fQs*SIN(2*PI()*$I296/qbo+$L296)+fCs*SIN(2*PI()*$I296/cw)+fCc*COS(2*PI()*$I296/cw)</f>
        <v>1.2163125182047971</v>
      </c>
      <c r="L296">
        <f>+QMA*COS(2*PI()*$I296/QM+QMP)</f>
        <v>2.0013812772928925</v>
      </c>
      <c r="P296">
        <f t="shared" si="24"/>
        <v>1</v>
      </c>
    </row>
    <row r="297" spans="1:16" x14ac:dyDescent="0.25">
      <c r="A297" s="1"/>
      <c r="B297" s="4">
        <v>13150</v>
      </c>
      <c r="C297" t="s">
        <v>24</v>
      </c>
      <c r="D297" s="3">
        <v>11.958333333333334</v>
      </c>
      <c r="E297" s="5">
        <f t="shared" si="20"/>
        <v>1936</v>
      </c>
      <c r="F297">
        <v>4.521E-2</v>
      </c>
      <c r="G297">
        <f t="shared" si="21"/>
        <v>4.8209999999999975E-2</v>
      </c>
      <c r="H297">
        <f t="shared" si="22"/>
        <v>4.8209999999999975E-2</v>
      </c>
      <c r="I297" s="5">
        <f t="shared" si="23"/>
        <v>1936</v>
      </c>
      <c r="J297">
        <f>+H297+CF*F297*(1+($I297-1850)*slope/1000)+F297*hQc*COS(2*PI()*$I297/qbo+$L297)+F297*hQs*SIN(2*PI()*$I297/qbo+$L297)+F297*hCs*SIN(2*PI()*$I297/cw)+F297*hCc*COS(2*PI()*$I297/cw) +mix*F297*(hQc*COS(2*PI()*$I297/qbo+$L297)+hQs*SIN(2*PI()*$I297/qbo+$L297))*(hCs*SIN(2*PI()*$I297/cw)+hCc*COS(2*PI()*$I297/cw))</f>
        <v>0.33257183070420848</v>
      </c>
      <c r="K297">
        <f>fQc*COS(2*PI()*$I297/qbo+$L297)+fQs*SIN(2*PI()*$I297/qbo+$L297)+fCs*SIN(2*PI()*$I297/cw)+fCc*COS(2*PI()*$I297/cw)</f>
        <v>-1.6944680914388861</v>
      </c>
      <c r="L297">
        <f>+QMA*COS(2*PI()*$I297/QM+QMP)</f>
        <v>2.0042188911050851</v>
      </c>
      <c r="P297">
        <f t="shared" si="24"/>
        <v>0</v>
      </c>
    </row>
    <row r="298" spans="1:16" x14ac:dyDescent="0.25">
      <c r="A298" s="1"/>
      <c r="B298" s="4">
        <v>13516</v>
      </c>
      <c r="C298" t="s">
        <v>24</v>
      </c>
      <c r="D298" s="3">
        <v>12</v>
      </c>
      <c r="E298" s="5">
        <f t="shared" si="20"/>
        <v>1937</v>
      </c>
      <c r="F298">
        <v>0.43990000000000001</v>
      </c>
      <c r="G298">
        <f t="shared" si="21"/>
        <v>-0.63463999999999998</v>
      </c>
      <c r="H298">
        <f t="shared" si="22"/>
        <v>-0.63463999999999998</v>
      </c>
      <c r="I298" s="5">
        <f t="shared" si="23"/>
        <v>1937</v>
      </c>
      <c r="J298">
        <f>+H298+CF*F298*(1+($I298-1850)*slope/1000)+F298*hQc*COS(2*PI()*$I298/qbo+$L298)+F298*hQs*SIN(2*PI()*$I298/qbo+$L298)+F298*hCs*SIN(2*PI()*$I298/cw)+F298*hCc*COS(2*PI()*$I298/cw) +mix*F298*(hQc*COS(2*PI()*$I298/qbo+$L298)+hQs*SIN(2*PI()*$I298/qbo+$L298))*(hCs*SIN(2*PI()*$I298/cw)+hCc*COS(2*PI()*$I298/cw))</f>
        <v>-115.24682101904008</v>
      </c>
      <c r="K298">
        <f>fQc*COS(2*PI()*$I298/qbo+$L298)+fQs*SIN(2*PI()*$I298/qbo+$L298)+fCs*SIN(2*PI()*$I298/cw)+fCc*COS(2*PI()*$I298/cw)</f>
        <v>1.4200282202069983</v>
      </c>
      <c r="L298">
        <f>+QMA*COS(2*PI()*$I298/QM+QMP)</f>
        <v>1.966798545411669</v>
      </c>
      <c r="P298">
        <f t="shared" si="24"/>
        <v>0</v>
      </c>
    </row>
    <row r="299" spans="1:16" x14ac:dyDescent="0.25">
      <c r="A299" s="1"/>
      <c r="B299" s="4">
        <v>13881</v>
      </c>
      <c r="C299" t="s">
        <v>24</v>
      </c>
      <c r="D299" s="3">
        <v>12.041666666666666</v>
      </c>
      <c r="E299" s="5">
        <f t="shared" si="20"/>
        <v>1938</v>
      </c>
      <c r="F299">
        <v>0.19994999999999999</v>
      </c>
      <c r="G299">
        <f t="shared" si="21"/>
        <v>-0.62230999999999992</v>
      </c>
      <c r="H299">
        <f t="shared" si="22"/>
        <v>-0.62230999999999992</v>
      </c>
      <c r="I299" s="5">
        <f t="shared" si="23"/>
        <v>1938</v>
      </c>
      <c r="J299">
        <f>+H299+CF*F299*(1+($I299-1850)*slope/1000)+F299*hQc*COS(2*PI()*$I299/qbo+$L299)+F299*hQs*SIN(2*PI()*$I299/qbo+$L299)+F299*hCs*SIN(2*PI()*$I299/cw)+F299*hCc*COS(2*PI()*$I299/cw) +mix*F299*(hQc*COS(2*PI()*$I299/qbo+$L299)+hQs*SIN(2*PI()*$I299/qbo+$L299))*(hCs*SIN(2*PI()*$I299/cw)+hCc*COS(2*PI()*$I299/cw))</f>
        <v>-12.369908245566947</v>
      </c>
      <c r="K299">
        <f>fQc*COS(2*PI()*$I299/qbo+$L299)+fQs*SIN(2*PI()*$I299/qbo+$L299)+fCs*SIN(2*PI()*$I299/cw)+fCc*COS(2*PI()*$I299/cw)</f>
        <v>-2.5660770811162168</v>
      </c>
      <c r="L299">
        <f>+QMA*COS(2*PI()*$I299/QM+QMP)</f>
        <v>1.8898718880332679</v>
      </c>
      <c r="P299">
        <f t="shared" si="24"/>
        <v>1</v>
      </c>
    </row>
    <row r="300" spans="1:16" x14ac:dyDescent="0.25">
      <c r="A300" s="1"/>
      <c r="B300" s="4">
        <v>14246</v>
      </c>
      <c r="C300" t="s">
        <v>24</v>
      </c>
      <c r="D300" s="3">
        <v>12.083333333333334</v>
      </c>
      <c r="E300" s="5">
        <f t="shared" si="20"/>
        <v>1939</v>
      </c>
      <c r="F300">
        <v>-0.66230999999999995</v>
      </c>
      <c r="G300">
        <f t="shared" si="21"/>
        <v>2.4085000000000001</v>
      </c>
      <c r="H300">
        <f t="shared" si="22"/>
        <v>2.4085000000000001</v>
      </c>
      <c r="I300" s="5">
        <f t="shared" si="23"/>
        <v>1939</v>
      </c>
      <c r="J300">
        <f>+H300+CF*F300*(1+($I300-1850)*slope/1000)+F300*hQc*COS(2*PI()*$I300/qbo+$L300)+F300*hQs*SIN(2*PI()*$I300/qbo+$L300)+F300*hCs*SIN(2*PI()*$I300/cw)+F300*hCc*COS(2*PI()*$I300/cw) +mix*F300*(hQc*COS(2*PI()*$I300/qbo+$L300)+hQs*SIN(2*PI()*$I300/qbo+$L300))*(hCs*SIN(2*PI()*$I300/cw)+hCc*COS(2*PI()*$I300/cw))</f>
        <v>15.207361640563297</v>
      </c>
      <c r="K300">
        <f>fQc*COS(2*PI()*$I300/qbo+$L300)+fQs*SIN(2*PI()*$I300/qbo+$L300)+fCs*SIN(2*PI()*$I300/cw)+fCc*COS(2*PI()*$I300/cw)</f>
        <v>1.5519000198530268</v>
      </c>
      <c r="L300">
        <f>+QMA*COS(2*PI()*$I300/QM+QMP)</f>
        <v>1.7749841145927299</v>
      </c>
      <c r="P300">
        <f t="shared" si="24"/>
        <v>1</v>
      </c>
    </row>
    <row r="301" spans="1:16" x14ac:dyDescent="0.25">
      <c r="A301" s="1"/>
      <c r="B301" s="4">
        <v>14611</v>
      </c>
      <c r="C301" t="s">
        <v>24</v>
      </c>
      <c r="D301" s="3">
        <v>12.125</v>
      </c>
      <c r="E301" s="5">
        <f t="shared" si="20"/>
        <v>1940</v>
      </c>
      <c r="F301">
        <v>0.88392999999999999</v>
      </c>
      <c r="G301">
        <f t="shared" si="21"/>
        <v>0.60088000000000008</v>
      </c>
      <c r="H301">
        <f t="shared" si="22"/>
        <v>0.60088000000000008</v>
      </c>
      <c r="I301" s="5">
        <f t="shared" si="23"/>
        <v>1940</v>
      </c>
      <c r="J301">
        <f>+H301+CF*F301*(1+($I301-1850)*slope/1000)+F301*hQc*COS(2*PI()*$I301/qbo+$L301)+F301*hQs*SIN(2*PI()*$I301/qbo+$L301)+F301*hCs*SIN(2*PI()*$I301/cw)+F301*hCc*COS(2*PI()*$I301/cw) +mix*F301*(hQc*COS(2*PI()*$I301/qbo+$L301)+hQs*SIN(2*PI()*$I301/qbo+$L301))*(hCs*SIN(2*PI()*$I301/cw)+hCc*COS(2*PI()*$I301/cw))</f>
        <v>-36.493082011005825</v>
      </c>
      <c r="K301">
        <f>fQc*COS(2*PI()*$I301/qbo+$L301)+fQs*SIN(2*PI()*$I301/qbo+$L301)+fCs*SIN(2*PI()*$I301/cw)+fCc*COS(2*PI()*$I301/cw)</f>
        <v>2.8220133841406909</v>
      </c>
      <c r="L301">
        <f>+QMA*COS(2*PI()*$I301/QM+QMP)</f>
        <v>1.6244429307759645</v>
      </c>
      <c r="P301">
        <f t="shared" si="24"/>
        <v>0</v>
      </c>
    </row>
    <row r="302" spans="1:16" x14ac:dyDescent="0.25">
      <c r="A302" s="1"/>
      <c r="B302" s="4">
        <v>14977</v>
      </c>
      <c r="C302" t="s">
        <v>24</v>
      </c>
      <c r="D302" s="3">
        <v>12.166666666666666</v>
      </c>
      <c r="E302" s="5">
        <f t="shared" si="20"/>
        <v>1941</v>
      </c>
      <c r="F302">
        <v>3.03105</v>
      </c>
      <c r="G302">
        <f t="shared" si="21"/>
        <v>-2.4285700000000001</v>
      </c>
      <c r="H302">
        <f t="shared" si="22"/>
        <v>-2.4285700000000001</v>
      </c>
      <c r="I302" s="5">
        <f t="shared" si="23"/>
        <v>1941</v>
      </c>
      <c r="J302">
        <f>+H302+CF*F302*(1+($I302-1850)*slope/1000)+F302*hQc*COS(2*PI()*$I302/qbo+$L302)+F302*hQs*SIN(2*PI()*$I302/qbo+$L302)+F302*hCs*SIN(2*PI()*$I302/cw)+F302*hCc*COS(2*PI()*$I302/cw) +mix*F302*(hQc*COS(2*PI()*$I302/qbo+$L302)+hQs*SIN(2*PI()*$I302/qbo+$L302))*(hCs*SIN(2*PI()*$I302/cw)+hCc*COS(2*PI()*$I302/cw))</f>
        <v>607.92346265497565</v>
      </c>
      <c r="K302">
        <f>fQc*COS(2*PI()*$I302/qbo+$L302)+fQs*SIN(2*PI()*$I302/qbo+$L302)+fCs*SIN(2*PI()*$I302/cw)+fCc*COS(2*PI()*$I302/cw)</f>
        <v>-4.5114591319043917</v>
      </c>
      <c r="L302">
        <f>+QMA*COS(2*PI()*$I302/QM+QMP)</f>
        <v>1.4412721983521422</v>
      </c>
      <c r="P302">
        <f t="shared" si="24"/>
        <v>0</v>
      </c>
    </row>
    <row r="303" spans="1:16" x14ac:dyDescent="0.25">
      <c r="A303" s="1"/>
      <c r="B303" s="4">
        <v>15342</v>
      </c>
      <c r="C303" t="s">
        <v>24</v>
      </c>
      <c r="D303" s="3">
        <v>12.208333333333334</v>
      </c>
      <c r="E303" s="5">
        <f t="shared" si="20"/>
        <v>1942</v>
      </c>
      <c r="F303">
        <v>2.7496</v>
      </c>
      <c r="G303">
        <f t="shared" si="21"/>
        <v>-2.8032699999999999</v>
      </c>
      <c r="H303">
        <f t="shared" si="22"/>
        <v>-2.8032699999999999</v>
      </c>
      <c r="I303" s="5">
        <f t="shared" si="23"/>
        <v>1942</v>
      </c>
      <c r="J303">
        <f>+H303+CF*F303*(1+($I303-1850)*slope/1000)+F303*hQc*COS(2*PI()*$I303/qbo+$L303)+F303*hQs*SIN(2*PI()*$I303/qbo+$L303)+F303*hCs*SIN(2*PI()*$I303/cw)+F303*hCc*COS(2*PI()*$I303/cw) +mix*F303*(hQc*COS(2*PI()*$I303/qbo+$L303)+hQs*SIN(2*PI()*$I303/qbo+$L303))*(hCs*SIN(2*PI()*$I303/cw)+hCc*COS(2*PI()*$I303/cw))</f>
        <v>-63.920813167498899</v>
      </c>
      <c r="K303">
        <f>fQc*COS(2*PI()*$I303/qbo+$L303)+fQs*SIN(2*PI()*$I303/qbo+$L303)+fCs*SIN(2*PI()*$I303/cw)+fCc*COS(2*PI()*$I303/cw)</f>
        <v>0.37638233802167542</v>
      </c>
      <c r="L303">
        <f>+QMA*COS(2*PI()*$I303/QM+QMP)</f>
        <v>1.2291511960474386</v>
      </c>
      <c r="P303">
        <f t="shared" si="24"/>
        <v>0</v>
      </c>
    </row>
    <row r="304" spans="1:16" x14ac:dyDescent="0.25">
      <c r="A304" s="1"/>
      <c r="B304" s="4">
        <v>15707</v>
      </c>
      <c r="C304" t="s">
        <v>24</v>
      </c>
      <c r="D304" s="3">
        <v>12.25</v>
      </c>
      <c r="E304" s="5">
        <f t="shared" si="20"/>
        <v>1943</v>
      </c>
      <c r="F304">
        <v>-0.33511999999999997</v>
      </c>
      <c r="G304">
        <f t="shared" si="21"/>
        <v>4.7054</v>
      </c>
      <c r="H304">
        <f t="shared" si="22"/>
        <v>4.7054</v>
      </c>
      <c r="I304" s="5">
        <f t="shared" si="23"/>
        <v>1943</v>
      </c>
      <c r="J304">
        <f>+H304+CF*F304*(1+($I304-1850)*slope/1000)+F304*hQc*COS(2*PI()*$I304/qbo+$L304)+F304*hQs*SIN(2*PI()*$I304/qbo+$L304)+F304*hCs*SIN(2*PI()*$I304/cw)+F304*hCc*COS(2*PI()*$I304/cw) +mix*F304*(hQc*COS(2*PI()*$I304/qbo+$L304)+hQs*SIN(2*PI()*$I304/qbo+$L304))*(hCs*SIN(2*PI()*$I304/cw)+hCc*COS(2*PI()*$I304/cw))</f>
        <v>-41.855365460723817</v>
      </c>
      <c r="K304">
        <f>fQc*COS(2*PI()*$I304/qbo+$L304)+fQs*SIN(2*PI()*$I304/qbo+$L304)+fCs*SIN(2*PI()*$I304/cw)+fCc*COS(2*PI()*$I304/cw)</f>
        <v>3.6157056450896152</v>
      </c>
      <c r="L304">
        <f>+QMA*COS(2*PI()*$I304/QM+QMP)</f>
        <v>0.99234071531491008</v>
      </c>
      <c r="P304">
        <f t="shared" si="24"/>
        <v>0</v>
      </c>
    </row>
    <row r="305" spans="1:16" x14ac:dyDescent="0.25">
      <c r="A305" s="1"/>
      <c r="B305" s="4">
        <v>16072</v>
      </c>
      <c r="C305" t="s">
        <v>24</v>
      </c>
      <c r="D305" s="3">
        <v>12.291666666666666</v>
      </c>
      <c r="E305" s="5">
        <f t="shared" si="20"/>
        <v>1944</v>
      </c>
      <c r="F305">
        <v>1.28556</v>
      </c>
      <c r="G305">
        <f t="shared" si="21"/>
        <v>-2.65632</v>
      </c>
      <c r="H305">
        <f t="shared" si="22"/>
        <v>-2.65632</v>
      </c>
      <c r="I305" s="5">
        <f t="shared" si="23"/>
        <v>1944</v>
      </c>
      <c r="J305">
        <f>+H305+CF*F305*(1+($I305-1850)*slope/1000)+F305*hQc*COS(2*PI()*$I305/qbo+$L305)+F305*hQs*SIN(2*PI()*$I305/qbo+$L305)+F305*hCs*SIN(2*PI()*$I305/cw)+F305*hCc*COS(2*PI()*$I305/cw) +mix*F305*(hQc*COS(2*PI()*$I305/qbo+$L305)+hQs*SIN(2*PI()*$I305/qbo+$L305))*(hCs*SIN(2*PI()*$I305/cw)+hCc*COS(2*PI()*$I305/cw))</f>
        <v>-52.844634012089259</v>
      </c>
      <c r="K305">
        <f>fQc*COS(2*PI()*$I305/qbo+$L305)+fQs*SIN(2*PI()*$I305/qbo+$L305)+fCs*SIN(2*PI()*$I305/cw)+fCc*COS(2*PI()*$I305/cw)</f>
        <v>-2.4646164873275378</v>
      </c>
      <c r="L305">
        <f>+QMA*COS(2*PI()*$I305/QM+QMP)</f>
        <v>0.73559747548595489</v>
      </c>
      <c r="P305">
        <f t="shared" si="24"/>
        <v>1</v>
      </c>
    </row>
    <row r="306" spans="1:16" x14ac:dyDescent="0.25">
      <c r="A306" s="1"/>
      <c r="B306" s="4">
        <v>16438</v>
      </c>
      <c r="C306" t="s">
        <v>24</v>
      </c>
      <c r="D306" s="3">
        <v>12.333333333333334</v>
      </c>
      <c r="E306" s="5">
        <f t="shared" si="20"/>
        <v>1945</v>
      </c>
      <c r="F306">
        <v>0.24992</v>
      </c>
      <c r="G306">
        <f t="shared" si="21"/>
        <v>-0.86904999999999988</v>
      </c>
      <c r="H306">
        <f t="shared" si="22"/>
        <v>-0.86904999999999988</v>
      </c>
      <c r="I306" s="5">
        <f t="shared" si="23"/>
        <v>1945</v>
      </c>
      <c r="J306">
        <f>+H306+CF*F306*(1+($I306-1850)*slope/1000)+F306*hQc*COS(2*PI()*$I306/qbo+$L306)+F306*hQs*SIN(2*PI()*$I306/qbo+$L306)+F306*hCs*SIN(2*PI()*$I306/cw)+F306*hCc*COS(2*PI()*$I306/cw) +mix*F306*(hQc*COS(2*PI()*$I306/qbo+$L306)+hQs*SIN(2*PI()*$I306/qbo+$L306))*(hCs*SIN(2*PI()*$I306/cw)+hCc*COS(2*PI()*$I306/cw))</f>
        <v>-30.240350131440863</v>
      </c>
      <c r="K306">
        <f>fQc*COS(2*PI()*$I306/qbo+$L306)+fQs*SIN(2*PI()*$I306/qbo+$L306)+fCs*SIN(2*PI()*$I306/cw)+fCc*COS(2*PI()*$I306/cw)</f>
        <v>-0.47832834304856053</v>
      </c>
      <c r="L306">
        <f>+QMA*COS(2*PI()*$I306/QM+QMP)</f>
        <v>0.46407857741330039</v>
      </c>
      <c r="P306">
        <f t="shared" si="24"/>
        <v>1</v>
      </c>
    </row>
    <row r="307" spans="1:16" x14ac:dyDescent="0.25">
      <c r="A307" s="1"/>
      <c r="B307" s="4">
        <v>16803</v>
      </c>
      <c r="C307" t="s">
        <v>24</v>
      </c>
      <c r="D307" s="3">
        <v>12.375</v>
      </c>
      <c r="E307" s="5">
        <f t="shared" si="20"/>
        <v>1946</v>
      </c>
      <c r="F307">
        <v>-1.6547700000000001</v>
      </c>
      <c r="G307">
        <f t="shared" si="21"/>
        <v>4.01302</v>
      </c>
      <c r="H307">
        <f t="shared" si="22"/>
        <v>4.01302</v>
      </c>
      <c r="I307" s="5">
        <f t="shared" si="23"/>
        <v>1946</v>
      </c>
      <c r="J307">
        <f>+H307+CF*F307*(1+($I307-1850)*slope/1000)+F307*hQc*COS(2*PI()*$I307/qbo+$L307)+F307*hQs*SIN(2*PI()*$I307/qbo+$L307)+F307*hCs*SIN(2*PI()*$I307/cw)+F307*hCc*COS(2*PI()*$I307/cw) +mix*F307*(hQc*COS(2*PI()*$I307/qbo+$L307)+hQs*SIN(2*PI()*$I307/qbo+$L307))*(hCs*SIN(2*PI()*$I307/cw)+hCc*COS(2*PI()*$I307/cw))</f>
        <v>72.955672084784169</v>
      </c>
      <c r="K307">
        <f>fQc*COS(2*PI()*$I307/qbo+$L307)+fQs*SIN(2*PI()*$I307/qbo+$L307)+fCs*SIN(2*PI()*$I307/cw)+fCc*COS(2*PI()*$I307/cw)</f>
        <v>1.3267153682658501</v>
      </c>
      <c r="L307">
        <f>+QMA*COS(2*PI()*$I307/QM+QMP)</f>
        <v>0.18323791480680934</v>
      </c>
      <c r="P307">
        <f t="shared" si="24"/>
        <v>1</v>
      </c>
    </row>
    <row r="308" spans="1:16" x14ac:dyDescent="0.25">
      <c r="A308" s="1"/>
      <c r="B308" s="4">
        <v>17168</v>
      </c>
      <c r="C308" t="s">
        <v>24</v>
      </c>
      <c r="D308" s="3">
        <v>12.416666666666666</v>
      </c>
      <c r="E308" s="5">
        <f t="shared" si="20"/>
        <v>1947</v>
      </c>
      <c r="F308">
        <v>0.45356000000000002</v>
      </c>
      <c r="G308">
        <f t="shared" si="21"/>
        <v>-2.3007200000000001</v>
      </c>
      <c r="H308">
        <f t="shared" si="22"/>
        <v>-2.3007200000000001</v>
      </c>
      <c r="I308" s="5">
        <f t="shared" si="23"/>
        <v>1947</v>
      </c>
      <c r="J308">
        <f>+H308+CF*F308*(1+($I308-1850)*slope/1000)+F308*hQc*COS(2*PI()*$I308/qbo+$L308)+F308*hQs*SIN(2*PI()*$I308/qbo+$L308)+F308*hCs*SIN(2*PI()*$I308/cw)+F308*hCc*COS(2*PI()*$I308/cw) +mix*F308*(hQc*COS(2*PI()*$I308/qbo+$L308)+hQs*SIN(2*PI()*$I308/qbo+$L308))*(hCs*SIN(2*PI()*$I308/cw)+hCc*COS(2*PI()*$I308/cw))</f>
        <v>-123.03646479326669</v>
      </c>
      <c r="K308">
        <f>fQc*COS(2*PI()*$I308/qbo+$L308)+fQs*SIN(2*PI()*$I308/qbo+$L308)+fCs*SIN(2*PI()*$I308/cw)+fCc*COS(2*PI()*$I308/cw)</f>
        <v>-1.5524362341829943</v>
      </c>
      <c r="L308">
        <f>+QMA*COS(2*PI()*$I308/QM+QMP)</f>
        <v>-0.10128337599200531</v>
      </c>
      <c r="P308">
        <f t="shared" si="24"/>
        <v>1</v>
      </c>
    </row>
    <row r="309" spans="1:16" x14ac:dyDescent="0.25">
      <c r="A309" s="1"/>
      <c r="B309" s="4">
        <v>17533</v>
      </c>
      <c r="C309" t="s">
        <v>24</v>
      </c>
      <c r="D309" s="3">
        <v>12.458333333333334</v>
      </c>
      <c r="E309" s="5">
        <f t="shared" si="20"/>
        <v>1948</v>
      </c>
      <c r="F309">
        <v>0.26117000000000001</v>
      </c>
      <c r="G309">
        <f t="shared" si="21"/>
        <v>0.22387999999999997</v>
      </c>
      <c r="H309">
        <f t="shared" si="22"/>
        <v>0.22387999999999997</v>
      </c>
      <c r="I309" s="5">
        <f t="shared" si="23"/>
        <v>1948</v>
      </c>
      <c r="J309">
        <f>+H309+CF*F309*(1+($I309-1850)*slope/1000)+F309*hQc*COS(2*PI()*$I309/qbo+$L309)+F309*hQs*SIN(2*PI()*$I309/qbo+$L309)+F309*hCs*SIN(2*PI()*$I309/cw)+F309*hCc*COS(2*PI()*$I309/cw) +mix*F309*(hQc*COS(2*PI()*$I309/qbo+$L309)+hQs*SIN(2*PI()*$I309/qbo+$L309))*(hCs*SIN(2*PI()*$I309/cw)+hCc*COS(2*PI()*$I309/cw))</f>
        <v>-2.4535585131002415</v>
      </c>
      <c r="K309">
        <f>fQc*COS(2*PI()*$I309/qbo+$L309)+fQs*SIN(2*PI()*$I309/qbo+$L309)+fCs*SIN(2*PI()*$I309/cw)+fCc*COS(2*PI()*$I309/cw)</f>
        <v>1.7785897397640227</v>
      </c>
      <c r="L309">
        <f>+QMA*COS(2*PI()*$I309/QM+QMP)</f>
        <v>-0.38377022730539223</v>
      </c>
      <c r="P309">
        <f t="shared" si="24"/>
        <v>0</v>
      </c>
    </row>
    <row r="310" spans="1:16" x14ac:dyDescent="0.25">
      <c r="A310" s="1"/>
      <c r="B310" s="4">
        <v>17899</v>
      </c>
      <c r="C310" t="s">
        <v>24</v>
      </c>
      <c r="D310" s="3">
        <v>12.5</v>
      </c>
      <c r="E310" s="5">
        <f t="shared" si="20"/>
        <v>1949</v>
      </c>
      <c r="F310">
        <v>0.29265999999999998</v>
      </c>
      <c r="G310">
        <f t="shared" si="21"/>
        <v>-1.9669099999999999</v>
      </c>
      <c r="H310">
        <f t="shared" si="22"/>
        <v>-1.9669099999999999</v>
      </c>
      <c r="I310" s="5">
        <f t="shared" si="23"/>
        <v>1949</v>
      </c>
      <c r="J310">
        <f>+H310+CF*F310*(1+($I310-1850)*slope/1000)+F310*hQc*COS(2*PI()*$I310/qbo+$L310)+F310*hQs*SIN(2*PI()*$I310/qbo+$L310)+F310*hCs*SIN(2*PI()*$I310/cw)+F310*hCc*COS(2*PI()*$I310/cw) +mix*F310*(hQc*COS(2*PI()*$I310/qbo+$L310)+hQs*SIN(2*PI()*$I310/qbo+$L310))*(hCs*SIN(2*PI()*$I310/cw)+hCc*COS(2*PI()*$I310/cw))</f>
        <v>-54.624742270899802</v>
      </c>
      <c r="K310">
        <f>fQc*COS(2*PI()*$I310/qbo+$L310)+fQs*SIN(2*PI()*$I310/qbo+$L310)+fCs*SIN(2*PI()*$I310/cw)+fCc*COS(2*PI()*$I310/cw)</f>
        <v>0.5830465394759925</v>
      </c>
      <c r="L310">
        <f>+QMA*COS(2*PI()*$I310/QM+QMP)</f>
        <v>-0.65854843644457206</v>
      </c>
      <c r="P310">
        <f t="shared" si="24"/>
        <v>0</v>
      </c>
    </row>
    <row r="311" spans="1:16" x14ac:dyDescent="0.25">
      <c r="A311" s="1"/>
      <c r="B311" s="4">
        <v>18264</v>
      </c>
      <c r="C311" t="s">
        <v>24</v>
      </c>
      <c r="D311" s="3">
        <v>12.541666666666666</v>
      </c>
      <c r="E311" s="5">
        <f t="shared" si="20"/>
        <v>1950</v>
      </c>
      <c r="F311">
        <v>-1.64276</v>
      </c>
      <c r="G311">
        <f t="shared" si="21"/>
        <v>1.5607</v>
      </c>
      <c r="H311">
        <f t="shared" si="22"/>
        <v>1.5607</v>
      </c>
      <c r="I311" s="5">
        <f t="shared" si="23"/>
        <v>1950</v>
      </c>
      <c r="J311">
        <f>+H311+CF*F311*(1+($I311-1850)*slope/1000)+F311*hQc*COS(2*PI()*$I311/qbo+$L311)+F311*hQs*SIN(2*PI()*$I311/qbo+$L311)+F311*hCs*SIN(2*PI()*$I311/cw)+F311*hCc*COS(2*PI()*$I311/cw) +mix*F311*(hQc*COS(2*PI()*$I311/qbo+$L311)+hQs*SIN(2*PI()*$I311/qbo+$L311))*(hCs*SIN(2*PI()*$I311/cw)+hCc*COS(2*PI()*$I311/cw))</f>
        <v>-42.571944356161644</v>
      </c>
      <c r="K311">
        <f>fQc*COS(2*PI()*$I311/qbo+$L311)+fQs*SIN(2*PI()*$I311/qbo+$L311)+fCs*SIN(2*PI()*$I311/cw)+fCc*COS(2*PI()*$I311/cw)</f>
        <v>-3.9015087985294432</v>
      </c>
      <c r="L311">
        <f>+QMA*COS(2*PI()*$I311/QM+QMP)</f>
        <v>-0.92009864119544882</v>
      </c>
      <c r="P311">
        <f t="shared" si="24"/>
        <v>1</v>
      </c>
    </row>
    <row r="312" spans="1:16" x14ac:dyDescent="0.25">
      <c r="A312" s="1"/>
      <c r="B312" s="4">
        <v>18629</v>
      </c>
      <c r="C312" t="s">
        <v>24</v>
      </c>
      <c r="D312" s="3">
        <v>12.583333333333334</v>
      </c>
      <c r="E312" s="5">
        <f t="shared" si="20"/>
        <v>1951</v>
      </c>
      <c r="F312">
        <v>-2.0174799999999999</v>
      </c>
      <c r="G312">
        <f t="shared" si="21"/>
        <v>3.1111800000000001</v>
      </c>
      <c r="H312">
        <f t="shared" si="22"/>
        <v>3.1111800000000001</v>
      </c>
      <c r="I312" s="5">
        <f t="shared" si="23"/>
        <v>1951</v>
      </c>
      <c r="J312">
        <f>+H312+CF*F312*(1+($I312-1850)*slope/1000)+F312*hQc*COS(2*PI()*$I312/qbo+$L312)+F312*hQs*SIN(2*PI()*$I312/qbo+$L312)+F312*hCs*SIN(2*PI()*$I312/cw)+F312*hCc*COS(2*PI()*$I312/cw) +mix*F312*(hQc*COS(2*PI()*$I312/qbo+$L312)+hQs*SIN(2*PI()*$I312/qbo+$L312))*(hCs*SIN(2*PI()*$I312/cw)+hCc*COS(2*PI()*$I312/cw))</f>
        <v>-142.69345430299441</v>
      </c>
      <c r="K312">
        <f>fQc*COS(2*PI()*$I312/qbo+$L312)+fQs*SIN(2*PI()*$I312/qbo+$L312)+fCs*SIN(2*PI()*$I312/cw)+fCc*COS(2*PI()*$I312/cw)</f>
        <v>2.5364122935681088</v>
      </c>
      <c r="L312">
        <f>+QMA*COS(2*PI()*$I312/QM+QMP)</f>
        <v>-1.1631671850843246</v>
      </c>
      <c r="P312">
        <f t="shared" si="24"/>
        <v>0</v>
      </c>
    </row>
    <row r="313" spans="1:16" x14ac:dyDescent="0.25">
      <c r="A313" s="1"/>
      <c r="B313" s="4">
        <v>18994</v>
      </c>
      <c r="C313" t="s">
        <v>24</v>
      </c>
      <c r="D313" s="3">
        <v>12.625</v>
      </c>
      <c r="E313" s="5">
        <f t="shared" si="20"/>
        <v>1952</v>
      </c>
      <c r="F313">
        <v>0.71897999999999995</v>
      </c>
      <c r="G313">
        <f t="shared" si="21"/>
        <v>-4.4628800000000002</v>
      </c>
      <c r="H313">
        <f t="shared" si="22"/>
        <v>-4.4628800000000002</v>
      </c>
      <c r="I313" s="5">
        <f t="shared" si="23"/>
        <v>1952</v>
      </c>
      <c r="J313">
        <f>+H313+CF*F313*(1+($I313-1850)*slope/1000)+F313*hQc*COS(2*PI()*$I313/qbo+$L313)+F313*hQs*SIN(2*PI()*$I313/qbo+$L313)+F313*hCs*SIN(2*PI()*$I313/cw)+F313*hCc*COS(2*PI()*$I313/cw) +mix*F313*(hQc*COS(2*PI()*$I313/qbo+$L313)+hQs*SIN(2*PI()*$I313/qbo+$L313))*(hCs*SIN(2*PI()*$I313/cw)+hCc*COS(2*PI()*$I313/cw))</f>
        <v>6.6643219498807262</v>
      </c>
      <c r="K313">
        <f>fQc*COS(2*PI()*$I313/qbo+$L313)+fQs*SIN(2*PI()*$I313/qbo+$L313)+fCs*SIN(2*PI()*$I313/cw)+fCc*COS(2*PI()*$I313/cw)</f>
        <v>2.6857638431165847</v>
      </c>
      <c r="L313">
        <f>+QMA*COS(2*PI()*$I313/QM+QMP)</f>
        <v>-1.3828716455175349</v>
      </c>
      <c r="P313">
        <f t="shared" si="24"/>
        <v>1</v>
      </c>
    </row>
    <row r="314" spans="1:16" x14ac:dyDescent="0.25">
      <c r="A314" s="1"/>
      <c r="B314" s="4">
        <v>19360</v>
      </c>
      <c r="C314" t="s">
        <v>24</v>
      </c>
      <c r="D314" s="3">
        <v>12.666666666666666</v>
      </c>
      <c r="E314" s="5">
        <f t="shared" si="20"/>
        <v>1953</v>
      </c>
      <c r="F314">
        <v>-1.0074399999999999</v>
      </c>
      <c r="G314">
        <f t="shared" si="21"/>
        <v>1.6179499999999998</v>
      </c>
      <c r="H314">
        <f t="shared" si="22"/>
        <v>1.6179499999999998</v>
      </c>
      <c r="I314" s="5">
        <f t="shared" si="23"/>
        <v>1953</v>
      </c>
      <c r="J314">
        <f>+H314+CF*F314*(1+($I314-1850)*slope/1000)+F314*hQc*COS(2*PI()*$I314/qbo+$L314)+F314*hQs*SIN(2*PI()*$I314/qbo+$L314)+F314*hCs*SIN(2*PI()*$I314/cw)+F314*hCc*COS(2*PI()*$I314/cw) +mix*F314*(hQc*COS(2*PI()*$I314/qbo+$L314)+hQs*SIN(2*PI()*$I314/qbo+$L314))*(hCs*SIN(2*PI()*$I314/cw)+hCc*COS(2*PI()*$I314/cw))</f>
        <v>-193.07897485992885</v>
      </c>
      <c r="K314">
        <f>fQc*COS(2*PI()*$I314/qbo+$L314)+fQs*SIN(2*PI()*$I314/qbo+$L314)+fCs*SIN(2*PI()*$I314/cw)+fCc*COS(2*PI()*$I314/cw)</f>
        <v>-4.3680564914900728</v>
      </c>
      <c r="L314">
        <f>+QMA*COS(2*PI()*$I314/QM+QMP)</f>
        <v>-1.5747989050901261</v>
      </c>
      <c r="P314">
        <f t="shared" si="24"/>
        <v>1</v>
      </c>
    </row>
    <row r="315" spans="1:16" x14ac:dyDescent="0.25">
      <c r="A315" s="1"/>
      <c r="B315" s="4">
        <v>19725</v>
      </c>
      <c r="C315" t="s">
        <v>24</v>
      </c>
      <c r="D315" s="3">
        <v>12.708333333333334</v>
      </c>
      <c r="E315" s="5">
        <f t="shared" si="20"/>
        <v>1954</v>
      </c>
      <c r="F315">
        <v>-1.11591</v>
      </c>
      <c r="G315">
        <f t="shared" si="21"/>
        <v>-2.1549999999999958E-2</v>
      </c>
      <c r="H315">
        <f t="shared" si="22"/>
        <v>-2.1549999999999958E-2</v>
      </c>
      <c r="I315" s="5">
        <f t="shared" si="23"/>
        <v>1954</v>
      </c>
      <c r="J315">
        <f>+H315+CF*F315*(1+($I315-1850)*slope/1000)+F315*hQc*COS(2*PI()*$I315/qbo+$L315)+F315*hQs*SIN(2*PI()*$I315/qbo+$L315)+F315*hCs*SIN(2*PI()*$I315/cw)+F315*hCc*COS(2*PI()*$I315/cw) +mix*F315*(hQc*COS(2*PI()*$I315/qbo+$L315)+hQs*SIN(2*PI()*$I315/qbo+$L315))*(hCs*SIN(2*PI()*$I315/cw)+hCc*COS(2*PI()*$I315/cw))</f>
        <v>97.137619677545985</v>
      </c>
      <c r="K315">
        <f>fQc*COS(2*PI()*$I315/qbo+$L315)+fQs*SIN(2*PI()*$I315/qbo+$L315)+fCs*SIN(2*PI()*$I315/cw)+fCc*COS(2*PI()*$I315/cw)</f>
        <v>0.83213733902967257</v>
      </c>
      <c r="L315">
        <f>+QMA*COS(2*PI()*$I315/QM+QMP)</f>
        <v>-1.73509379614651</v>
      </c>
      <c r="P315">
        <f t="shared" si="24"/>
        <v>1</v>
      </c>
    </row>
    <row r="316" spans="1:16" x14ac:dyDescent="0.25">
      <c r="A316" s="1"/>
      <c r="B316" s="4">
        <v>20090</v>
      </c>
      <c r="C316" t="s">
        <v>24</v>
      </c>
      <c r="D316" s="3">
        <v>12.75</v>
      </c>
      <c r="E316" s="5">
        <f t="shared" si="20"/>
        <v>1955</v>
      </c>
      <c r="F316">
        <v>-1.24593</v>
      </c>
      <c r="G316">
        <f t="shared" si="21"/>
        <v>-0.64243000000000006</v>
      </c>
      <c r="H316">
        <f t="shared" si="22"/>
        <v>-0.64243000000000006</v>
      </c>
      <c r="I316" s="5">
        <f t="shared" si="23"/>
        <v>1955</v>
      </c>
      <c r="J316">
        <f>+H316+CF*F316*(1+($I316-1850)*slope/1000)+F316*hQc*COS(2*PI()*$I316/qbo+$L316)+F316*hQs*SIN(2*PI()*$I316/qbo+$L316)+F316*hCs*SIN(2*PI()*$I316/cw)+F316*hCc*COS(2*PI()*$I316/cw) +mix*F316*(hQc*COS(2*PI()*$I316/qbo+$L316)+hQs*SIN(2*PI()*$I316/qbo+$L316))*(hCs*SIN(2*PI()*$I316/cw)+hCc*COS(2*PI()*$I316/cw))</f>
        <v>-26.280133047816381</v>
      </c>
      <c r="K316">
        <f>fQc*COS(2*PI()*$I316/qbo+$L316)+fQs*SIN(2*PI()*$I316/qbo+$L316)+fCs*SIN(2*PI()*$I316/cw)+fCc*COS(2*PI()*$I316/cw)</f>
        <v>1.9333935900075319</v>
      </c>
      <c r="L316">
        <f>+QMA*COS(2*PI()*$I316/QM+QMP)</f>
        <v>-1.860536538022181</v>
      </c>
      <c r="P316">
        <f t="shared" si="24"/>
        <v>0</v>
      </c>
    </row>
    <row r="317" spans="1:16" x14ac:dyDescent="0.25">
      <c r="A317" s="1"/>
      <c r="B317" s="4">
        <v>20455</v>
      </c>
      <c r="C317" t="s">
        <v>24</v>
      </c>
      <c r="D317" s="3">
        <v>12.791666666666666</v>
      </c>
      <c r="E317" s="5">
        <f t="shared" si="20"/>
        <v>1956</v>
      </c>
      <c r="F317">
        <v>-2.0183800000000001</v>
      </c>
      <c r="G317">
        <f t="shared" si="21"/>
        <v>2.0367800000000003</v>
      </c>
      <c r="H317">
        <f t="shared" si="22"/>
        <v>2.0367800000000003</v>
      </c>
      <c r="I317" s="5">
        <f t="shared" si="23"/>
        <v>1956</v>
      </c>
      <c r="J317">
        <f>+H317+CF*F317*(1+($I317-1850)*slope/1000)+F317*hQc*COS(2*PI()*$I317/qbo+$L317)+F317*hQs*SIN(2*PI()*$I317/qbo+$L317)+F317*hCs*SIN(2*PI()*$I317/cw)+F317*hCc*COS(2*PI()*$I317/cw) +mix*F317*(hQc*COS(2*PI()*$I317/qbo+$L317)+hQs*SIN(2*PI()*$I317/qbo+$L317))*(hCs*SIN(2*PI()*$I317/cw)+hCc*COS(2*PI()*$I317/cw))</f>
        <v>256.38064120910769</v>
      </c>
      <c r="K317">
        <f>fQc*COS(2*PI()*$I317/qbo+$L317)+fQs*SIN(2*PI()*$I317/qbo+$L317)+fCs*SIN(2*PI()*$I317/cw)+fCc*COS(2*PI()*$I317/cw)</f>
        <v>-1.5931416946649626</v>
      </c>
      <c r="L317">
        <f>+QMA*COS(2*PI()*$I317/QM+QMP)</f>
        <v>-1.94860741151615</v>
      </c>
      <c r="P317">
        <f t="shared" si="24"/>
        <v>0</v>
      </c>
    </row>
    <row r="318" spans="1:16" x14ac:dyDescent="0.25">
      <c r="A318" s="1"/>
      <c r="B318" s="4">
        <v>20821</v>
      </c>
      <c r="C318" t="s">
        <v>24</v>
      </c>
      <c r="D318" s="3">
        <v>12.833333333333334</v>
      </c>
      <c r="E318" s="5">
        <f t="shared" si="20"/>
        <v>1957</v>
      </c>
      <c r="F318">
        <v>-0.75405</v>
      </c>
      <c r="G318">
        <f t="shared" si="21"/>
        <v>1.1063399999999999</v>
      </c>
      <c r="H318">
        <f t="shared" si="22"/>
        <v>1.1063399999999999</v>
      </c>
      <c r="I318" s="5">
        <f t="shared" si="23"/>
        <v>1957</v>
      </c>
      <c r="J318">
        <f>+H318+CF*F318*(1+($I318-1850)*slope/1000)+F318*hQc*COS(2*PI()*$I318/qbo+$L318)+F318*hQs*SIN(2*PI()*$I318/qbo+$L318)+F318*hCs*SIN(2*PI()*$I318/cw)+F318*hCc*COS(2*PI()*$I318/cw) +mix*F318*(hQc*COS(2*PI()*$I318/qbo+$L318)+hQs*SIN(2*PI()*$I318/qbo+$L318))*(hCs*SIN(2*PI()*$I318/cw)+hCc*COS(2*PI()*$I318/cw))</f>
        <v>178.761083273184</v>
      </c>
      <c r="K318">
        <f>fQc*COS(2*PI()*$I318/qbo+$L318)+fQs*SIN(2*PI()*$I318/qbo+$L318)+fCs*SIN(2*PI()*$I318/cw)+fCc*COS(2*PI()*$I318/cw)</f>
        <v>1.7659893200054049</v>
      </c>
      <c r="L318">
        <f>+QMA*COS(2*PI()*$I318/QM+QMP)</f>
        <v>-1.9975373715034856</v>
      </c>
      <c r="P318">
        <f t="shared" si="24"/>
        <v>1</v>
      </c>
    </row>
    <row r="319" spans="1:16" x14ac:dyDescent="0.25">
      <c r="A319" s="1"/>
      <c r="B319" s="4">
        <v>21186</v>
      </c>
      <c r="C319" t="s">
        <v>24</v>
      </c>
      <c r="D319" s="3">
        <v>12.875</v>
      </c>
      <c r="E319" s="5">
        <f t="shared" si="20"/>
        <v>1958</v>
      </c>
      <c r="F319">
        <v>1.6166199999999999</v>
      </c>
      <c r="G319">
        <f t="shared" si="21"/>
        <v>-4.0720499999999999</v>
      </c>
      <c r="H319">
        <f t="shared" si="22"/>
        <v>-4.0720499999999999</v>
      </c>
      <c r="I319" s="5">
        <f t="shared" si="23"/>
        <v>1958</v>
      </c>
      <c r="J319">
        <f>+H319+CF*F319*(1+($I319-1850)*slope/1000)+F319*hQc*COS(2*PI()*$I319/qbo+$L319)+F319*hQs*SIN(2*PI()*$I319/qbo+$L319)+F319*hCs*SIN(2*PI()*$I319/cw)+F319*hCc*COS(2*PI()*$I319/cw) +mix*F319*(hQc*COS(2*PI()*$I319/qbo+$L319)+hQs*SIN(2*PI()*$I319/qbo+$L319))*(hCs*SIN(2*PI()*$I319/cw)+hCc*COS(2*PI()*$I319/cw))</f>
        <v>33.121196674724104</v>
      </c>
      <c r="K319">
        <f>fQc*COS(2*PI()*$I319/qbo+$L319)+fQs*SIN(2*PI()*$I319/qbo+$L319)+fCs*SIN(2*PI()*$I319/cw)+fCc*COS(2*PI()*$I319/cw)</f>
        <v>-2.5742674364342033</v>
      </c>
      <c r="L319">
        <f>+QMA*COS(2*PI()*$I319/QM+QMP)</f>
        <v>-2.0063435810512553</v>
      </c>
      <c r="P319">
        <f t="shared" si="24"/>
        <v>0</v>
      </c>
    </row>
    <row r="320" spans="1:16" x14ac:dyDescent="0.25">
      <c r="A320" s="1"/>
      <c r="B320" s="4">
        <v>21551</v>
      </c>
      <c r="C320" t="s">
        <v>24</v>
      </c>
      <c r="D320" s="3">
        <v>12.916666666666666</v>
      </c>
      <c r="E320" s="5">
        <f t="shared" si="20"/>
        <v>1959</v>
      </c>
      <c r="F320">
        <v>-8.4760000000000002E-2</v>
      </c>
      <c r="G320">
        <f t="shared" si="21"/>
        <v>1.8968999999999998</v>
      </c>
      <c r="H320">
        <f t="shared" si="22"/>
        <v>1.8968999999999998</v>
      </c>
      <c r="I320" s="5">
        <f t="shared" si="23"/>
        <v>1959</v>
      </c>
      <c r="J320">
        <f>+H320+CF*F320*(1+($I320-1850)*slope/1000)+F320*hQc*COS(2*PI()*$I320/qbo+$L320)+F320*hQs*SIN(2*PI()*$I320/qbo+$L320)+F320*hCs*SIN(2*PI()*$I320/cw)+F320*hCc*COS(2*PI()*$I320/cw) +mix*F320*(hQc*COS(2*PI()*$I320/qbo+$L320)+hQs*SIN(2*PI()*$I320/qbo+$L320))*(hCs*SIN(2*PI()*$I320/cw)+hCc*COS(2*PI()*$I320/cw))</f>
        <v>8.7229911188486913</v>
      </c>
      <c r="K320">
        <f>fQc*COS(2*PI()*$I320/qbo+$L320)+fQs*SIN(2*PI()*$I320/qbo+$L320)+fCs*SIN(2*PI()*$I320/cw)+fCc*COS(2*PI()*$I320/cw)</f>
        <v>0.20539420375534168</v>
      </c>
      <c r="L320">
        <f>+QMA*COS(2*PI()*$I320/QM+QMP)</f>
        <v>-1.9748491532790435</v>
      </c>
      <c r="P320">
        <f t="shared" si="24"/>
        <v>1</v>
      </c>
    </row>
    <row r="321" spans="1:16" x14ac:dyDescent="0.25">
      <c r="A321" s="1"/>
      <c r="B321" s="4">
        <v>21916</v>
      </c>
      <c r="C321" t="s">
        <v>24</v>
      </c>
      <c r="D321" s="3">
        <v>12.958333333333334</v>
      </c>
      <c r="E321" s="5">
        <f t="shared" si="20"/>
        <v>1960</v>
      </c>
      <c r="F321">
        <v>0.11076</v>
      </c>
      <c r="G321">
        <f t="shared" si="21"/>
        <v>-1.1359599999999999</v>
      </c>
      <c r="H321">
        <f t="shared" si="22"/>
        <v>-1.1359599999999999</v>
      </c>
      <c r="I321" s="5">
        <f t="shared" si="23"/>
        <v>1960</v>
      </c>
      <c r="J321">
        <f>+H321+CF*F321*(1+($I321-1850)*slope/1000)+F321*hQc*COS(2*PI()*$I321/qbo+$L321)+F321*hQs*SIN(2*PI()*$I321/qbo+$L321)+F321*hCs*SIN(2*PI()*$I321/cw)+F321*hCc*COS(2*PI()*$I321/cw) +mix*F321*(hQc*COS(2*PI()*$I321/qbo+$L321)+hQs*SIN(2*PI()*$I321/qbo+$L321))*(hCs*SIN(2*PI()*$I321/cw)+hCc*COS(2*PI()*$I321/cw))</f>
        <v>8.3395628475070183</v>
      </c>
      <c r="K321">
        <f>fQc*COS(2*PI()*$I321/qbo+$L321)+fQs*SIN(2*PI()*$I321/qbo+$L321)+fCs*SIN(2*PI()*$I321/cw)+fCc*COS(2*PI()*$I321/cw)</f>
        <v>3.8383231559806621</v>
      </c>
      <c r="L321">
        <f>+QMA*COS(2*PI()*$I321/QM+QMP)</f>
        <v>-1.9036867044162757</v>
      </c>
      <c r="P321">
        <f t="shared" si="24"/>
        <v>1</v>
      </c>
    </row>
    <row r="322" spans="1:16" x14ac:dyDescent="0.25">
      <c r="A322" s="1"/>
      <c r="B322" s="4">
        <v>22282</v>
      </c>
      <c r="C322" t="s">
        <v>24</v>
      </c>
      <c r="D322" s="3">
        <v>13</v>
      </c>
      <c r="E322" s="5">
        <f t="shared" si="20"/>
        <v>1961</v>
      </c>
      <c r="F322">
        <v>-0.82967999999999997</v>
      </c>
      <c r="G322">
        <f t="shared" si="21"/>
        <v>1.8454699999999999</v>
      </c>
      <c r="H322">
        <f t="shared" si="22"/>
        <v>1.8454699999999999</v>
      </c>
      <c r="I322" s="5">
        <f t="shared" si="23"/>
        <v>1961</v>
      </c>
      <c r="J322">
        <f>+H322+CF*F322*(1+($I322-1850)*slope/1000)+F322*hQc*COS(2*PI()*$I322/qbo+$L322)+F322*hQs*SIN(2*PI()*$I322/qbo+$L322)+F322*hCs*SIN(2*PI()*$I322/cw)+F322*hCc*COS(2*PI()*$I322/cw) +mix*F322*(hQc*COS(2*PI()*$I322/qbo+$L322)+hQs*SIN(2*PI()*$I322/qbo+$L322))*(hCs*SIN(2*PI()*$I322/cw)+hCc*COS(2*PI()*$I322/cw))</f>
        <v>-130.19346742155508</v>
      </c>
      <c r="K322">
        <f>fQc*COS(2*PI()*$I322/qbo+$L322)+fQs*SIN(2*PI()*$I322/qbo+$L322)+fCs*SIN(2*PI()*$I322/cw)+fCc*COS(2*PI()*$I322/cw)</f>
        <v>-4.0349774405892473</v>
      </c>
      <c r="L322">
        <f>+QMA*COS(2*PI()*$I322/QM+QMP)</f>
        <v>-1.7942856466880148</v>
      </c>
      <c r="P322">
        <f t="shared" si="24"/>
        <v>1</v>
      </c>
    </row>
    <row r="323" spans="1:16" x14ac:dyDescent="0.25">
      <c r="A323" s="1"/>
      <c r="B323" s="4">
        <v>22647</v>
      </c>
      <c r="C323" t="s">
        <v>24</v>
      </c>
      <c r="D323" s="3">
        <v>13.041666666666666</v>
      </c>
      <c r="E323" s="5">
        <f t="shared" si="20"/>
        <v>1962</v>
      </c>
      <c r="F323">
        <v>7.535E-2</v>
      </c>
      <c r="G323">
        <f t="shared" si="21"/>
        <v>-1.6600299999999999</v>
      </c>
      <c r="H323">
        <f t="shared" si="22"/>
        <v>-1.6600299999999999</v>
      </c>
      <c r="I323" s="5">
        <f t="shared" si="23"/>
        <v>1962</v>
      </c>
      <c r="J323">
        <f>+H323+CF*F323*(1+($I323-1850)*slope/1000)+F323*hQc*COS(2*PI()*$I323/qbo+$L323)+F323*hQs*SIN(2*PI()*$I323/qbo+$L323)+F323*hCs*SIN(2*PI()*$I323/cw)+F323*hCc*COS(2*PI()*$I323/cw) +mix*F323*(hQc*COS(2*PI()*$I323/qbo+$L323)+hQs*SIN(2*PI()*$I323/qbo+$L323))*(hCs*SIN(2*PI()*$I323/cw)+hCc*COS(2*PI()*$I323/cw))</f>
        <v>-13.032568130092724</v>
      </c>
      <c r="K323">
        <f>fQc*COS(2*PI()*$I323/qbo+$L323)+fQs*SIN(2*PI()*$I323/qbo+$L323)+fCs*SIN(2*PI()*$I323/cw)+fCc*COS(2*PI()*$I323/cw)</f>
        <v>1.0240662258074134</v>
      </c>
      <c r="L323">
        <f>+QMA*COS(2*PI()*$I323/QM+QMP)</f>
        <v>-1.6488434762717366</v>
      </c>
      <c r="P323">
        <f t="shared" si="24"/>
        <v>0</v>
      </c>
    </row>
    <row r="324" spans="1:16" x14ac:dyDescent="0.25">
      <c r="A324" s="1"/>
      <c r="B324" s="4">
        <v>23012</v>
      </c>
      <c r="C324" t="s">
        <v>24</v>
      </c>
      <c r="D324" s="3">
        <v>13.083333333333334</v>
      </c>
      <c r="E324" s="5">
        <f t="shared" si="20"/>
        <v>1963</v>
      </c>
      <c r="F324">
        <v>-0.67964999999999998</v>
      </c>
      <c r="G324">
        <f t="shared" si="21"/>
        <v>2.6599699999999999</v>
      </c>
      <c r="H324">
        <f t="shared" si="22"/>
        <v>2.6599699999999999</v>
      </c>
      <c r="I324" s="5">
        <f t="shared" si="23"/>
        <v>1963</v>
      </c>
      <c r="J324">
        <f>+H324+CF*F324*(1+($I324-1850)*slope/1000)+F324*hQc*COS(2*PI()*$I324/qbo+$L324)+F324*hQs*SIN(2*PI()*$I324/qbo+$L324)+F324*hCs*SIN(2*PI()*$I324/cw)+F324*hCc*COS(2*PI()*$I324/cw) +mix*F324*(hQc*COS(2*PI()*$I324/qbo+$L324)+hQs*SIN(2*PI()*$I324/qbo+$L324))*(hCs*SIN(2*PI()*$I324/cw)+hCc*COS(2*PI()*$I324/cw))</f>
        <v>63.55919463531859</v>
      </c>
      <c r="K324">
        <f>fQc*COS(2*PI()*$I324/qbo+$L324)+fQs*SIN(2*PI()*$I324/qbo+$L324)+fCs*SIN(2*PI()*$I324/cw)+fCc*COS(2*PI()*$I324/cw)</f>
        <v>-2.5547677164838412E-2</v>
      </c>
      <c r="L324">
        <f>+QMA*COS(2*PI()*$I324/QM+QMP)</f>
        <v>-1.4702816330525443</v>
      </c>
      <c r="P324">
        <f t="shared" si="24"/>
        <v>0</v>
      </c>
    </row>
    <row r="325" spans="1:16" x14ac:dyDescent="0.25">
      <c r="A325" s="1"/>
      <c r="B325" s="4">
        <v>23377</v>
      </c>
      <c r="C325" t="s">
        <v>24</v>
      </c>
      <c r="D325" s="3">
        <v>13.125</v>
      </c>
      <c r="E325" s="5">
        <f t="shared" si="20"/>
        <v>1964</v>
      </c>
      <c r="F325">
        <v>1.22532</v>
      </c>
      <c r="G325">
        <f t="shared" si="21"/>
        <v>-2.9074200000000001</v>
      </c>
      <c r="H325">
        <f t="shared" si="22"/>
        <v>-2.9074200000000001</v>
      </c>
      <c r="I325" s="5">
        <f t="shared" si="23"/>
        <v>1964</v>
      </c>
      <c r="J325">
        <f>+H325+CF*F325*(1+($I325-1850)*slope/1000)+F325*hQc*COS(2*PI()*$I325/qbo+$L325)+F325*hQs*SIN(2*PI()*$I325/qbo+$L325)+F325*hCs*SIN(2*PI()*$I325/cw)+F325*hCc*COS(2*PI()*$I325/cw) +mix*F325*(hQc*COS(2*PI()*$I325/qbo+$L325)+hQs*SIN(2*PI()*$I325/qbo+$L325))*(hCs*SIN(2*PI()*$I325/cw)+hCc*COS(2*PI()*$I325/cw))</f>
        <v>-88.329185159070079</v>
      </c>
      <c r="K325">
        <f>fQc*COS(2*PI()*$I325/qbo+$L325)+fQs*SIN(2*PI()*$I325/qbo+$L325)+fCs*SIN(2*PI()*$I325/cw)+fCc*COS(2*PI()*$I325/cw)</f>
        <v>0.61154257809015833</v>
      </c>
      <c r="L325">
        <f>+QMA*COS(2*PI()*$I325/QM+QMP)</f>
        <v>-1.262186818805024</v>
      </c>
      <c r="P325">
        <f t="shared" si="24"/>
        <v>0</v>
      </c>
    </row>
    <row r="326" spans="1:16" x14ac:dyDescent="0.25">
      <c r="A326" s="1"/>
      <c r="B326" s="4">
        <v>23743</v>
      </c>
      <c r="C326" t="s">
        <v>24</v>
      </c>
      <c r="D326" s="3">
        <v>13.166666666666666</v>
      </c>
      <c r="E326" s="5">
        <f t="shared" si="20"/>
        <v>1965</v>
      </c>
      <c r="F326">
        <v>0.22287000000000001</v>
      </c>
      <c r="G326">
        <f t="shared" si="21"/>
        <v>2.5870000000000002</v>
      </c>
      <c r="H326">
        <f t="shared" si="22"/>
        <v>2.5870000000000002</v>
      </c>
      <c r="I326" s="5">
        <f t="shared" si="23"/>
        <v>1965</v>
      </c>
      <c r="J326">
        <f>+H326+CF*F326*(1+($I326-1850)*slope/1000)+F326*hQc*COS(2*PI()*$I326/qbo+$L326)+F326*hQs*SIN(2*PI()*$I326/qbo+$L326)+F326*hCs*SIN(2*PI()*$I326/cw)+F326*hCc*COS(2*PI()*$I326/cw) +mix*F326*(hQc*COS(2*PI()*$I326/qbo+$L326)+hQs*SIN(2*PI()*$I326/qbo+$L326))*(hCs*SIN(2*PI()*$I326/cw)+hCc*COS(2*PI()*$I326/cw))</f>
        <v>-32.090485655743279</v>
      </c>
      <c r="K326">
        <f>fQc*COS(2*PI()*$I326/qbo+$L326)+fQs*SIN(2*PI()*$I326/qbo+$L326)+fCs*SIN(2*PI()*$I326/cw)+fCc*COS(2*PI()*$I326/cw)</f>
        <v>1.4357792043530848</v>
      </c>
      <c r="L326">
        <f>+QMA*COS(2*PI()*$I326/QM+QMP)</f>
        <v>-1.0287389525204678</v>
      </c>
      <c r="P326">
        <f t="shared" si="24"/>
        <v>0</v>
      </c>
    </row>
    <row r="327" spans="1:16" x14ac:dyDescent="0.25">
      <c r="A327" s="1"/>
      <c r="B327" s="4">
        <v>24108</v>
      </c>
      <c r="C327" t="s">
        <v>24</v>
      </c>
      <c r="D327" s="3">
        <v>13.208333333333334</v>
      </c>
      <c r="E327" s="5">
        <f t="shared" si="20"/>
        <v>1966</v>
      </c>
      <c r="F327">
        <v>1.80742</v>
      </c>
      <c r="G327">
        <f t="shared" si="21"/>
        <v>-3.9504299999999999</v>
      </c>
      <c r="H327">
        <f t="shared" si="22"/>
        <v>-3.9504299999999999</v>
      </c>
      <c r="I327" s="5">
        <f t="shared" si="23"/>
        <v>1966</v>
      </c>
      <c r="J327">
        <f>+H327+CF*F327*(1+($I327-1850)*slope/1000)+F327*hQc*COS(2*PI()*$I327/qbo+$L327)+F327*hQs*SIN(2*PI()*$I327/qbo+$L327)+F327*hCs*SIN(2*PI()*$I327/cw)+F327*hCc*COS(2*PI()*$I327/cw) +mix*F327*(hQc*COS(2*PI()*$I327/qbo+$L327)+hQs*SIN(2*PI()*$I327/qbo+$L327))*(hCs*SIN(2*PI()*$I327/cw)+hCc*COS(2*PI()*$I327/cw))</f>
        <v>231.27502323650862</v>
      </c>
      <c r="K327">
        <f>fQc*COS(2*PI()*$I327/qbo+$L327)+fQs*SIN(2*PI()*$I327/qbo+$L327)+fCs*SIN(2*PI()*$I327/cw)+fCc*COS(2*PI()*$I327/cw)</f>
        <v>-4.4466877275555374</v>
      </c>
      <c r="L327">
        <f>+QMA*COS(2*PI()*$I327/QM+QMP)</f>
        <v>-0.774627210011405</v>
      </c>
      <c r="P327">
        <f t="shared" si="24"/>
        <v>0</v>
      </c>
    </row>
    <row r="328" spans="1:16" x14ac:dyDescent="0.25">
      <c r="A328" s="1"/>
      <c r="B328" s="4">
        <v>24473</v>
      </c>
      <c r="C328" t="s">
        <v>24</v>
      </c>
      <c r="D328" s="3">
        <v>13.25</v>
      </c>
      <c r="E328" s="5">
        <f t="shared" si="20"/>
        <v>1967</v>
      </c>
      <c r="F328">
        <v>-0.55845999999999996</v>
      </c>
      <c r="G328">
        <f t="shared" si="21"/>
        <v>3.9300299999999995</v>
      </c>
      <c r="H328">
        <f t="shared" si="22"/>
        <v>3.9300299999999995</v>
      </c>
      <c r="I328" s="5">
        <f t="shared" si="23"/>
        <v>1967</v>
      </c>
      <c r="J328">
        <f>+H328+CF*F328*(1+($I328-1850)*slope/1000)+F328*hQc*COS(2*PI()*$I328/qbo+$L328)+F328*hQs*SIN(2*PI()*$I328/qbo+$L328)+F328*hCs*SIN(2*PI()*$I328/cw)+F328*hCc*COS(2*PI()*$I328/cw) +mix*F328*(hQc*COS(2*PI()*$I328/qbo+$L328)+hQs*SIN(2*PI()*$I328/qbo+$L328))*(hCs*SIN(2*PI()*$I328/cw)+hCc*COS(2*PI()*$I328/cw))</f>
        <v>-69.760442792865206</v>
      </c>
      <c r="K328">
        <f>fQc*COS(2*PI()*$I328/qbo+$L328)+fQs*SIN(2*PI()*$I328/qbo+$L328)+fCs*SIN(2*PI()*$I328/cw)+fCc*COS(2*PI()*$I328/cw)</f>
        <v>3.6565958128629799</v>
      </c>
      <c r="L328">
        <f>+QMA*COS(2*PI()*$I328/QM+QMP)</f>
        <v>-0.50495583427526325</v>
      </c>
      <c r="P328">
        <f t="shared" si="24"/>
        <v>0</v>
      </c>
    </row>
    <row r="329" spans="1:16" x14ac:dyDescent="0.25">
      <c r="A329" s="1"/>
      <c r="B329" s="4">
        <v>24838</v>
      </c>
      <c r="C329" t="s">
        <v>24</v>
      </c>
      <c r="D329" s="3">
        <v>13.291666666666666</v>
      </c>
      <c r="E329" s="5">
        <f t="shared" si="20"/>
        <v>1968</v>
      </c>
      <c r="F329">
        <v>1.00569</v>
      </c>
      <c r="G329">
        <f t="shared" si="21"/>
        <v>-1.7698700000000001</v>
      </c>
      <c r="H329">
        <f t="shared" si="22"/>
        <v>-1.7698700000000001</v>
      </c>
      <c r="I329" s="5">
        <f t="shared" si="23"/>
        <v>1968</v>
      </c>
      <c r="J329">
        <f>+H329+CF*F329*(1+($I329-1850)*slope/1000)+F329*hQc*COS(2*PI()*$I329/qbo+$L329)+F329*hQs*SIN(2*PI()*$I329/qbo+$L329)+F329*hCs*SIN(2*PI()*$I329/cw)+F329*hCc*COS(2*PI()*$I329/cw) +mix*F329*(hQc*COS(2*PI()*$I329/qbo+$L329)+hQs*SIN(2*PI()*$I329/qbo+$L329))*(hCs*SIN(2*PI()*$I329/cw)+hCc*COS(2*PI()*$I329/cw))</f>
        <v>-179.93256688249363</v>
      </c>
      <c r="K329">
        <f>fQc*COS(2*PI()*$I329/qbo+$L329)+fQs*SIN(2*PI()*$I329/qbo+$L329)+fCs*SIN(2*PI()*$I329/cw)+fCc*COS(2*PI()*$I329/cw)</f>
        <v>-0.77818488361633653</v>
      </c>
      <c r="L329">
        <f>+QMA*COS(2*PI()*$I329/QM+QMP)</f>
        <v>-0.22514160856470536</v>
      </c>
      <c r="P329">
        <f t="shared" si="24"/>
        <v>1</v>
      </c>
    </row>
    <row r="330" spans="1:16" x14ac:dyDescent="0.25">
      <c r="A330" s="1"/>
      <c r="B330" s="4">
        <v>25204</v>
      </c>
      <c r="C330" t="s">
        <v>24</v>
      </c>
      <c r="D330" s="3">
        <v>13.333333333333334</v>
      </c>
      <c r="E330" s="5">
        <f t="shared" si="20"/>
        <v>1969</v>
      </c>
      <c r="F330">
        <v>0.79996999999999996</v>
      </c>
      <c r="G330">
        <f t="shared" si="21"/>
        <v>-0.42859999999999998</v>
      </c>
      <c r="H330">
        <f t="shared" si="22"/>
        <v>-0.42859999999999998</v>
      </c>
      <c r="I330" s="5">
        <f t="shared" si="23"/>
        <v>1969</v>
      </c>
      <c r="J330">
        <f>+H330+CF*F330*(1+($I330-1850)*slope/1000)+F330*hQc*COS(2*PI()*$I330/qbo+$L330)+F330*hQs*SIN(2*PI()*$I330/qbo+$L330)+F330*hCs*SIN(2*PI()*$I330/cw)+F330*hCc*COS(2*PI()*$I330/cw) +mix*F330*(hQc*COS(2*PI()*$I330/qbo+$L330)+hQs*SIN(2*PI()*$I330/qbo+$L330))*(hCs*SIN(2*PI()*$I330/cw)+hCc*COS(2*PI()*$I330/cw))</f>
        <v>-73.561333138978611</v>
      </c>
      <c r="K330">
        <f>fQc*COS(2*PI()*$I330/qbo+$L330)+fQs*SIN(2*PI()*$I330/qbo+$L330)+fCs*SIN(2*PI()*$I330/cw)+fCc*COS(2*PI()*$I330/cw)</f>
        <v>0.51711900079519302</v>
      </c>
      <c r="L330">
        <f>+QMA*COS(2*PI()*$I330/QM+QMP)</f>
        <v>5.9194948414696427E-2</v>
      </c>
      <c r="P330">
        <f t="shared" si="24"/>
        <v>0</v>
      </c>
    </row>
    <row r="331" spans="1:16" x14ac:dyDescent="0.25">
      <c r="A331" s="1"/>
      <c r="B331" s="4">
        <v>25569</v>
      </c>
      <c r="C331" t="s">
        <v>24</v>
      </c>
      <c r="D331" s="3">
        <v>13.375</v>
      </c>
      <c r="E331" s="5">
        <f t="shared" si="20"/>
        <v>1970</v>
      </c>
      <c r="F331">
        <v>0.16564999999999999</v>
      </c>
      <c r="G331">
        <f t="shared" si="21"/>
        <v>-2.63009</v>
      </c>
      <c r="H331">
        <f t="shared" si="22"/>
        <v>-2.63009</v>
      </c>
      <c r="I331" s="5">
        <f t="shared" si="23"/>
        <v>1970</v>
      </c>
      <c r="J331">
        <f>+H331+CF*F331*(1+($I331-1850)*slope/1000)+F331*hQc*COS(2*PI()*$I331/qbo+$L331)+F331*hQs*SIN(2*PI()*$I331/qbo+$L331)+F331*hCs*SIN(2*PI()*$I331/cw)+F331*hCc*COS(2*PI()*$I331/cw) +mix*F331*(hQc*COS(2*PI()*$I331/qbo+$L331)+hQs*SIN(2*PI()*$I331/qbo+$L331))*(hCs*SIN(2*PI()*$I331/cw)+hCc*COS(2*PI()*$I331/cw))</f>
        <v>-12.064138956550607</v>
      </c>
      <c r="K331">
        <f>fQc*COS(2*PI()*$I331/qbo+$L331)+fQs*SIN(2*PI()*$I331/qbo+$L331)+fCs*SIN(2*PI()*$I331/cw)+fCc*COS(2*PI()*$I331/cw)</f>
        <v>-1.1682870709372566</v>
      </c>
      <c r="L331">
        <f>+QMA*COS(2*PI()*$I331/QM+QMP)</f>
        <v>0.34234247966092185</v>
      </c>
      <c r="P331">
        <f t="shared" si="24"/>
        <v>1</v>
      </c>
    </row>
    <row r="332" spans="1:16" x14ac:dyDescent="0.25">
      <c r="A332" s="1"/>
      <c r="B332" s="4">
        <v>25934</v>
      </c>
      <c r="C332" t="s">
        <v>24</v>
      </c>
      <c r="D332" s="3">
        <v>13.416666666666666</v>
      </c>
      <c r="E332" s="5">
        <f t="shared" si="20"/>
        <v>1971</v>
      </c>
      <c r="F332">
        <v>-3.09876</v>
      </c>
      <c r="G332">
        <f t="shared" si="21"/>
        <v>5.3416499999999996</v>
      </c>
      <c r="H332">
        <f t="shared" si="22"/>
        <v>5.3416499999999996</v>
      </c>
      <c r="I332" s="5">
        <f t="shared" si="23"/>
        <v>1971</v>
      </c>
      <c r="J332">
        <f>+H332+CF*F332*(1+($I332-1850)*slope/1000)+F332*hQc*COS(2*PI()*$I332/qbo+$L332)+F332*hQs*SIN(2*PI()*$I332/qbo+$L332)+F332*hCs*SIN(2*PI()*$I332/cw)+F332*hCc*COS(2*PI()*$I332/cw) +mix*F332*(hQc*COS(2*PI()*$I332/qbo+$L332)+hQs*SIN(2*PI()*$I332/qbo+$L332))*(hCs*SIN(2*PI()*$I332/cw)+hCc*COS(2*PI()*$I332/cw))</f>
        <v>348.40186796456862</v>
      </c>
      <c r="K332">
        <f>fQc*COS(2*PI()*$I332/qbo+$L332)+fQs*SIN(2*PI()*$I332/qbo+$L332)+fCs*SIN(2*PI()*$I332/cw)+fCc*COS(2*PI()*$I332/cw)</f>
        <v>-1.3299916561894936</v>
      </c>
      <c r="L332">
        <f>+QMA*COS(2*PI()*$I332/QM+QMP)</f>
        <v>0.61861351166637857</v>
      </c>
      <c r="P332">
        <f t="shared" si="24"/>
        <v>0</v>
      </c>
    </row>
    <row r="333" spans="1:16" x14ac:dyDescent="0.25">
      <c r="A333" s="1"/>
      <c r="B333" s="4">
        <v>26299</v>
      </c>
      <c r="C333" t="s">
        <v>24</v>
      </c>
      <c r="D333" s="3">
        <v>13.458333333333334</v>
      </c>
      <c r="E333" s="5">
        <f t="shared" ref="E333:E338" si="25">+E332+1</f>
        <v>1972</v>
      </c>
      <c r="F333">
        <v>-1.02152</v>
      </c>
      <c r="G333">
        <f t="shared" ref="G333:G337" si="26">+(F334-F333)-(F333-F332)</f>
        <v>0.82197999999999993</v>
      </c>
      <c r="H333">
        <f t="shared" ref="H333:H337" si="27">+G333</f>
        <v>0.82197999999999993</v>
      </c>
      <c r="I333" s="5">
        <f t="shared" si="23"/>
        <v>1972</v>
      </c>
      <c r="J333">
        <f>+H333+CF*F333*(1+($I333-1850)*slope/1000)+F333*hQc*COS(2*PI()*$I333/qbo+$L333)+F333*hQs*SIN(2*PI()*$I333/qbo+$L333)+F333*hCs*SIN(2*PI()*$I333/cw)+F333*hCc*COS(2*PI()*$I333/cw) +mix*F333*(hQc*COS(2*PI()*$I333/qbo+$L333)+hQs*SIN(2*PI()*$I333/qbo+$L333))*(hCs*SIN(2*PI()*$I333/cw)+hCc*COS(2*PI()*$I333/cw))</f>
        <v>-158.71585648070223</v>
      </c>
      <c r="K333">
        <f>fQc*COS(2*PI()*$I333/qbo+$L333)+fQs*SIN(2*PI()*$I333/qbo+$L333)+fCs*SIN(2*PI()*$I333/cw)+fCc*COS(2*PI()*$I333/cw)</f>
        <v>4.3612689111205665</v>
      </c>
      <c r="L333">
        <f>+QMA*COS(2*PI()*$I333/QM+QMP)</f>
        <v>0.88245869646870101</v>
      </c>
      <c r="P333">
        <f t="shared" si="24"/>
        <v>0</v>
      </c>
    </row>
    <row r="334" spans="1:16" x14ac:dyDescent="0.25">
      <c r="A334" s="1"/>
      <c r="B334" s="4">
        <v>26665</v>
      </c>
      <c r="C334" t="s">
        <v>24</v>
      </c>
      <c r="D334" s="3">
        <v>13.5</v>
      </c>
      <c r="E334" s="5">
        <f t="shared" si="25"/>
        <v>1973</v>
      </c>
      <c r="F334">
        <v>1.8776999999999999</v>
      </c>
      <c r="G334">
        <f t="shared" si="26"/>
        <v>-7.8435699999999997</v>
      </c>
      <c r="H334">
        <f t="shared" si="27"/>
        <v>-7.8435699999999997</v>
      </c>
      <c r="I334" s="5">
        <f t="shared" ref="I334:I336" si="28">+E334</f>
        <v>1973</v>
      </c>
      <c r="J334">
        <f>+H334+CF*F334*(1+($I334-1850)*slope/1000)+F334*hQc*COS(2*PI()*$I334/qbo+$L334)+F334*hQs*SIN(2*PI()*$I334/qbo+$L334)+F334*hCs*SIN(2*PI()*$I334/cw)+F334*hCc*COS(2*PI()*$I334/cw) +mix*F334*(hQc*COS(2*PI()*$I334/qbo+$L334)+hQs*SIN(2*PI()*$I334/qbo+$L334))*(hCs*SIN(2*PI()*$I334/cw)+hCc*COS(2*PI()*$I334/cw))</f>
        <v>143.82027023568457</v>
      </c>
      <c r="K334">
        <f>fQc*COS(2*PI()*$I334/qbo+$L334)+fQs*SIN(2*PI()*$I334/qbo+$L334)+fCs*SIN(2*PI()*$I334/cw)+fCc*COS(2*PI()*$I334/cw)</f>
        <v>-3.4119864945145646</v>
      </c>
      <c r="L334">
        <f>+QMA*COS(2*PI()*$I334/QM+QMP)</f>
        <v>1.1285782792295154</v>
      </c>
      <c r="P334">
        <f t="shared" ref="P334:P336" si="29">+IF(J334*K334&gt;0,1, 0)</f>
        <v>0</v>
      </c>
    </row>
    <row r="335" spans="1:16" x14ac:dyDescent="0.25">
      <c r="A335" s="1"/>
      <c r="B335" s="4">
        <v>27030</v>
      </c>
      <c r="C335" t="s">
        <v>24</v>
      </c>
      <c r="D335" s="3">
        <v>13.541666666666666</v>
      </c>
      <c r="E335" s="5">
        <f t="shared" si="25"/>
        <v>1974</v>
      </c>
      <c r="F335">
        <v>-3.0666500000000001</v>
      </c>
      <c r="G335">
        <f t="shared" si="26"/>
        <v>7.5886700000000005</v>
      </c>
      <c r="H335">
        <f t="shared" si="27"/>
        <v>7.5886700000000005</v>
      </c>
      <c r="I335" s="5">
        <f t="shared" si="28"/>
        <v>1974</v>
      </c>
      <c r="J335">
        <f>+H335+CF*F335*(1+($I335-1850)*slope/1000)+F335*hQc*COS(2*PI()*$I335/qbo+$L335)+F335*hQs*SIN(2*PI()*$I335/qbo+$L335)+F335*hCs*SIN(2*PI()*$I335/cw)+F335*hCc*COS(2*PI()*$I335/cw) +mix*F335*(hQc*COS(2*PI()*$I335/qbo+$L335)+hQs*SIN(2*PI()*$I335/qbo+$L335))*(hCs*SIN(2*PI()*$I335/cw)+hCc*COS(2*PI()*$I335/cw))</f>
        <v>669.00139835763594</v>
      </c>
      <c r="K335">
        <f>fQc*COS(2*PI()*$I335/qbo+$L335)+fQs*SIN(2*PI()*$I335/qbo+$L335)+fCs*SIN(2*PI()*$I335/cw)+fCc*COS(2*PI()*$I335/cw)</f>
        <v>0.89633980389344803</v>
      </c>
      <c r="L335">
        <f>+QMA*COS(2*PI()*$I335/QM+QMP)</f>
        <v>1.3520285523327904</v>
      </c>
      <c r="P335">
        <f t="shared" si="29"/>
        <v>1</v>
      </c>
    </row>
    <row r="336" spans="1:16" x14ac:dyDescent="0.25">
      <c r="A336" s="1"/>
      <c r="B336" s="4">
        <v>27395</v>
      </c>
      <c r="C336" t="s">
        <v>24</v>
      </c>
      <c r="D336" s="3">
        <v>13.583333333333334</v>
      </c>
      <c r="E336" s="5">
        <f t="shared" si="25"/>
        <v>1975</v>
      </c>
      <c r="F336">
        <v>-0.42232999999999998</v>
      </c>
      <c r="G336">
        <f t="shared" si="26"/>
        <v>-2.9693899999999998</v>
      </c>
      <c r="H336">
        <f t="shared" si="27"/>
        <v>-2.9693899999999998</v>
      </c>
      <c r="I336" s="5">
        <f t="shared" si="28"/>
        <v>1975</v>
      </c>
      <c r="J336">
        <f>+H336+CF*F336*(1+($I336-1850)*slope/1000)+F336*hQc*COS(2*PI()*$I336/qbo+$L336)+F336*hQs*SIN(2*PI()*$I336/qbo+$L336)+F336*hCs*SIN(2*PI()*$I336/cw)+F336*hCc*COS(2*PI()*$I336/cw) +mix*F336*(hQc*COS(2*PI()*$I336/qbo+$L336)+hQs*SIN(2*PI()*$I336/qbo+$L336))*(hCs*SIN(2*PI()*$I336/cw)+hCc*COS(2*PI()*$I336/cw))</f>
        <v>30.026786906511767</v>
      </c>
      <c r="K336">
        <f>fQc*COS(2*PI()*$I336/qbo+$L336)+fQs*SIN(2*PI()*$I336/qbo+$L336)+fCs*SIN(2*PI()*$I336/cw)+fCc*COS(2*PI()*$I336/cw)</f>
        <v>-0.91458663402814744</v>
      </c>
      <c r="L336">
        <f>+QMA*COS(2*PI()*$I336/QM+QMP)</f>
        <v>1.5483211577023479</v>
      </c>
      <c r="P336">
        <f t="shared" si="29"/>
        <v>0</v>
      </c>
    </row>
    <row r="337" spans="1:8" x14ac:dyDescent="0.25">
      <c r="A337" s="1"/>
      <c r="B337" s="4">
        <v>27760</v>
      </c>
      <c r="C337" t="s">
        <v>24</v>
      </c>
      <c r="D337" s="3">
        <v>13.625</v>
      </c>
      <c r="E337" s="5">
        <f t="shared" si="25"/>
        <v>1976</v>
      </c>
      <c r="F337">
        <v>-0.74739999999999995</v>
      </c>
      <c r="G337">
        <f t="shared" si="26"/>
        <v>1.7224299999999999</v>
      </c>
      <c r="H337">
        <f t="shared" si="27"/>
        <v>1.7224299999999999</v>
      </c>
    </row>
    <row r="338" spans="1:8" x14ac:dyDescent="0.25">
      <c r="A338" s="1"/>
      <c r="B338" s="4">
        <v>28126</v>
      </c>
      <c r="C338" t="s">
        <v>24</v>
      </c>
      <c r="D338" s="3">
        <v>13.666666666666666</v>
      </c>
      <c r="E338" s="5">
        <f t="shared" si="25"/>
        <v>1977</v>
      </c>
      <c r="F338">
        <v>0.64995999999999998</v>
      </c>
    </row>
  </sheetData>
  <scenarios current="0">
    <scenario name="one" count="11" user="pp" comment="Created by pp on 5/2/2015">
      <inputCells r="J2" val="2.44727948999265"/>
      <inputCells r="K2" val="6.07934967694303"/>
      <inputCells r="J3" val="0.347720040202742"/>
      <inputCells r="K3" val="3.61739153290966"/>
      <inputCells r="J4" val="0.776554919003634"/>
      <inputCells r="K4" val="0.589496773979215"/>
      <inputCells r="J5" val="1.02769968466291"/>
      <inputCells r="K5" val="-0.946007353755426"/>
      <inputCells r="K6" val="-1.43772752989027"/>
      <inputCells r="J6" val="-2.46737299932513"/>
      <inputCells r="J7" val="1.65313392088483"/>
    </scenario>
  </scenarios>
  <pageMargins left="0.25" right="0.25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data</vt:lpstr>
      <vt:lpstr>cc</vt:lpstr>
      <vt:lpstr>hybrid</vt:lpstr>
      <vt:lpstr>cc (2)</vt:lpstr>
      <vt:lpstr>cc_best</vt:lpstr>
      <vt:lpstr>cc (4)</vt:lpstr>
      <vt:lpstr>cc_low_end</vt:lpstr>
      <vt:lpstr>cc_high_end</vt:lpstr>
      <vt:lpstr>cc_law</vt:lpstr>
      <vt:lpstr>'cc (4)'!CF</vt:lpstr>
      <vt:lpstr>cc_high_end!CF</vt:lpstr>
      <vt:lpstr>cc_law!CF</vt:lpstr>
      <vt:lpstr>cc_low_end!CF</vt:lpstr>
      <vt:lpstr>CF</vt:lpstr>
      <vt:lpstr>'cc (4)'!cw</vt:lpstr>
      <vt:lpstr>cc_high_end!cw</vt:lpstr>
      <vt:lpstr>cc_law!cw</vt:lpstr>
      <vt:lpstr>cc_low_end!cw</vt:lpstr>
      <vt:lpstr>cw</vt:lpstr>
      <vt:lpstr>'cc (4)'!fCc</vt:lpstr>
      <vt:lpstr>cc_high_end!fCc</vt:lpstr>
      <vt:lpstr>cc_law!fCc</vt:lpstr>
      <vt:lpstr>cc_low_end!fCc</vt:lpstr>
      <vt:lpstr>fCc</vt:lpstr>
      <vt:lpstr>'cc (4)'!fCs</vt:lpstr>
      <vt:lpstr>cc_high_end!fCs</vt:lpstr>
      <vt:lpstr>cc_law!fCs</vt:lpstr>
      <vt:lpstr>cc_low_end!fCs</vt:lpstr>
      <vt:lpstr>fCs</vt:lpstr>
      <vt:lpstr>'cc (4)'!fQc</vt:lpstr>
      <vt:lpstr>cc_high_end!fQc</vt:lpstr>
      <vt:lpstr>cc_law!fQc</vt:lpstr>
      <vt:lpstr>cc_low_end!fQc</vt:lpstr>
      <vt:lpstr>fQc</vt:lpstr>
      <vt:lpstr>'cc (4)'!fQs</vt:lpstr>
      <vt:lpstr>cc_high_end!fQs</vt:lpstr>
      <vt:lpstr>cc_law!fQs</vt:lpstr>
      <vt:lpstr>cc_low_end!fQs</vt:lpstr>
      <vt:lpstr>fQs</vt:lpstr>
      <vt:lpstr>'cc (4)'!hCc</vt:lpstr>
      <vt:lpstr>cc_high_end!hCc</vt:lpstr>
      <vt:lpstr>cc_law!hCc</vt:lpstr>
      <vt:lpstr>cc_low_end!hCc</vt:lpstr>
      <vt:lpstr>hCc</vt:lpstr>
      <vt:lpstr>'cc (4)'!hCs</vt:lpstr>
      <vt:lpstr>cc_high_end!hCs</vt:lpstr>
      <vt:lpstr>cc_law!hCs</vt:lpstr>
      <vt:lpstr>cc_low_end!hCs</vt:lpstr>
      <vt:lpstr>hCs</vt:lpstr>
      <vt:lpstr>'cc (4)'!hQc</vt:lpstr>
      <vt:lpstr>cc_high_end!hQc</vt:lpstr>
      <vt:lpstr>cc_law!hQc</vt:lpstr>
      <vt:lpstr>cc_low_end!hQc</vt:lpstr>
      <vt:lpstr>hQc</vt:lpstr>
      <vt:lpstr>'cc (4)'!hQs</vt:lpstr>
      <vt:lpstr>cc_high_end!hQs</vt:lpstr>
      <vt:lpstr>cc_law!hQs</vt:lpstr>
      <vt:lpstr>cc_low_end!hQs</vt:lpstr>
      <vt:lpstr>hQs</vt:lpstr>
      <vt:lpstr>'cc (4)'!mix</vt:lpstr>
      <vt:lpstr>cc_high_end!mix</vt:lpstr>
      <vt:lpstr>cc_law!mix</vt:lpstr>
      <vt:lpstr>cc_low_end!mix</vt:lpstr>
      <vt:lpstr>mix</vt:lpstr>
      <vt:lpstr>'cc (4)'!qbo</vt:lpstr>
      <vt:lpstr>cc_high_end!qbo</vt:lpstr>
      <vt:lpstr>cc_law!qbo</vt:lpstr>
      <vt:lpstr>cc_low_end!qbo</vt:lpstr>
      <vt:lpstr>qbo</vt:lpstr>
      <vt:lpstr>'cc (4)'!QM</vt:lpstr>
      <vt:lpstr>cc_high_end!QM</vt:lpstr>
      <vt:lpstr>cc_law!QM</vt:lpstr>
      <vt:lpstr>cc_low_end!QM</vt:lpstr>
      <vt:lpstr>QM</vt:lpstr>
      <vt:lpstr>'cc (4)'!QMA</vt:lpstr>
      <vt:lpstr>cc_high_end!QMA</vt:lpstr>
      <vt:lpstr>cc_law!QMA</vt:lpstr>
      <vt:lpstr>cc_low_end!QMA</vt:lpstr>
      <vt:lpstr>QMA</vt:lpstr>
      <vt:lpstr>'cc (4)'!QMP</vt:lpstr>
      <vt:lpstr>cc_high_end!QMP</vt:lpstr>
      <vt:lpstr>cc_law!QMP</vt:lpstr>
      <vt:lpstr>cc_low_end!QMP</vt:lpstr>
      <vt:lpstr>QMP</vt:lpstr>
      <vt:lpstr>'cc (4)'!slope</vt:lpstr>
      <vt:lpstr>cc_high_end!slope</vt:lpstr>
      <vt:lpstr>cc_law!slope</vt:lpstr>
      <vt:lpstr>cc_low_end!slope</vt:lpstr>
      <vt:lpstr>slope</vt:lpstr>
    </vt:vector>
  </TitlesOfParts>
  <Company>BAE Systems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pp</cp:lastModifiedBy>
  <cp:lastPrinted>2015-05-01T22:55:42Z</cp:lastPrinted>
  <dcterms:created xsi:type="dcterms:W3CDTF">2015-04-29T15:10:25Z</dcterms:created>
  <dcterms:modified xsi:type="dcterms:W3CDTF">2015-05-17T02:07:09Z</dcterms:modified>
</cp:coreProperties>
</file>